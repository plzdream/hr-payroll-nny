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0730" windowHeight="11040" tabRatio="692" activeTab="23"/>
  </bookViews>
  <sheets>
    <sheet name="1" sheetId="2" r:id="rId1"/>
    <sheet name="2" sheetId="3" r:id="rId2"/>
    <sheet name="3" sheetId="4" r:id="rId3"/>
    <sheet name="4" sheetId="5" r:id="rId4"/>
    <sheet name="5" sheetId="6" r:id="rId5"/>
    <sheet name="6" sheetId="7" r:id="rId6"/>
    <sheet name="7" sheetId="8" r:id="rId7"/>
    <sheet name="8" sheetId="9" r:id="rId8"/>
    <sheet name="9" sheetId="10" r:id="rId9"/>
    <sheet name="10" sheetId="11" r:id="rId10"/>
    <sheet name="11" sheetId="22" r:id="rId11"/>
    <sheet name="12" sheetId="23" r:id="rId12"/>
    <sheet name="13" sheetId="24" r:id="rId13"/>
    <sheet name="14" sheetId="25" r:id="rId14"/>
    <sheet name="15" sheetId="26" r:id="rId15"/>
    <sheet name="รถโม่เสริม" sheetId="17" r:id="rId16"/>
    <sheet name="Loader" sheetId="12" r:id="rId17"/>
    <sheet name="รถน้ำ" sheetId="13" r:id="rId18"/>
    <sheet name="เทรลเลอร์1" sheetId="27" r:id="rId19"/>
    <sheet name="เทรลเลอร์2" sheetId="28" r:id="rId20"/>
    <sheet name="เทรลเลอร์3" sheetId="29" state="hidden" r:id="rId21"/>
    <sheet name="เซลล์ (งานเครดิต)" sheetId="14" r:id="rId22"/>
    <sheet name="เซลล์ (งานเงินสด)" sheetId="20" r:id="rId23"/>
    <sheet name="สรุปค่าเที่ยวค่าคิว" sheetId="1" r:id="rId24"/>
  </sheets>
  <definedNames>
    <definedName name="_xlnm._FilterDatabase" localSheetId="21" hidden="1">'เซลล์ (งานเครดิต)'!$D$1:$D$375</definedName>
    <definedName name="_xlnm._FilterDatabase" localSheetId="22" hidden="1">'เซลล์ (งานเงินสด)'!$D$1:$D$413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0" i="1" l="1"/>
  <c r="AP68" i="1" l="1"/>
  <c r="AR50" i="1"/>
  <c r="AR44" i="1"/>
  <c r="AR42" i="1"/>
  <c r="AR48" i="1"/>
  <c r="AP48" i="1"/>
  <c r="AQ48" i="1"/>
  <c r="AR68" i="1"/>
  <c r="G60" i="1"/>
  <c r="AN48" i="1"/>
  <c r="A2" i="27"/>
  <c r="AR55" i="1"/>
  <c r="AP55" i="1"/>
  <c r="AL51" i="1"/>
  <c r="AK51" i="1"/>
  <c r="AJ51" i="1"/>
  <c r="AI51" i="1"/>
  <c r="AH51" i="1"/>
  <c r="Z51" i="1"/>
  <c r="Y51" i="1"/>
  <c r="X51" i="1"/>
  <c r="W51" i="1"/>
  <c r="V51" i="1"/>
  <c r="U51" i="1"/>
  <c r="AL53" i="1"/>
  <c r="AK53" i="1"/>
  <c r="AJ53" i="1"/>
  <c r="AI53" i="1"/>
  <c r="AH53" i="1"/>
  <c r="Z53" i="1"/>
  <c r="Y53" i="1"/>
  <c r="X53" i="1"/>
  <c r="W53" i="1"/>
  <c r="V53" i="1"/>
  <c r="U53" i="1"/>
  <c r="AL52" i="1"/>
  <c r="AK52" i="1"/>
  <c r="AJ52" i="1"/>
  <c r="AI52" i="1"/>
  <c r="AH52" i="1"/>
  <c r="Z52" i="1"/>
  <c r="Y52" i="1"/>
  <c r="X52" i="1"/>
  <c r="W52" i="1"/>
  <c r="V52" i="1"/>
  <c r="U52" i="1"/>
  <c r="F88" i="12"/>
  <c r="E41" i="12"/>
  <c r="D41" i="12"/>
  <c r="E88" i="12"/>
  <c r="G24" i="14" l="1"/>
  <c r="G84" i="9" l="1"/>
  <c r="N20" i="1"/>
  <c r="L20" i="1"/>
  <c r="K20" i="1"/>
  <c r="H4" i="14"/>
  <c r="F4" i="14"/>
  <c r="F4" i="20" s="1"/>
  <c r="AQ39" i="1"/>
  <c r="AQ55" i="1"/>
  <c r="AL47" i="1"/>
  <c r="AL46" i="1"/>
  <c r="AK47" i="1"/>
  <c r="AK46" i="1"/>
  <c r="AJ47" i="1"/>
  <c r="AJ46" i="1"/>
  <c r="AI47" i="1"/>
  <c r="AI46" i="1"/>
  <c r="AH47" i="1"/>
  <c r="AH46" i="1"/>
  <c r="AG47" i="1"/>
  <c r="AG46" i="1"/>
  <c r="AF47" i="1"/>
  <c r="AF46" i="1"/>
  <c r="AE47" i="1"/>
  <c r="AE46" i="1"/>
  <c r="AD47" i="1"/>
  <c r="AD46" i="1"/>
  <c r="AC47" i="1"/>
  <c r="AC46" i="1"/>
  <c r="AB47" i="1"/>
  <c r="AB46" i="1"/>
  <c r="AA47" i="1"/>
  <c r="AA46" i="1"/>
  <c r="Z47" i="1"/>
  <c r="Z46" i="1"/>
  <c r="Y47" i="1"/>
  <c r="Y46" i="1"/>
  <c r="X47" i="1"/>
  <c r="X46" i="1"/>
  <c r="W47" i="1"/>
  <c r="W46" i="1"/>
  <c r="K46" i="1"/>
  <c r="V47" i="1"/>
  <c r="V46" i="1"/>
  <c r="U47" i="1"/>
  <c r="U46" i="1"/>
  <c r="T47" i="1"/>
  <c r="T46" i="1"/>
  <c r="S47" i="1"/>
  <c r="S46" i="1"/>
  <c r="R47" i="1"/>
  <c r="R46" i="1"/>
  <c r="Q47" i="1"/>
  <c r="Q46" i="1"/>
  <c r="L47" i="1"/>
  <c r="P47" i="1"/>
  <c r="P46" i="1"/>
  <c r="L46" i="1"/>
  <c r="J46" i="1"/>
  <c r="I47" i="1"/>
  <c r="I46" i="1"/>
  <c r="AL45" i="1"/>
  <c r="AL44" i="1"/>
  <c r="AK45" i="1"/>
  <c r="AK44" i="1"/>
  <c r="AJ45" i="1"/>
  <c r="AJ44" i="1"/>
  <c r="AI45" i="1"/>
  <c r="AI44" i="1"/>
  <c r="AH45" i="1"/>
  <c r="AH44" i="1"/>
  <c r="AG45" i="1"/>
  <c r="AG44" i="1"/>
  <c r="AF45" i="1"/>
  <c r="AF44" i="1"/>
  <c r="AE45" i="1"/>
  <c r="AE44" i="1"/>
  <c r="AD45" i="1"/>
  <c r="AD44" i="1"/>
  <c r="AC45" i="1"/>
  <c r="AC44" i="1"/>
  <c r="AB45" i="1"/>
  <c r="AB44" i="1"/>
  <c r="AA45" i="1"/>
  <c r="AA44" i="1"/>
  <c r="Z45" i="1"/>
  <c r="Z44" i="1"/>
  <c r="Y45" i="1"/>
  <c r="Y44" i="1"/>
  <c r="X45" i="1"/>
  <c r="X44" i="1"/>
  <c r="W45" i="1"/>
  <c r="W44" i="1"/>
  <c r="V45" i="1"/>
  <c r="V44" i="1"/>
  <c r="U45" i="1"/>
  <c r="U44" i="1"/>
  <c r="T45" i="1"/>
  <c r="T44" i="1"/>
  <c r="S45" i="1"/>
  <c r="S44" i="1"/>
  <c r="R45" i="1"/>
  <c r="R44" i="1"/>
  <c r="Q45" i="1"/>
  <c r="Q44" i="1"/>
  <c r="P45" i="1"/>
  <c r="P44" i="1"/>
  <c r="O47" i="1" l="1"/>
  <c r="O46" i="1"/>
  <c r="O45" i="1"/>
  <c r="O44" i="1"/>
  <c r="N47" i="1"/>
  <c r="N46" i="1"/>
  <c r="N45" i="1"/>
  <c r="N44" i="1"/>
  <c r="M47" i="1"/>
  <c r="M46" i="1"/>
  <c r="M45" i="1"/>
  <c r="M44" i="1"/>
  <c r="L45" i="1"/>
  <c r="L44" i="1"/>
  <c r="K47" i="1"/>
  <c r="K45" i="1"/>
  <c r="K44" i="1"/>
  <c r="J47" i="1"/>
  <c r="J45" i="1"/>
  <c r="J44" i="1"/>
  <c r="I45" i="1"/>
  <c r="I44" i="1"/>
  <c r="H47" i="1"/>
  <c r="H46" i="1"/>
  <c r="H45" i="1"/>
  <c r="H44" i="1"/>
  <c r="G47" i="1"/>
  <c r="G46" i="1"/>
  <c r="G45" i="1"/>
  <c r="G44" i="1"/>
  <c r="F47" i="1"/>
  <c r="F46" i="1"/>
  <c r="F45" i="1"/>
  <c r="F44" i="1"/>
  <c r="E47" i="1"/>
  <c r="E46" i="1"/>
  <c r="E45" i="1"/>
  <c r="E44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3" i="1"/>
  <c r="E42" i="1"/>
  <c r="D47" i="1"/>
  <c r="D46" i="1"/>
  <c r="D45" i="1"/>
  <c r="D44" i="1"/>
  <c r="D43" i="1"/>
  <c r="D42" i="1"/>
  <c r="D86" i="29"/>
  <c r="D84" i="29"/>
  <c r="D82" i="29"/>
  <c r="D80" i="29"/>
  <c r="D78" i="29"/>
  <c r="D76" i="29"/>
  <c r="D74" i="29"/>
  <c r="D72" i="29"/>
  <c r="D70" i="29"/>
  <c r="D68" i="29"/>
  <c r="D66" i="29"/>
  <c r="D64" i="29"/>
  <c r="D62" i="29"/>
  <c r="D60" i="29"/>
  <c r="D58" i="29"/>
  <c r="D56" i="29"/>
  <c r="D54" i="29"/>
  <c r="D52" i="29"/>
  <c r="D50" i="29"/>
  <c r="A47" i="29"/>
  <c r="E46" i="29"/>
  <c r="A46" i="29"/>
  <c r="E41" i="29"/>
  <c r="E88" i="29" s="1"/>
  <c r="D39" i="29"/>
  <c r="D37" i="29"/>
  <c r="D35" i="29"/>
  <c r="D33" i="29"/>
  <c r="D31" i="29"/>
  <c r="D29" i="29"/>
  <c r="D27" i="29"/>
  <c r="D25" i="29"/>
  <c r="D23" i="29"/>
  <c r="D21" i="29"/>
  <c r="D19" i="29"/>
  <c r="D17" i="29"/>
  <c r="D15" i="29"/>
  <c r="D13" i="29"/>
  <c r="D11" i="29"/>
  <c r="D9" i="29"/>
  <c r="D7" i="29"/>
  <c r="D41" i="29" s="1"/>
  <c r="E4" i="29"/>
  <c r="E47" i="29" s="1"/>
  <c r="D86" i="28"/>
  <c r="D84" i="28"/>
  <c r="D82" i="28"/>
  <c r="D80" i="28"/>
  <c r="D78" i="28"/>
  <c r="D76" i="28"/>
  <c r="D74" i="28"/>
  <c r="D72" i="28"/>
  <c r="D70" i="28"/>
  <c r="D68" i="28"/>
  <c r="D66" i="28"/>
  <c r="D64" i="28"/>
  <c r="D62" i="28"/>
  <c r="D60" i="28"/>
  <c r="D58" i="28"/>
  <c r="D56" i="28"/>
  <c r="D54" i="28"/>
  <c r="D52" i="28"/>
  <c r="D50" i="28"/>
  <c r="A47" i="28"/>
  <c r="E46" i="28"/>
  <c r="A46" i="28"/>
  <c r="E41" i="28"/>
  <c r="E88" i="28" s="1"/>
  <c r="D39" i="28"/>
  <c r="D37" i="28"/>
  <c r="D35" i="28"/>
  <c r="D33" i="28"/>
  <c r="D31" i="28"/>
  <c r="D29" i="28"/>
  <c r="D27" i="28"/>
  <c r="D25" i="28"/>
  <c r="D23" i="28"/>
  <c r="D21" i="28"/>
  <c r="D19" i="28"/>
  <c r="D17" i="28"/>
  <c r="D15" i="28"/>
  <c r="D13" i="28"/>
  <c r="D11" i="28"/>
  <c r="D9" i="28"/>
  <c r="D7" i="28"/>
  <c r="E4" i="28"/>
  <c r="E47" i="28" s="1"/>
  <c r="E4" i="27"/>
  <c r="E47" i="27" s="1"/>
  <c r="D86" i="27"/>
  <c r="D84" i="27"/>
  <c r="D82" i="27"/>
  <c r="D80" i="27"/>
  <c r="D78" i="27"/>
  <c r="D76" i="27"/>
  <c r="D74" i="27"/>
  <c r="D72" i="27"/>
  <c r="D70" i="27"/>
  <c r="D68" i="27"/>
  <c r="D66" i="27"/>
  <c r="D64" i="27"/>
  <c r="D62" i="27"/>
  <c r="D60" i="27"/>
  <c r="D58" i="27"/>
  <c r="D56" i="27"/>
  <c r="D54" i="27"/>
  <c r="D52" i="27"/>
  <c r="D50" i="27"/>
  <c r="A47" i="27"/>
  <c r="E46" i="27"/>
  <c r="A46" i="27"/>
  <c r="E41" i="27"/>
  <c r="E88" i="27" s="1"/>
  <c r="D39" i="27"/>
  <c r="D37" i="27"/>
  <c r="D35" i="27"/>
  <c r="D33" i="27"/>
  <c r="D31" i="27"/>
  <c r="D29" i="27"/>
  <c r="D27" i="27"/>
  <c r="D25" i="27"/>
  <c r="D23" i="27"/>
  <c r="D21" i="27"/>
  <c r="D19" i="27"/>
  <c r="D17" i="27"/>
  <c r="D15" i="27"/>
  <c r="D13" i="27"/>
  <c r="D11" i="27"/>
  <c r="D9" i="27"/>
  <c r="D7" i="27"/>
  <c r="A45" i="27"/>
  <c r="AI36" i="1"/>
  <c r="AI35" i="1"/>
  <c r="AI34" i="1"/>
  <c r="AI33" i="1"/>
  <c r="AI32" i="1"/>
  <c r="AI31" i="1"/>
  <c r="D41" i="28" l="1"/>
  <c r="A2" i="29"/>
  <c r="A45" i="29" s="1"/>
  <c r="A2" i="28"/>
  <c r="A45" i="28" s="1"/>
  <c r="D88" i="29"/>
  <c r="D88" i="28"/>
  <c r="D88" i="27"/>
  <c r="AM47" i="1"/>
  <c r="AO47" i="1" s="1"/>
  <c r="D41" i="27"/>
  <c r="AM44" i="1"/>
  <c r="AN44" i="1" s="1"/>
  <c r="AM45" i="1"/>
  <c r="AO45" i="1" s="1"/>
  <c r="AM46" i="1"/>
  <c r="AN46" i="1" s="1"/>
  <c r="AM43" i="1"/>
  <c r="AO43" i="1" s="1"/>
  <c r="AM42" i="1"/>
  <c r="AN42" i="1" s="1"/>
  <c r="H420" i="26"/>
  <c r="G420" i="26"/>
  <c r="AL36" i="1" s="1"/>
  <c r="F420" i="26"/>
  <c r="AL35" i="1" s="1"/>
  <c r="H409" i="26"/>
  <c r="G409" i="26"/>
  <c r="AK36" i="1" s="1"/>
  <c r="F409" i="26"/>
  <c r="AK35" i="1" s="1"/>
  <c r="H398" i="26"/>
  <c r="G398" i="26"/>
  <c r="AJ36" i="1" s="1"/>
  <c r="F398" i="26"/>
  <c r="AJ35" i="1" s="1"/>
  <c r="H387" i="26"/>
  <c r="G387" i="26"/>
  <c r="F387" i="26"/>
  <c r="H376" i="26"/>
  <c r="G376" i="26"/>
  <c r="AH36" i="1" s="1"/>
  <c r="F376" i="26"/>
  <c r="AH35" i="1" s="1"/>
  <c r="H365" i="26"/>
  <c r="G365" i="26"/>
  <c r="AG36" i="1" s="1"/>
  <c r="F365" i="26"/>
  <c r="AG35" i="1" s="1"/>
  <c r="H354" i="26"/>
  <c r="G354" i="26"/>
  <c r="AF36" i="1" s="1"/>
  <c r="F354" i="26"/>
  <c r="AF35" i="1" s="1"/>
  <c r="H335" i="26"/>
  <c r="G335" i="26"/>
  <c r="AE36" i="1" s="1"/>
  <c r="F335" i="26"/>
  <c r="AE35" i="1" s="1"/>
  <c r="H324" i="26"/>
  <c r="G324" i="26"/>
  <c r="AD36" i="1" s="1"/>
  <c r="F324" i="26"/>
  <c r="AD35" i="1" s="1"/>
  <c r="H313" i="26"/>
  <c r="G313" i="26"/>
  <c r="AC36" i="1" s="1"/>
  <c r="F313" i="26"/>
  <c r="AC35" i="1" s="1"/>
  <c r="H302" i="26"/>
  <c r="G302" i="26"/>
  <c r="AB36" i="1" s="1"/>
  <c r="F302" i="26"/>
  <c r="AB35" i="1" s="1"/>
  <c r="H291" i="26"/>
  <c r="G291" i="26"/>
  <c r="AA36" i="1" s="1"/>
  <c r="F291" i="26"/>
  <c r="AA35" i="1" s="1"/>
  <c r="H280" i="26"/>
  <c r="G280" i="26"/>
  <c r="Z36" i="1" s="1"/>
  <c r="F280" i="26"/>
  <c r="Z35" i="1" s="1"/>
  <c r="H269" i="26"/>
  <c r="G269" i="26"/>
  <c r="Y36" i="1" s="1"/>
  <c r="F269" i="26"/>
  <c r="Y35" i="1" s="1"/>
  <c r="H251" i="26"/>
  <c r="G251" i="26"/>
  <c r="X36" i="1" s="1"/>
  <c r="F251" i="26"/>
  <c r="X35" i="1" s="1"/>
  <c r="H240" i="26"/>
  <c r="G240" i="26"/>
  <c r="W36" i="1" s="1"/>
  <c r="F240" i="26"/>
  <c r="W35" i="1" s="1"/>
  <c r="H229" i="26"/>
  <c r="G229" i="26"/>
  <c r="V36" i="1" s="1"/>
  <c r="F229" i="26"/>
  <c r="V35" i="1" s="1"/>
  <c r="H218" i="26"/>
  <c r="G218" i="26"/>
  <c r="U36" i="1" s="1"/>
  <c r="F218" i="26"/>
  <c r="U35" i="1" s="1"/>
  <c r="H207" i="26"/>
  <c r="G207" i="26"/>
  <c r="T36" i="1" s="1"/>
  <c r="F207" i="26"/>
  <c r="T35" i="1" s="1"/>
  <c r="H196" i="26"/>
  <c r="G196" i="26"/>
  <c r="S36" i="1" s="1"/>
  <c r="F196" i="26"/>
  <c r="S35" i="1" s="1"/>
  <c r="H185" i="26"/>
  <c r="G185" i="26"/>
  <c r="R36" i="1" s="1"/>
  <c r="F185" i="26"/>
  <c r="R35" i="1" s="1"/>
  <c r="H167" i="26"/>
  <c r="G167" i="26"/>
  <c r="Q36" i="1" s="1"/>
  <c r="F167" i="26"/>
  <c r="Q35" i="1" s="1"/>
  <c r="H156" i="26"/>
  <c r="G156" i="26"/>
  <c r="P36" i="1" s="1"/>
  <c r="F156" i="26"/>
  <c r="P35" i="1" s="1"/>
  <c r="H145" i="26"/>
  <c r="G145" i="26"/>
  <c r="O36" i="1" s="1"/>
  <c r="F145" i="26"/>
  <c r="O35" i="1" s="1"/>
  <c r="H134" i="26"/>
  <c r="G134" i="26"/>
  <c r="N36" i="1" s="1"/>
  <c r="F134" i="26"/>
  <c r="N35" i="1" s="1"/>
  <c r="H123" i="26"/>
  <c r="G123" i="26"/>
  <c r="M36" i="1" s="1"/>
  <c r="F123" i="26"/>
  <c r="M35" i="1" s="1"/>
  <c r="H112" i="26"/>
  <c r="G112" i="26"/>
  <c r="L36" i="1" s="1"/>
  <c r="F112" i="26"/>
  <c r="L35" i="1" s="1"/>
  <c r="H101" i="26"/>
  <c r="G101" i="26"/>
  <c r="K36" i="1" s="1"/>
  <c r="F101" i="26"/>
  <c r="K35" i="1" s="1"/>
  <c r="I87" i="26"/>
  <c r="I171" i="26" s="1"/>
  <c r="I255" i="26" s="1"/>
  <c r="I339" i="26" s="1"/>
  <c r="H83" i="26"/>
  <c r="G83" i="26"/>
  <c r="J36" i="1" s="1"/>
  <c r="F83" i="26"/>
  <c r="J35" i="1" s="1"/>
  <c r="H72" i="26"/>
  <c r="G72" i="26"/>
  <c r="I36" i="1" s="1"/>
  <c r="F72" i="26"/>
  <c r="I35" i="1" s="1"/>
  <c r="H61" i="26"/>
  <c r="G61" i="26"/>
  <c r="H36" i="1" s="1"/>
  <c r="F61" i="26"/>
  <c r="H35" i="1" s="1"/>
  <c r="H50" i="26"/>
  <c r="G50" i="26"/>
  <c r="G36" i="1" s="1"/>
  <c r="F50" i="26"/>
  <c r="G35" i="1" s="1"/>
  <c r="H39" i="26"/>
  <c r="G39" i="26"/>
  <c r="F36" i="1" s="1"/>
  <c r="F39" i="26"/>
  <c r="F35" i="1" s="1"/>
  <c r="H28" i="26"/>
  <c r="G28" i="26"/>
  <c r="E36" i="1" s="1"/>
  <c r="F28" i="26"/>
  <c r="E35" i="1" s="1"/>
  <c r="H17" i="26"/>
  <c r="G17" i="26"/>
  <c r="F17" i="26"/>
  <c r="I4" i="26"/>
  <c r="I88" i="26" s="1"/>
  <c r="I172" i="26" s="1"/>
  <c r="I256" i="26" s="1"/>
  <c r="I340" i="26" s="1"/>
  <c r="F4" i="26"/>
  <c r="F88" i="26" s="1"/>
  <c r="F172" i="26" s="1"/>
  <c r="F256" i="26" s="1"/>
  <c r="F340" i="26" s="1"/>
  <c r="H2" i="26"/>
  <c r="H86" i="26" s="1"/>
  <c r="H170" i="26" s="1"/>
  <c r="H254" i="26" s="1"/>
  <c r="H338" i="26" s="1"/>
  <c r="F2" i="26"/>
  <c r="F86" i="26" s="1"/>
  <c r="F170" i="26" s="1"/>
  <c r="F254" i="26" s="1"/>
  <c r="F338" i="26" s="1"/>
  <c r="H420" i="25"/>
  <c r="G420" i="25"/>
  <c r="AL34" i="1" s="1"/>
  <c r="F420" i="25"/>
  <c r="AL33" i="1" s="1"/>
  <c r="H409" i="25"/>
  <c r="G409" i="25"/>
  <c r="AK34" i="1" s="1"/>
  <c r="F409" i="25"/>
  <c r="AK33" i="1" s="1"/>
  <c r="H398" i="25"/>
  <c r="G398" i="25"/>
  <c r="AJ34" i="1" s="1"/>
  <c r="F398" i="25"/>
  <c r="AJ33" i="1" s="1"/>
  <c r="H387" i="25"/>
  <c r="G387" i="25"/>
  <c r="F387" i="25"/>
  <c r="H376" i="25"/>
  <c r="G376" i="25"/>
  <c r="AH34" i="1" s="1"/>
  <c r="F376" i="25"/>
  <c r="AH33" i="1" s="1"/>
  <c r="H365" i="25"/>
  <c r="G365" i="25"/>
  <c r="AG34" i="1" s="1"/>
  <c r="F365" i="25"/>
  <c r="AG33" i="1" s="1"/>
  <c r="H354" i="25"/>
  <c r="G354" i="25"/>
  <c r="AF34" i="1" s="1"/>
  <c r="F354" i="25"/>
  <c r="AF33" i="1" s="1"/>
  <c r="H335" i="25"/>
  <c r="G335" i="25"/>
  <c r="AE34" i="1" s="1"/>
  <c r="F335" i="25"/>
  <c r="AE33" i="1" s="1"/>
  <c r="H324" i="25"/>
  <c r="G324" i="25"/>
  <c r="AD34" i="1" s="1"/>
  <c r="F324" i="25"/>
  <c r="AD33" i="1" s="1"/>
  <c r="H313" i="25"/>
  <c r="G313" i="25"/>
  <c r="AC34" i="1" s="1"/>
  <c r="F313" i="25"/>
  <c r="AC33" i="1" s="1"/>
  <c r="H302" i="25"/>
  <c r="G302" i="25"/>
  <c r="AB34" i="1" s="1"/>
  <c r="F302" i="25"/>
  <c r="AB33" i="1" s="1"/>
  <c r="H291" i="25"/>
  <c r="G291" i="25"/>
  <c r="AA34" i="1" s="1"/>
  <c r="F291" i="25"/>
  <c r="AA33" i="1" s="1"/>
  <c r="H280" i="25"/>
  <c r="G280" i="25"/>
  <c r="Z34" i="1" s="1"/>
  <c r="F280" i="25"/>
  <c r="Z33" i="1" s="1"/>
  <c r="H269" i="25"/>
  <c r="G269" i="25"/>
  <c r="Y34" i="1" s="1"/>
  <c r="F269" i="25"/>
  <c r="Y33" i="1" s="1"/>
  <c r="H251" i="25"/>
  <c r="G251" i="25"/>
  <c r="X34" i="1" s="1"/>
  <c r="F251" i="25"/>
  <c r="X33" i="1" s="1"/>
  <c r="H240" i="25"/>
  <c r="G240" i="25"/>
  <c r="W34" i="1" s="1"/>
  <c r="F240" i="25"/>
  <c r="W33" i="1" s="1"/>
  <c r="H229" i="25"/>
  <c r="G229" i="25"/>
  <c r="V34" i="1" s="1"/>
  <c r="F229" i="25"/>
  <c r="V33" i="1" s="1"/>
  <c r="H218" i="25"/>
  <c r="G218" i="25"/>
  <c r="U34" i="1" s="1"/>
  <c r="F218" i="25"/>
  <c r="U33" i="1" s="1"/>
  <c r="H207" i="25"/>
  <c r="G207" i="25"/>
  <c r="T34" i="1" s="1"/>
  <c r="F207" i="25"/>
  <c r="T33" i="1" s="1"/>
  <c r="H196" i="25"/>
  <c r="G196" i="25"/>
  <c r="S34" i="1" s="1"/>
  <c r="F196" i="25"/>
  <c r="S33" i="1" s="1"/>
  <c r="H185" i="25"/>
  <c r="G185" i="25"/>
  <c r="R34" i="1" s="1"/>
  <c r="F185" i="25"/>
  <c r="R33" i="1" s="1"/>
  <c r="H167" i="25"/>
  <c r="G167" i="25"/>
  <c r="Q34" i="1" s="1"/>
  <c r="F167" i="25"/>
  <c r="Q33" i="1" s="1"/>
  <c r="H156" i="25"/>
  <c r="G156" i="25"/>
  <c r="P34" i="1" s="1"/>
  <c r="F156" i="25"/>
  <c r="P33" i="1" s="1"/>
  <c r="H145" i="25"/>
  <c r="G145" i="25"/>
  <c r="O34" i="1" s="1"/>
  <c r="F145" i="25"/>
  <c r="O33" i="1" s="1"/>
  <c r="H134" i="25"/>
  <c r="G134" i="25"/>
  <c r="N34" i="1" s="1"/>
  <c r="F134" i="25"/>
  <c r="N33" i="1" s="1"/>
  <c r="H123" i="25"/>
  <c r="G123" i="25"/>
  <c r="M34" i="1" s="1"/>
  <c r="F123" i="25"/>
  <c r="M33" i="1" s="1"/>
  <c r="H112" i="25"/>
  <c r="G112" i="25"/>
  <c r="L34" i="1" s="1"/>
  <c r="F112" i="25"/>
  <c r="L33" i="1" s="1"/>
  <c r="H101" i="25"/>
  <c r="H168" i="25" s="1"/>
  <c r="G101" i="25"/>
  <c r="F101" i="25"/>
  <c r="K33" i="1" s="1"/>
  <c r="I87" i="25"/>
  <c r="I171" i="25" s="1"/>
  <c r="I255" i="25" s="1"/>
  <c r="I339" i="25" s="1"/>
  <c r="H83" i="25"/>
  <c r="G83" i="25"/>
  <c r="J34" i="1" s="1"/>
  <c r="F83" i="25"/>
  <c r="J33" i="1" s="1"/>
  <c r="H72" i="25"/>
  <c r="G72" i="25"/>
  <c r="I34" i="1" s="1"/>
  <c r="F72" i="25"/>
  <c r="I33" i="1" s="1"/>
  <c r="H61" i="25"/>
  <c r="G61" i="25"/>
  <c r="H34" i="1" s="1"/>
  <c r="F61" i="25"/>
  <c r="H33" i="1" s="1"/>
  <c r="H50" i="25"/>
  <c r="G50" i="25"/>
  <c r="G34" i="1" s="1"/>
  <c r="F50" i="25"/>
  <c r="G33" i="1" s="1"/>
  <c r="H39" i="25"/>
  <c r="G39" i="25"/>
  <c r="F34" i="1" s="1"/>
  <c r="F39" i="25"/>
  <c r="F33" i="1" s="1"/>
  <c r="H28" i="25"/>
  <c r="G28" i="25"/>
  <c r="E34" i="1" s="1"/>
  <c r="F28" i="25"/>
  <c r="E33" i="1" s="1"/>
  <c r="H17" i="25"/>
  <c r="H84" i="25" s="1"/>
  <c r="G17" i="25"/>
  <c r="F17" i="25"/>
  <c r="I4" i="25"/>
  <c r="I88" i="25" s="1"/>
  <c r="I172" i="25" s="1"/>
  <c r="I256" i="25" s="1"/>
  <c r="I340" i="25" s="1"/>
  <c r="F4" i="25"/>
  <c r="F88" i="25" s="1"/>
  <c r="F172" i="25" s="1"/>
  <c r="F256" i="25" s="1"/>
  <c r="F340" i="25" s="1"/>
  <c r="H2" i="25"/>
  <c r="H86" i="25" s="1"/>
  <c r="H170" i="25" s="1"/>
  <c r="H254" i="25" s="1"/>
  <c r="H338" i="25" s="1"/>
  <c r="F2" i="25"/>
  <c r="F86" i="25" s="1"/>
  <c r="F170" i="25" s="1"/>
  <c r="F254" i="25" s="1"/>
  <c r="F338" i="25" s="1"/>
  <c r="H420" i="24"/>
  <c r="G420" i="24"/>
  <c r="AL32" i="1" s="1"/>
  <c r="F420" i="24"/>
  <c r="AL31" i="1" s="1"/>
  <c r="H409" i="24"/>
  <c r="G409" i="24"/>
  <c r="AK32" i="1" s="1"/>
  <c r="F409" i="24"/>
  <c r="AK31" i="1" s="1"/>
  <c r="H398" i="24"/>
  <c r="G398" i="24"/>
  <c r="AJ32" i="1" s="1"/>
  <c r="F398" i="24"/>
  <c r="AJ31" i="1" s="1"/>
  <c r="H387" i="24"/>
  <c r="G387" i="24"/>
  <c r="F387" i="24"/>
  <c r="H376" i="24"/>
  <c r="G376" i="24"/>
  <c r="AH32" i="1" s="1"/>
  <c r="F376" i="24"/>
  <c r="AH31" i="1" s="1"/>
  <c r="H365" i="24"/>
  <c r="G365" i="24"/>
  <c r="AG32" i="1" s="1"/>
  <c r="F365" i="24"/>
  <c r="AG31" i="1" s="1"/>
  <c r="H354" i="24"/>
  <c r="G354" i="24"/>
  <c r="AF32" i="1" s="1"/>
  <c r="F354" i="24"/>
  <c r="AF31" i="1" s="1"/>
  <c r="H335" i="24"/>
  <c r="G335" i="24"/>
  <c r="AE32" i="1" s="1"/>
  <c r="F335" i="24"/>
  <c r="AE31" i="1" s="1"/>
  <c r="H324" i="24"/>
  <c r="G324" i="24"/>
  <c r="AD32" i="1" s="1"/>
  <c r="F324" i="24"/>
  <c r="AD31" i="1" s="1"/>
  <c r="H313" i="24"/>
  <c r="G313" i="24"/>
  <c r="AC32" i="1" s="1"/>
  <c r="F313" i="24"/>
  <c r="AC31" i="1" s="1"/>
  <c r="H302" i="24"/>
  <c r="G302" i="24"/>
  <c r="AB32" i="1" s="1"/>
  <c r="F302" i="24"/>
  <c r="AB31" i="1" s="1"/>
  <c r="H291" i="24"/>
  <c r="G291" i="24"/>
  <c r="AA32" i="1" s="1"/>
  <c r="F291" i="24"/>
  <c r="AA31" i="1" s="1"/>
  <c r="H280" i="24"/>
  <c r="G280" i="24"/>
  <c r="Z32" i="1" s="1"/>
  <c r="F280" i="24"/>
  <c r="Z31" i="1" s="1"/>
  <c r="H269" i="24"/>
  <c r="G269" i="24"/>
  <c r="Y32" i="1" s="1"/>
  <c r="F269" i="24"/>
  <c r="Y31" i="1" s="1"/>
  <c r="H251" i="24"/>
  <c r="G251" i="24"/>
  <c r="X32" i="1" s="1"/>
  <c r="F251" i="24"/>
  <c r="X31" i="1" s="1"/>
  <c r="H240" i="24"/>
  <c r="G240" i="24"/>
  <c r="W32" i="1" s="1"/>
  <c r="F240" i="24"/>
  <c r="W31" i="1" s="1"/>
  <c r="H229" i="24"/>
  <c r="G229" i="24"/>
  <c r="V32" i="1" s="1"/>
  <c r="F229" i="24"/>
  <c r="V31" i="1" s="1"/>
  <c r="H218" i="24"/>
  <c r="G218" i="24"/>
  <c r="U32" i="1" s="1"/>
  <c r="F218" i="24"/>
  <c r="U31" i="1" s="1"/>
  <c r="H207" i="24"/>
  <c r="G207" i="24"/>
  <c r="T32" i="1" s="1"/>
  <c r="F207" i="24"/>
  <c r="T31" i="1" s="1"/>
  <c r="H196" i="24"/>
  <c r="G196" i="24"/>
  <c r="S32" i="1" s="1"/>
  <c r="F196" i="24"/>
  <c r="S31" i="1" s="1"/>
  <c r="H185" i="24"/>
  <c r="G185" i="24"/>
  <c r="R32" i="1" s="1"/>
  <c r="F185" i="24"/>
  <c r="R31" i="1" s="1"/>
  <c r="H167" i="24"/>
  <c r="G167" i="24"/>
  <c r="Q32" i="1" s="1"/>
  <c r="F167" i="24"/>
  <c r="Q31" i="1" s="1"/>
  <c r="H156" i="24"/>
  <c r="G156" i="24"/>
  <c r="P32" i="1" s="1"/>
  <c r="F156" i="24"/>
  <c r="P31" i="1" s="1"/>
  <c r="H145" i="24"/>
  <c r="G145" i="24"/>
  <c r="O32" i="1" s="1"/>
  <c r="F145" i="24"/>
  <c r="O31" i="1" s="1"/>
  <c r="H134" i="24"/>
  <c r="G134" i="24"/>
  <c r="N32" i="1" s="1"/>
  <c r="F134" i="24"/>
  <c r="N31" i="1" s="1"/>
  <c r="H123" i="24"/>
  <c r="G123" i="24"/>
  <c r="M32" i="1" s="1"/>
  <c r="F123" i="24"/>
  <c r="M31" i="1" s="1"/>
  <c r="H112" i="24"/>
  <c r="G112" i="24"/>
  <c r="L32" i="1" s="1"/>
  <c r="F112" i="24"/>
  <c r="L31" i="1" s="1"/>
  <c r="H101" i="24"/>
  <c r="G101" i="24"/>
  <c r="F101" i="24"/>
  <c r="K31" i="1" s="1"/>
  <c r="I87" i="24"/>
  <c r="I171" i="24" s="1"/>
  <c r="I255" i="24" s="1"/>
  <c r="I339" i="24" s="1"/>
  <c r="H83" i="24"/>
  <c r="G83" i="24"/>
  <c r="J32" i="1" s="1"/>
  <c r="F83" i="24"/>
  <c r="J31" i="1" s="1"/>
  <c r="H72" i="24"/>
  <c r="G72" i="24"/>
  <c r="I32" i="1" s="1"/>
  <c r="F72" i="24"/>
  <c r="I31" i="1" s="1"/>
  <c r="H61" i="24"/>
  <c r="G61" i="24"/>
  <c r="H32" i="1" s="1"/>
  <c r="F61" i="24"/>
  <c r="H31" i="1" s="1"/>
  <c r="H50" i="24"/>
  <c r="G50" i="24"/>
  <c r="G32" i="1" s="1"/>
  <c r="F50" i="24"/>
  <c r="G31" i="1" s="1"/>
  <c r="H39" i="24"/>
  <c r="G39" i="24"/>
  <c r="F32" i="1" s="1"/>
  <c r="F39" i="24"/>
  <c r="F31" i="1" s="1"/>
  <c r="H28" i="24"/>
  <c r="G28" i="24"/>
  <c r="E32" i="1" s="1"/>
  <c r="F28" i="24"/>
  <c r="E31" i="1" s="1"/>
  <c r="H17" i="24"/>
  <c r="G17" i="24"/>
  <c r="F17" i="24"/>
  <c r="I4" i="24"/>
  <c r="I88" i="24" s="1"/>
  <c r="I172" i="24" s="1"/>
  <c r="I256" i="24" s="1"/>
  <c r="I340" i="24" s="1"/>
  <c r="F4" i="24"/>
  <c r="F88" i="24" s="1"/>
  <c r="F172" i="24" s="1"/>
  <c r="F256" i="24" s="1"/>
  <c r="F340" i="24" s="1"/>
  <c r="H2" i="24"/>
  <c r="H86" i="24" s="1"/>
  <c r="H170" i="24" s="1"/>
  <c r="H254" i="24" s="1"/>
  <c r="H338" i="24" s="1"/>
  <c r="F2" i="24"/>
  <c r="F86" i="24" s="1"/>
  <c r="F170" i="24" s="1"/>
  <c r="F254" i="24" s="1"/>
  <c r="F338" i="24" s="1"/>
  <c r="B7" i="12"/>
  <c r="E4" i="13"/>
  <c r="AP44" i="1" l="1"/>
  <c r="H84" i="24"/>
  <c r="H168" i="24" s="1"/>
  <c r="H252" i="24" s="1"/>
  <c r="H336" i="24" s="1"/>
  <c r="H421" i="24" s="1"/>
  <c r="F84" i="25"/>
  <c r="D33" i="1"/>
  <c r="AM33" i="1" s="1"/>
  <c r="AN33" i="1" s="1"/>
  <c r="G84" i="25"/>
  <c r="G168" i="25" s="1"/>
  <c r="G252" i="25" s="1"/>
  <c r="G336" i="25" s="1"/>
  <c r="G421" i="25" s="1"/>
  <c r="D34" i="1"/>
  <c r="H168" i="26"/>
  <c r="K32" i="1"/>
  <c r="AO48" i="1"/>
  <c r="F84" i="24"/>
  <c r="F168" i="24" s="1"/>
  <c r="F252" i="24" s="1"/>
  <c r="F336" i="24" s="1"/>
  <c r="F421" i="24" s="1"/>
  <c r="D31" i="1"/>
  <c r="AM31" i="1" s="1"/>
  <c r="AN31" i="1" s="1"/>
  <c r="H84" i="26"/>
  <c r="AP46" i="1"/>
  <c r="AR46" i="1" s="1"/>
  <c r="G84" i="24"/>
  <c r="G168" i="24" s="1"/>
  <c r="G252" i="24" s="1"/>
  <c r="G336" i="24" s="1"/>
  <c r="G421" i="24" s="1"/>
  <c r="D32" i="1"/>
  <c r="AM32" i="1" s="1"/>
  <c r="AO32" i="1" s="1"/>
  <c r="K34" i="1"/>
  <c r="AP42" i="1"/>
  <c r="B7" i="27"/>
  <c r="B9" i="27" s="1"/>
  <c r="B11" i="27" s="1"/>
  <c r="B13" i="27" s="1"/>
  <c r="B15" i="27" s="1"/>
  <c r="B17" i="27" s="1"/>
  <c r="B19" i="27" s="1"/>
  <c r="B21" i="27" s="1"/>
  <c r="B23" i="27" s="1"/>
  <c r="B25" i="27" s="1"/>
  <c r="B27" i="27" s="1"/>
  <c r="B29" i="27" s="1"/>
  <c r="B31" i="27" s="1"/>
  <c r="B33" i="27" s="1"/>
  <c r="B35" i="27" s="1"/>
  <c r="B37" i="27" s="1"/>
  <c r="B39" i="27" s="1"/>
  <c r="B50" i="27" s="1"/>
  <c r="B52" i="27" s="1"/>
  <c r="B54" i="27" s="1"/>
  <c r="B56" i="27" s="1"/>
  <c r="B58" i="27" s="1"/>
  <c r="B60" i="27" s="1"/>
  <c r="B62" i="27" s="1"/>
  <c r="B64" i="27" s="1"/>
  <c r="B66" i="27" s="1"/>
  <c r="B68" i="27" s="1"/>
  <c r="B70" i="27" s="1"/>
  <c r="B72" i="27" s="1"/>
  <c r="B74" i="27" s="1"/>
  <c r="B76" i="27" s="1"/>
  <c r="B78" i="27" s="1"/>
  <c r="B7" i="29"/>
  <c r="B9" i="29" s="1"/>
  <c r="B11" i="29" s="1"/>
  <c r="B13" i="29" s="1"/>
  <c r="B15" i="29" s="1"/>
  <c r="B17" i="29" s="1"/>
  <c r="B19" i="29" s="1"/>
  <c r="B21" i="29" s="1"/>
  <c r="B23" i="29" s="1"/>
  <c r="B25" i="29" s="1"/>
  <c r="B27" i="29" s="1"/>
  <c r="B29" i="29" s="1"/>
  <c r="B31" i="29" s="1"/>
  <c r="B33" i="29" s="1"/>
  <c r="B35" i="29" s="1"/>
  <c r="B37" i="29" s="1"/>
  <c r="B39" i="29" s="1"/>
  <c r="B50" i="29" s="1"/>
  <c r="B52" i="29" s="1"/>
  <c r="B54" i="29" s="1"/>
  <c r="B56" i="29" s="1"/>
  <c r="B58" i="29" s="1"/>
  <c r="B60" i="29" s="1"/>
  <c r="B62" i="29" s="1"/>
  <c r="B64" i="29" s="1"/>
  <c r="B66" i="29" s="1"/>
  <c r="B68" i="29" s="1"/>
  <c r="B70" i="29" s="1"/>
  <c r="B72" i="29" s="1"/>
  <c r="B74" i="29" s="1"/>
  <c r="B76" i="29" s="1"/>
  <c r="B78" i="29" s="1"/>
  <c r="B7" i="28"/>
  <c r="B9" i="28" s="1"/>
  <c r="B11" i="28" s="1"/>
  <c r="B13" i="28" s="1"/>
  <c r="B15" i="28" s="1"/>
  <c r="B17" i="28" s="1"/>
  <c r="B19" i="28" s="1"/>
  <c r="B21" i="28" s="1"/>
  <c r="B23" i="28" s="1"/>
  <c r="B25" i="28" s="1"/>
  <c r="B27" i="28" s="1"/>
  <c r="B29" i="28" s="1"/>
  <c r="B31" i="28" s="1"/>
  <c r="B33" i="28" s="1"/>
  <c r="B35" i="28" s="1"/>
  <c r="B37" i="28" s="1"/>
  <c r="B39" i="28" s="1"/>
  <c r="B50" i="28" s="1"/>
  <c r="B52" i="28" s="1"/>
  <c r="B54" i="28" s="1"/>
  <c r="B56" i="28" s="1"/>
  <c r="B58" i="28" s="1"/>
  <c r="B60" i="28" s="1"/>
  <c r="B62" i="28" s="1"/>
  <c r="B64" i="28" s="1"/>
  <c r="B66" i="28" s="1"/>
  <c r="B68" i="28" s="1"/>
  <c r="B70" i="28" s="1"/>
  <c r="B72" i="28" s="1"/>
  <c r="B74" i="28" s="1"/>
  <c r="B76" i="28" s="1"/>
  <c r="B78" i="28" s="1"/>
  <c r="G84" i="26"/>
  <c r="G168" i="26" s="1"/>
  <c r="G252" i="26" s="1"/>
  <c r="G336" i="26" s="1"/>
  <c r="G421" i="26" s="1"/>
  <c r="D36" i="1"/>
  <c r="AM36" i="1" s="1"/>
  <c r="AO36" i="1" s="1"/>
  <c r="F84" i="26"/>
  <c r="D35" i="1"/>
  <c r="AM35" i="1" s="1"/>
  <c r="AN35" i="1" s="1"/>
  <c r="H252" i="26"/>
  <c r="H336" i="26" s="1"/>
  <c r="H421" i="26" s="1"/>
  <c r="F168" i="26"/>
  <c r="F252" i="26" s="1"/>
  <c r="F336" i="26" s="1"/>
  <c r="F421" i="26" s="1"/>
  <c r="H252" i="25"/>
  <c r="H336" i="25" s="1"/>
  <c r="H421" i="25" s="1"/>
  <c r="F168" i="25"/>
  <c r="F252" i="25" s="1"/>
  <c r="F336" i="25" s="1"/>
  <c r="F421" i="25" s="1"/>
  <c r="AI30" i="1"/>
  <c r="AI29" i="1"/>
  <c r="F30" i="1"/>
  <c r="H420" i="23"/>
  <c r="G420" i="23"/>
  <c r="AL30" i="1" s="1"/>
  <c r="F420" i="23"/>
  <c r="AL29" i="1" s="1"/>
  <c r="H409" i="23"/>
  <c r="G409" i="23"/>
  <c r="AK30" i="1" s="1"/>
  <c r="F409" i="23"/>
  <c r="AK29" i="1" s="1"/>
  <c r="H398" i="23"/>
  <c r="G398" i="23"/>
  <c r="AJ30" i="1" s="1"/>
  <c r="F398" i="23"/>
  <c r="AJ29" i="1" s="1"/>
  <c r="H387" i="23"/>
  <c r="G387" i="23"/>
  <c r="F387" i="23"/>
  <c r="H376" i="23"/>
  <c r="G376" i="23"/>
  <c r="AH30" i="1" s="1"/>
  <c r="F376" i="23"/>
  <c r="AH29" i="1" s="1"/>
  <c r="H365" i="23"/>
  <c r="G365" i="23"/>
  <c r="AG30" i="1" s="1"/>
  <c r="F365" i="23"/>
  <c r="AG29" i="1" s="1"/>
  <c r="H354" i="23"/>
  <c r="G354" i="23"/>
  <c r="AF30" i="1" s="1"/>
  <c r="F354" i="23"/>
  <c r="AF29" i="1" s="1"/>
  <c r="H335" i="23"/>
  <c r="G335" i="23"/>
  <c r="AE30" i="1" s="1"/>
  <c r="F335" i="23"/>
  <c r="AE29" i="1" s="1"/>
  <c r="H324" i="23"/>
  <c r="G324" i="23"/>
  <c r="AD30" i="1" s="1"/>
  <c r="F324" i="23"/>
  <c r="AD29" i="1" s="1"/>
  <c r="H313" i="23"/>
  <c r="G313" i="23"/>
  <c r="AC30" i="1" s="1"/>
  <c r="F313" i="23"/>
  <c r="AC29" i="1" s="1"/>
  <c r="H302" i="23"/>
  <c r="G302" i="23"/>
  <c r="AB30" i="1" s="1"/>
  <c r="F302" i="23"/>
  <c r="AB29" i="1" s="1"/>
  <c r="H291" i="23"/>
  <c r="G291" i="23"/>
  <c r="AA30" i="1" s="1"/>
  <c r="F291" i="23"/>
  <c r="AA29" i="1" s="1"/>
  <c r="H280" i="23"/>
  <c r="G280" i="23"/>
  <c r="Z30" i="1" s="1"/>
  <c r="F280" i="23"/>
  <c r="Z29" i="1" s="1"/>
  <c r="H269" i="23"/>
  <c r="G269" i="23"/>
  <c r="Y30" i="1" s="1"/>
  <c r="F269" i="23"/>
  <c r="Y29" i="1" s="1"/>
  <c r="H251" i="23"/>
  <c r="G251" i="23"/>
  <c r="X30" i="1" s="1"/>
  <c r="F251" i="23"/>
  <c r="X29" i="1" s="1"/>
  <c r="H240" i="23"/>
  <c r="G240" i="23"/>
  <c r="W30" i="1" s="1"/>
  <c r="F240" i="23"/>
  <c r="W29" i="1" s="1"/>
  <c r="H229" i="23"/>
  <c r="G229" i="23"/>
  <c r="V30" i="1" s="1"/>
  <c r="F229" i="23"/>
  <c r="V29" i="1" s="1"/>
  <c r="H218" i="23"/>
  <c r="G218" i="23"/>
  <c r="U30" i="1" s="1"/>
  <c r="F218" i="23"/>
  <c r="U29" i="1" s="1"/>
  <c r="H207" i="23"/>
  <c r="G207" i="23"/>
  <c r="T30" i="1" s="1"/>
  <c r="F207" i="23"/>
  <c r="T29" i="1" s="1"/>
  <c r="H196" i="23"/>
  <c r="G196" i="23"/>
  <c r="S30" i="1" s="1"/>
  <c r="F196" i="23"/>
  <c r="S29" i="1" s="1"/>
  <c r="H185" i="23"/>
  <c r="G185" i="23"/>
  <c r="R30" i="1" s="1"/>
  <c r="F185" i="23"/>
  <c r="R29" i="1" s="1"/>
  <c r="H167" i="23"/>
  <c r="G167" i="23"/>
  <c r="Q30" i="1" s="1"/>
  <c r="F167" i="23"/>
  <c r="Q29" i="1" s="1"/>
  <c r="H156" i="23"/>
  <c r="G156" i="23"/>
  <c r="P30" i="1" s="1"/>
  <c r="F156" i="23"/>
  <c r="P29" i="1" s="1"/>
  <c r="H145" i="23"/>
  <c r="G145" i="23"/>
  <c r="O30" i="1" s="1"/>
  <c r="F145" i="23"/>
  <c r="O29" i="1" s="1"/>
  <c r="H134" i="23"/>
  <c r="G134" i="23"/>
  <c r="N30" i="1" s="1"/>
  <c r="F134" i="23"/>
  <c r="N29" i="1" s="1"/>
  <c r="H123" i="23"/>
  <c r="G123" i="23"/>
  <c r="M30" i="1" s="1"/>
  <c r="F123" i="23"/>
  <c r="M29" i="1" s="1"/>
  <c r="H112" i="23"/>
  <c r="G112" i="23"/>
  <c r="L30" i="1" s="1"/>
  <c r="F112" i="23"/>
  <c r="L29" i="1" s="1"/>
  <c r="H101" i="23"/>
  <c r="G101" i="23"/>
  <c r="K30" i="1" s="1"/>
  <c r="F101" i="23"/>
  <c r="K29" i="1" s="1"/>
  <c r="I87" i="23"/>
  <c r="I171" i="23" s="1"/>
  <c r="I255" i="23" s="1"/>
  <c r="I339" i="23" s="1"/>
  <c r="H83" i="23"/>
  <c r="G83" i="23"/>
  <c r="J30" i="1" s="1"/>
  <c r="F83" i="23"/>
  <c r="J29" i="1" s="1"/>
  <c r="H72" i="23"/>
  <c r="G72" i="23"/>
  <c r="I30" i="1" s="1"/>
  <c r="F72" i="23"/>
  <c r="I29" i="1" s="1"/>
  <c r="H61" i="23"/>
  <c r="G61" i="23"/>
  <c r="H30" i="1" s="1"/>
  <c r="F61" i="23"/>
  <c r="H29" i="1" s="1"/>
  <c r="H50" i="23"/>
  <c r="G50" i="23"/>
  <c r="G30" i="1" s="1"/>
  <c r="F50" i="23"/>
  <c r="G29" i="1" s="1"/>
  <c r="H39" i="23"/>
  <c r="G39" i="23"/>
  <c r="F39" i="23"/>
  <c r="F29" i="1" s="1"/>
  <c r="H28" i="23"/>
  <c r="G28" i="23"/>
  <c r="E30" i="1" s="1"/>
  <c r="F28" i="23"/>
  <c r="E29" i="1" s="1"/>
  <c r="H17" i="23"/>
  <c r="G17" i="23"/>
  <c r="F17" i="23"/>
  <c r="D29" i="1" s="1"/>
  <c r="I4" i="23"/>
  <c r="I88" i="23" s="1"/>
  <c r="I172" i="23" s="1"/>
  <c r="I256" i="23" s="1"/>
  <c r="I340" i="23" s="1"/>
  <c r="F4" i="23"/>
  <c r="F88" i="23" s="1"/>
  <c r="F172" i="23" s="1"/>
  <c r="F256" i="23" s="1"/>
  <c r="F340" i="23" s="1"/>
  <c r="H2" i="23"/>
  <c r="H86" i="23" s="1"/>
  <c r="H170" i="23" s="1"/>
  <c r="H254" i="23" s="1"/>
  <c r="H338" i="23" s="1"/>
  <c r="F2" i="23"/>
  <c r="F86" i="23" s="1"/>
  <c r="F170" i="23" s="1"/>
  <c r="F254" i="23" s="1"/>
  <c r="F338" i="23" s="1"/>
  <c r="AM34" i="1" l="1"/>
  <c r="AO34" i="1" s="1"/>
  <c r="AP33" i="1" s="1"/>
  <c r="AR33" i="1" s="1"/>
  <c r="AP31" i="1"/>
  <c r="AR31" i="1" s="1"/>
  <c r="AP35" i="1"/>
  <c r="AR35" i="1" s="1"/>
  <c r="AM29" i="1"/>
  <c r="AN29" i="1" s="1"/>
  <c r="G84" i="23"/>
  <c r="G168" i="23" s="1"/>
  <c r="G252" i="23" s="1"/>
  <c r="G336" i="23" s="1"/>
  <c r="G421" i="23" s="1"/>
  <c r="H84" i="23"/>
  <c r="H168" i="23" s="1"/>
  <c r="H252" i="23" s="1"/>
  <c r="H336" i="23" s="1"/>
  <c r="H421" i="23" s="1"/>
  <c r="F84" i="23"/>
  <c r="F168" i="23" s="1"/>
  <c r="F252" i="23" s="1"/>
  <c r="F336" i="23" s="1"/>
  <c r="F421" i="23" s="1"/>
  <c r="D30" i="1"/>
  <c r="AM30" i="1" s="1"/>
  <c r="AO30" i="1" s="1"/>
  <c r="AP29" i="1" l="1"/>
  <c r="AR29" i="1" s="1"/>
  <c r="A47" i="12"/>
  <c r="A46" i="12"/>
  <c r="E47" i="12"/>
  <c r="E46" i="12"/>
  <c r="E46" i="13"/>
  <c r="A47" i="13"/>
  <c r="A46" i="13"/>
  <c r="G410" i="20" l="1"/>
  <c r="AL71" i="1" s="1"/>
  <c r="G402" i="20"/>
  <c r="AK71" i="1" s="1"/>
  <c r="G374" i="20"/>
  <c r="AH71" i="1" s="1"/>
  <c r="G382" i="20"/>
  <c r="AI71" i="1" s="1"/>
  <c r="G390" i="20"/>
  <c r="AJ71" i="1" s="1"/>
  <c r="G372" i="14"/>
  <c r="AL70" i="1" s="1"/>
  <c r="G364" i="14"/>
  <c r="AK70" i="1" s="1"/>
  <c r="G356" i="14"/>
  <c r="AJ70" i="1" s="1"/>
  <c r="G348" i="14"/>
  <c r="AI70" i="1" s="1"/>
  <c r="AL24" i="1"/>
  <c r="AL23" i="1"/>
  <c r="AL18" i="1"/>
  <c r="AL17" i="1"/>
  <c r="AK24" i="1"/>
  <c r="AK23" i="1"/>
  <c r="AK18" i="1"/>
  <c r="AK17" i="1"/>
  <c r="AJ24" i="1"/>
  <c r="AJ23" i="1"/>
  <c r="AJ18" i="1"/>
  <c r="AJ17" i="1"/>
  <c r="AI28" i="1"/>
  <c r="AI27" i="1"/>
  <c r="AI24" i="1"/>
  <c r="AI23" i="1"/>
  <c r="AI18" i="1"/>
  <c r="AI17" i="1"/>
  <c r="B7" i="13"/>
  <c r="B7" i="14" s="1"/>
  <c r="B7" i="20" s="1"/>
  <c r="Y28" i="1"/>
  <c r="X27" i="1"/>
  <c r="O28" i="1"/>
  <c r="H420" i="22"/>
  <c r="G420" i="22"/>
  <c r="AL28" i="1" s="1"/>
  <c r="F420" i="22"/>
  <c r="AL27" i="1" s="1"/>
  <c r="H409" i="22"/>
  <c r="G409" i="22"/>
  <c r="AK28" i="1" s="1"/>
  <c r="F409" i="22"/>
  <c r="AK27" i="1" s="1"/>
  <c r="H398" i="22"/>
  <c r="G398" i="22"/>
  <c r="AJ28" i="1" s="1"/>
  <c r="F398" i="22"/>
  <c r="AJ27" i="1" s="1"/>
  <c r="H387" i="22"/>
  <c r="G387" i="22"/>
  <c r="F387" i="22"/>
  <c r="H376" i="22"/>
  <c r="G376" i="22"/>
  <c r="AH28" i="1" s="1"/>
  <c r="F376" i="22"/>
  <c r="AH27" i="1" s="1"/>
  <c r="H365" i="22"/>
  <c r="G365" i="22"/>
  <c r="AG28" i="1" s="1"/>
  <c r="F365" i="22"/>
  <c r="AG27" i="1" s="1"/>
  <c r="H354" i="22"/>
  <c r="G354" i="22"/>
  <c r="AF28" i="1" s="1"/>
  <c r="F354" i="22"/>
  <c r="AF27" i="1" s="1"/>
  <c r="H335" i="22"/>
  <c r="G335" i="22"/>
  <c r="AE28" i="1" s="1"/>
  <c r="F335" i="22"/>
  <c r="AE27" i="1" s="1"/>
  <c r="H324" i="22"/>
  <c r="G324" i="22"/>
  <c r="AD28" i="1" s="1"/>
  <c r="F324" i="22"/>
  <c r="AD27" i="1" s="1"/>
  <c r="H313" i="22"/>
  <c r="G313" i="22"/>
  <c r="AC28" i="1" s="1"/>
  <c r="F313" i="22"/>
  <c r="AC27" i="1" s="1"/>
  <c r="H302" i="22"/>
  <c r="G302" i="22"/>
  <c r="AB28" i="1" s="1"/>
  <c r="F302" i="22"/>
  <c r="AB27" i="1" s="1"/>
  <c r="H291" i="22"/>
  <c r="G291" i="22"/>
  <c r="AA28" i="1" s="1"/>
  <c r="F291" i="22"/>
  <c r="AA27" i="1" s="1"/>
  <c r="H280" i="22"/>
  <c r="G280" i="22"/>
  <c r="Z28" i="1" s="1"/>
  <c r="F280" i="22"/>
  <c r="Z27" i="1" s="1"/>
  <c r="H269" i="22"/>
  <c r="G269" i="22"/>
  <c r="F269" i="22"/>
  <c r="Y27" i="1" s="1"/>
  <c r="H251" i="22"/>
  <c r="G251" i="22"/>
  <c r="X28" i="1" s="1"/>
  <c r="F251" i="22"/>
  <c r="H240" i="22"/>
  <c r="G240" i="22"/>
  <c r="W28" i="1" s="1"/>
  <c r="F240" i="22"/>
  <c r="W27" i="1" s="1"/>
  <c r="H229" i="22"/>
  <c r="G229" i="22"/>
  <c r="V28" i="1" s="1"/>
  <c r="F229" i="22"/>
  <c r="V27" i="1" s="1"/>
  <c r="H218" i="22"/>
  <c r="G218" i="22"/>
  <c r="U28" i="1" s="1"/>
  <c r="F218" i="22"/>
  <c r="U27" i="1" s="1"/>
  <c r="H207" i="22"/>
  <c r="G207" i="22"/>
  <c r="T28" i="1" s="1"/>
  <c r="F207" i="22"/>
  <c r="T27" i="1" s="1"/>
  <c r="H196" i="22"/>
  <c r="G196" i="22"/>
  <c r="S28" i="1" s="1"/>
  <c r="F196" i="22"/>
  <c r="S27" i="1" s="1"/>
  <c r="H185" i="22"/>
  <c r="G185" i="22"/>
  <c r="R28" i="1" s="1"/>
  <c r="F185" i="22"/>
  <c r="R27" i="1" s="1"/>
  <c r="H167" i="22"/>
  <c r="G167" i="22"/>
  <c r="Q28" i="1" s="1"/>
  <c r="F167" i="22"/>
  <c r="Q27" i="1" s="1"/>
  <c r="H156" i="22"/>
  <c r="G156" i="22"/>
  <c r="P28" i="1" s="1"/>
  <c r="F156" i="22"/>
  <c r="P27" i="1" s="1"/>
  <c r="H145" i="22"/>
  <c r="G145" i="22"/>
  <c r="F145" i="22"/>
  <c r="O27" i="1" s="1"/>
  <c r="H134" i="22"/>
  <c r="G134" i="22"/>
  <c r="N28" i="1" s="1"/>
  <c r="F134" i="22"/>
  <c r="N27" i="1" s="1"/>
  <c r="H123" i="22"/>
  <c r="G123" i="22"/>
  <c r="M28" i="1" s="1"/>
  <c r="F123" i="22"/>
  <c r="M27" i="1" s="1"/>
  <c r="H112" i="22"/>
  <c r="G112" i="22"/>
  <c r="L28" i="1" s="1"/>
  <c r="F112" i="22"/>
  <c r="L27" i="1" s="1"/>
  <c r="H101" i="22"/>
  <c r="G101" i="22"/>
  <c r="K28" i="1" s="1"/>
  <c r="F101" i="22"/>
  <c r="K27" i="1" s="1"/>
  <c r="I87" i="22"/>
  <c r="I171" i="22" s="1"/>
  <c r="I255" i="22" s="1"/>
  <c r="I339" i="22" s="1"/>
  <c r="H83" i="22"/>
  <c r="G83" i="22"/>
  <c r="J28" i="1" s="1"/>
  <c r="F83" i="22"/>
  <c r="J27" i="1" s="1"/>
  <c r="H72" i="22"/>
  <c r="G72" i="22"/>
  <c r="I28" i="1" s="1"/>
  <c r="F72" i="22"/>
  <c r="I27" i="1" s="1"/>
  <c r="H61" i="22"/>
  <c r="G61" i="22"/>
  <c r="H28" i="1" s="1"/>
  <c r="F61" i="22"/>
  <c r="H27" i="1" s="1"/>
  <c r="H50" i="22"/>
  <c r="G50" i="22"/>
  <c r="G28" i="1" s="1"/>
  <c r="F50" i="22"/>
  <c r="G27" i="1" s="1"/>
  <c r="H39" i="22"/>
  <c r="G39" i="22"/>
  <c r="F28" i="1" s="1"/>
  <c r="F39" i="22"/>
  <c r="F27" i="1" s="1"/>
  <c r="H28" i="22"/>
  <c r="G28" i="22"/>
  <c r="E28" i="1" s="1"/>
  <c r="F28" i="22"/>
  <c r="E27" i="1" s="1"/>
  <c r="H17" i="22"/>
  <c r="G17" i="22"/>
  <c r="D28" i="1" s="1"/>
  <c r="F17" i="22"/>
  <c r="I4" i="22"/>
  <c r="I88" i="22" s="1"/>
  <c r="I172" i="22" s="1"/>
  <c r="I256" i="22" s="1"/>
  <c r="I340" i="22" s="1"/>
  <c r="F4" i="22"/>
  <c r="F88" i="22" s="1"/>
  <c r="F172" i="22" s="1"/>
  <c r="F256" i="22" s="1"/>
  <c r="F340" i="22" s="1"/>
  <c r="H2" i="22"/>
  <c r="H86" i="22" s="1"/>
  <c r="H170" i="22" s="1"/>
  <c r="H254" i="22" s="1"/>
  <c r="H338" i="22" s="1"/>
  <c r="F2" i="22"/>
  <c r="F86" i="22" s="1"/>
  <c r="F170" i="22" s="1"/>
  <c r="F254" i="22" s="1"/>
  <c r="F338" i="22" s="1"/>
  <c r="G84" i="22" l="1"/>
  <c r="G168" i="22" s="1"/>
  <c r="G252" i="22" s="1"/>
  <c r="G336" i="22" s="1"/>
  <c r="G421" i="22" s="1"/>
  <c r="F84" i="22"/>
  <c r="F168" i="22" s="1"/>
  <c r="F252" i="22" s="1"/>
  <c r="F336" i="22" s="1"/>
  <c r="F421" i="22" s="1"/>
  <c r="D27" i="1"/>
  <c r="AM27" i="1" s="1"/>
  <c r="AN27" i="1" s="1"/>
  <c r="H84" i="22"/>
  <c r="H168" i="22" s="1"/>
  <c r="H252" i="22" s="1"/>
  <c r="H336" i="22" s="1"/>
  <c r="H421" i="22" s="1"/>
  <c r="AM28" i="1"/>
  <c r="AO28" i="1" s="1"/>
  <c r="I4" i="17"/>
  <c r="F4" i="17"/>
  <c r="AP27" i="1" l="1"/>
  <c r="AR27" i="1" s="1"/>
  <c r="G213" i="20"/>
  <c r="G187" i="14"/>
  <c r="F218" i="6"/>
  <c r="G218" i="6"/>
  <c r="H218" i="6"/>
  <c r="B7" i="3"/>
  <c r="H365" i="11" l="1"/>
  <c r="E41" i="13"/>
  <c r="G338" i="20" l="1"/>
  <c r="H207" i="2" l="1"/>
  <c r="G286" i="20" l="1"/>
  <c r="G137" i="20" l="1"/>
  <c r="O71" i="1" s="1"/>
  <c r="G126" i="20"/>
  <c r="G45" i="20" l="1"/>
  <c r="H4" i="20" l="1"/>
  <c r="F112" i="9"/>
  <c r="G112" i="9"/>
  <c r="H112" i="9"/>
  <c r="AQ68" i="1" l="1"/>
  <c r="P20" i="1" l="1"/>
  <c r="O20" i="1"/>
  <c r="M20" i="1"/>
  <c r="G375" i="3"/>
  <c r="F375" i="3"/>
  <c r="B9" i="13" l="1"/>
  <c r="A2" i="13"/>
  <c r="E88" i="13"/>
  <c r="F240" i="6"/>
  <c r="G240" i="6"/>
  <c r="H240" i="6"/>
  <c r="F61" i="4"/>
  <c r="G61" i="4"/>
  <c r="H61" i="4"/>
  <c r="B18" i="2"/>
  <c r="B29" i="2" s="1"/>
  <c r="B40" i="2" s="1"/>
  <c r="B51" i="2" s="1"/>
  <c r="H375" i="3" l="1"/>
  <c r="F364" i="3"/>
  <c r="F280" i="5" l="1"/>
  <c r="G280" i="5"/>
  <c r="H280" i="5"/>
  <c r="F156" i="3"/>
  <c r="G156" i="3"/>
  <c r="H156" i="3"/>
  <c r="G318" i="20" l="1"/>
  <c r="G327" i="20"/>
  <c r="G309" i="20"/>
  <c r="G273" i="20"/>
  <c r="G262" i="20"/>
  <c r="G249" i="20"/>
  <c r="G232" i="20"/>
  <c r="G223" i="20"/>
  <c r="G205" i="20"/>
  <c r="G188" i="20"/>
  <c r="G174" i="20"/>
  <c r="G165" i="20"/>
  <c r="G155" i="20"/>
  <c r="G116" i="20"/>
  <c r="G105" i="20"/>
  <c r="G88" i="20"/>
  <c r="G79" i="20"/>
  <c r="G71" i="20"/>
  <c r="G62" i="20"/>
  <c r="G36" i="20"/>
  <c r="G16" i="20"/>
  <c r="G287" i="20" l="1"/>
  <c r="G123" i="6"/>
  <c r="F324" i="3" l="1"/>
  <c r="G324" i="3"/>
  <c r="H324" i="3"/>
  <c r="A2" i="20" l="1"/>
  <c r="G83" i="9" l="1"/>
  <c r="G167" i="9"/>
  <c r="G25" i="20" l="1"/>
  <c r="G138" i="20"/>
  <c r="G358" i="20"/>
  <c r="G366" i="20"/>
  <c r="G332" i="14"/>
  <c r="G411" i="20" l="1"/>
  <c r="H186" i="17"/>
  <c r="AB71" i="1" l="1"/>
  <c r="G66" i="14"/>
  <c r="G76" i="14" l="1"/>
  <c r="E47" i="13" l="1"/>
  <c r="AG71" i="1" l="1"/>
  <c r="H345" i="20"/>
  <c r="F345" i="20"/>
  <c r="A344" i="20"/>
  <c r="AE71" i="1"/>
  <c r="AD71" i="1"/>
  <c r="AC71" i="1"/>
  <c r="H293" i="20"/>
  <c r="F293" i="20"/>
  <c r="A292" i="20"/>
  <c r="AA71" i="1"/>
  <c r="Z71" i="1"/>
  <c r="Y71" i="1"/>
  <c r="H239" i="20"/>
  <c r="F239" i="20"/>
  <c r="A238" i="20"/>
  <c r="W71" i="1"/>
  <c r="V71" i="1"/>
  <c r="U71" i="1"/>
  <c r="T71" i="1"/>
  <c r="H195" i="20"/>
  <c r="F195" i="20"/>
  <c r="A194" i="20"/>
  <c r="S71" i="1"/>
  <c r="R71" i="1"/>
  <c r="Q71" i="1"/>
  <c r="H144" i="20"/>
  <c r="F144" i="20"/>
  <c r="A143" i="20"/>
  <c r="N71" i="1"/>
  <c r="M71" i="1"/>
  <c r="H95" i="20"/>
  <c r="F95" i="20"/>
  <c r="A94" i="20"/>
  <c r="K71" i="1"/>
  <c r="J71" i="1"/>
  <c r="I71" i="1"/>
  <c r="H52" i="20"/>
  <c r="F52" i="20"/>
  <c r="H51" i="20"/>
  <c r="H94" i="20" s="1"/>
  <c r="H143" i="20" s="1"/>
  <c r="H194" i="20" s="1"/>
  <c r="H238" i="20" s="1"/>
  <c r="H292" i="20" s="1"/>
  <c r="H344" i="20" s="1"/>
  <c r="A51" i="20"/>
  <c r="A50" i="20"/>
  <c r="A93" i="20" s="1"/>
  <c r="A142" i="20" s="1"/>
  <c r="A193" i="20" s="1"/>
  <c r="A237" i="20" s="1"/>
  <c r="A291" i="20" s="1"/>
  <c r="A343" i="20" s="1"/>
  <c r="G71" i="1"/>
  <c r="F71" i="1"/>
  <c r="E71" i="1"/>
  <c r="B17" i="20"/>
  <c r="B26" i="20" s="1"/>
  <c r="B37" i="20" s="1"/>
  <c r="B55" i="20" s="1"/>
  <c r="B63" i="20" s="1"/>
  <c r="B72" i="20" s="1"/>
  <c r="B80" i="20" s="1"/>
  <c r="B98" i="20" s="1"/>
  <c r="B106" i="20" s="1"/>
  <c r="B117" i="20" s="1"/>
  <c r="B127" i="20" s="1"/>
  <c r="B147" i="20" s="1"/>
  <c r="B156" i="20" s="1"/>
  <c r="B166" i="20" s="1"/>
  <c r="B175" i="20" s="1"/>
  <c r="B198" i="20" s="1"/>
  <c r="B206" i="20" l="1"/>
  <c r="B214" i="20" s="1"/>
  <c r="B224" i="20" s="1"/>
  <c r="B242" i="20" s="1"/>
  <c r="B250" i="20" s="1"/>
  <c r="B263" i="20" s="1"/>
  <c r="B274" i="20" s="1"/>
  <c r="B296" i="20" s="1"/>
  <c r="B310" i="20" s="1"/>
  <c r="B319" i="20" s="1"/>
  <c r="B328" i="20" s="1"/>
  <c r="B348" i="20" s="1"/>
  <c r="AF71" i="1"/>
  <c r="G339" i="20"/>
  <c r="X71" i="1"/>
  <c r="G233" i="20"/>
  <c r="G189" i="20"/>
  <c r="P71" i="1"/>
  <c r="L71" i="1"/>
  <c r="G89" i="20"/>
  <c r="H71" i="1"/>
  <c r="G46" i="20"/>
  <c r="D71" i="1"/>
  <c r="AM71" i="1" l="1"/>
  <c r="AP71" i="1" s="1"/>
  <c r="G412" i="20"/>
  <c r="B359" i="20"/>
  <c r="B367" i="20" s="1"/>
  <c r="B375" i="20" s="1"/>
  <c r="B383" i="20" s="1"/>
  <c r="B391" i="20" s="1"/>
  <c r="B403" i="20" s="1"/>
  <c r="B7" i="4"/>
  <c r="B7" i="5" s="1"/>
  <c r="B7" i="6" s="1"/>
  <c r="B7" i="7" s="1"/>
  <c r="B7" i="8" s="1"/>
  <c r="B7" i="9" s="1"/>
  <c r="B7" i="10" l="1"/>
  <c r="B18" i="9"/>
  <c r="B7" i="23" l="1"/>
  <c r="B18" i="23" s="1"/>
  <c r="B29" i="23" s="1"/>
  <c r="B40" i="23" s="1"/>
  <c r="B51" i="23" s="1"/>
  <c r="B62" i="23" s="1"/>
  <c r="B73" i="23" s="1"/>
  <c r="B91" i="23" s="1"/>
  <c r="B102" i="23" s="1"/>
  <c r="B113" i="23" s="1"/>
  <c r="B124" i="23" s="1"/>
  <c r="B135" i="23" s="1"/>
  <c r="B146" i="23" s="1"/>
  <c r="B157" i="23" s="1"/>
  <c r="B175" i="23" s="1"/>
  <c r="B186" i="23" s="1"/>
  <c r="B197" i="23" s="1"/>
  <c r="B208" i="23" s="1"/>
  <c r="B219" i="23" s="1"/>
  <c r="B230" i="23" s="1"/>
  <c r="B241" i="23" s="1"/>
  <c r="B259" i="23" s="1"/>
  <c r="B270" i="23" s="1"/>
  <c r="B281" i="23" s="1"/>
  <c r="B292" i="23" s="1"/>
  <c r="B303" i="23" s="1"/>
  <c r="B314" i="23" s="1"/>
  <c r="B325" i="23" s="1"/>
  <c r="B343" i="23" s="1"/>
  <c r="B355" i="23" s="1"/>
  <c r="B366" i="23" s="1"/>
  <c r="B377" i="23" s="1"/>
  <c r="B388" i="23" s="1"/>
  <c r="B399" i="23" s="1"/>
  <c r="B7" i="26"/>
  <c r="B18" i="26" s="1"/>
  <c r="B29" i="26" s="1"/>
  <c r="B40" i="26" s="1"/>
  <c r="B51" i="26" s="1"/>
  <c r="B62" i="26" s="1"/>
  <c r="B73" i="26" s="1"/>
  <c r="B91" i="26" s="1"/>
  <c r="B102" i="26" s="1"/>
  <c r="B113" i="26" s="1"/>
  <c r="B124" i="26" s="1"/>
  <c r="B135" i="26" s="1"/>
  <c r="B146" i="26" s="1"/>
  <c r="B157" i="26" s="1"/>
  <c r="B175" i="26" s="1"/>
  <c r="B186" i="26" s="1"/>
  <c r="B197" i="26" s="1"/>
  <c r="B208" i="26" s="1"/>
  <c r="B219" i="26" s="1"/>
  <c r="B230" i="26" s="1"/>
  <c r="B241" i="26" s="1"/>
  <c r="B259" i="26" s="1"/>
  <c r="B270" i="26" s="1"/>
  <c r="B281" i="26" s="1"/>
  <c r="B292" i="26" s="1"/>
  <c r="B303" i="26" s="1"/>
  <c r="B314" i="26" s="1"/>
  <c r="B325" i="26" s="1"/>
  <c r="B343" i="26" s="1"/>
  <c r="B355" i="26" s="1"/>
  <c r="B366" i="26" s="1"/>
  <c r="B377" i="26" s="1"/>
  <c r="B388" i="26" s="1"/>
  <c r="B399" i="26" s="1"/>
  <c r="B7" i="25"/>
  <c r="B18" i="25" s="1"/>
  <c r="B29" i="25" s="1"/>
  <c r="B40" i="25" s="1"/>
  <c r="B51" i="25" s="1"/>
  <c r="B62" i="25" s="1"/>
  <c r="B73" i="25" s="1"/>
  <c r="B91" i="25" s="1"/>
  <c r="B102" i="25" s="1"/>
  <c r="B113" i="25" s="1"/>
  <c r="B124" i="25" s="1"/>
  <c r="B135" i="25" s="1"/>
  <c r="B146" i="25" s="1"/>
  <c r="B157" i="25" s="1"/>
  <c r="B175" i="25" s="1"/>
  <c r="B186" i="25" s="1"/>
  <c r="B197" i="25" s="1"/>
  <c r="B208" i="25" s="1"/>
  <c r="B219" i="25" s="1"/>
  <c r="B230" i="25" s="1"/>
  <c r="B241" i="25" s="1"/>
  <c r="B259" i="25" s="1"/>
  <c r="B270" i="25" s="1"/>
  <c r="B281" i="25" s="1"/>
  <c r="B292" i="25" s="1"/>
  <c r="B303" i="25" s="1"/>
  <c r="B314" i="25" s="1"/>
  <c r="B325" i="25" s="1"/>
  <c r="B343" i="25" s="1"/>
  <c r="B355" i="25" s="1"/>
  <c r="B366" i="25" s="1"/>
  <c r="B377" i="25" s="1"/>
  <c r="B388" i="25" s="1"/>
  <c r="B399" i="25" s="1"/>
  <c r="B7" i="24"/>
  <c r="B18" i="24" s="1"/>
  <c r="B29" i="24" s="1"/>
  <c r="B40" i="24" s="1"/>
  <c r="B51" i="24" s="1"/>
  <c r="B62" i="24" s="1"/>
  <c r="B73" i="24" s="1"/>
  <c r="B91" i="24" s="1"/>
  <c r="B102" i="24" s="1"/>
  <c r="B113" i="24" s="1"/>
  <c r="B124" i="24" s="1"/>
  <c r="B135" i="24" s="1"/>
  <c r="B146" i="24" s="1"/>
  <c r="B157" i="24" s="1"/>
  <c r="B175" i="24" s="1"/>
  <c r="B186" i="24" s="1"/>
  <c r="B197" i="24" s="1"/>
  <c r="B208" i="24" s="1"/>
  <c r="B219" i="24" s="1"/>
  <c r="B230" i="24" s="1"/>
  <c r="B241" i="24" s="1"/>
  <c r="B259" i="24" s="1"/>
  <c r="B270" i="24" s="1"/>
  <c r="B281" i="24" s="1"/>
  <c r="B292" i="24" s="1"/>
  <c r="B303" i="24" s="1"/>
  <c r="B314" i="24" s="1"/>
  <c r="B325" i="24" s="1"/>
  <c r="B343" i="24" s="1"/>
  <c r="B355" i="24" s="1"/>
  <c r="B366" i="24" s="1"/>
  <c r="B377" i="24" s="1"/>
  <c r="B388" i="24" s="1"/>
  <c r="B399" i="24" s="1"/>
  <c r="B7" i="11"/>
  <c r="B7" i="17" s="1"/>
  <c r="B7" i="22"/>
  <c r="B18" i="22" s="1"/>
  <c r="B29" i="22" s="1"/>
  <c r="B40" i="22" s="1"/>
  <c r="B51" i="22" s="1"/>
  <c r="B62" i="22" s="1"/>
  <c r="B73" i="22" s="1"/>
  <c r="B91" i="22" s="1"/>
  <c r="B102" i="22" s="1"/>
  <c r="B113" i="22" s="1"/>
  <c r="B124" i="22" s="1"/>
  <c r="B135" i="22" s="1"/>
  <c r="B146" i="22" s="1"/>
  <c r="B157" i="22" s="1"/>
  <c r="B175" i="22" s="1"/>
  <c r="B186" i="22" s="1"/>
  <c r="B197" i="22" s="1"/>
  <c r="B208" i="22" s="1"/>
  <c r="B219" i="22" s="1"/>
  <c r="B230" i="22" s="1"/>
  <c r="B241" i="22" s="1"/>
  <c r="B259" i="22" s="1"/>
  <c r="B270" i="22" s="1"/>
  <c r="B281" i="22" s="1"/>
  <c r="B292" i="22" s="1"/>
  <c r="B303" i="22" s="1"/>
  <c r="B314" i="22" s="1"/>
  <c r="B325" i="22" s="1"/>
  <c r="B343" i="22" s="1"/>
  <c r="B355" i="22" s="1"/>
  <c r="B366" i="22" s="1"/>
  <c r="B377" i="22" s="1"/>
  <c r="B388" i="22" s="1"/>
  <c r="B399" i="22" s="1"/>
  <c r="H17" i="6"/>
  <c r="G83" i="6"/>
  <c r="G50" i="17"/>
  <c r="G50" i="11"/>
  <c r="G72" i="10"/>
  <c r="H61" i="10"/>
  <c r="G61" i="10"/>
  <c r="G28" i="10"/>
  <c r="G61" i="9"/>
  <c r="G39" i="9"/>
  <c r="G28" i="9"/>
  <c r="G83" i="8"/>
  <c r="J20" i="1" s="1"/>
  <c r="G72" i="8"/>
  <c r="G61" i="8"/>
  <c r="H20" i="1" s="1"/>
  <c r="G72" i="7"/>
  <c r="G28" i="7"/>
  <c r="G17" i="7"/>
  <c r="G72" i="6"/>
  <c r="G61" i="6"/>
  <c r="G72" i="5"/>
  <c r="G28" i="5"/>
  <c r="G72" i="4"/>
  <c r="G28" i="4"/>
  <c r="G83" i="3"/>
  <c r="G72" i="3"/>
  <c r="G61" i="3"/>
  <c r="G50" i="3"/>
  <c r="H39" i="3"/>
  <c r="G39" i="3"/>
  <c r="G28" i="3"/>
  <c r="G28" i="6"/>
  <c r="F28" i="6"/>
  <c r="G278" i="14"/>
  <c r="I20" i="1" l="1"/>
  <c r="H167" i="10"/>
  <c r="H185" i="10"/>
  <c r="H196" i="10"/>
  <c r="H280" i="9"/>
  <c r="H291" i="9"/>
  <c r="H112" i="8"/>
  <c r="H218" i="8"/>
  <c r="H229" i="8"/>
  <c r="H251" i="8"/>
  <c r="H269" i="8"/>
  <c r="H280" i="8"/>
  <c r="H291" i="8"/>
  <c r="H156" i="7"/>
  <c r="H167" i="7"/>
  <c r="H185" i="7"/>
  <c r="H196" i="7"/>
  <c r="H229" i="6"/>
  <c r="H229" i="3"/>
  <c r="H280" i="3"/>
  <c r="H167" i="2"/>
  <c r="H156" i="2"/>
  <c r="H134" i="2"/>
  <c r="H196" i="2"/>
  <c r="G241" i="14" l="1"/>
  <c r="A45" i="13" l="1"/>
  <c r="A45" i="12"/>
  <c r="A45" i="14" l="1"/>
  <c r="A90" i="14" s="1"/>
  <c r="A131" i="14" s="1"/>
  <c r="A175" i="14" s="1"/>
  <c r="A216" i="14" s="1"/>
  <c r="A262" i="14" s="1"/>
  <c r="A309" i="14" s="1"/>
  <c r="D64" i="12"/>
  <c r="D60" i="12"/>
  <c r="F134" i="9"/>
  <c r="G134" i="9"/>
  <c r="H134" i="9"/>
  <c r="F72" i="7"/>
  <c r="H72" i="7"/>
  <c r="Z65" i="1" l="1"/>
  <c r="Z64" i="1"/>
  <c r="AB64" i="1"/>
  <c r="AB65" i="1"/>
  <c r="Z59" i="1"/>
  <c r="Z60" i="1"/>
  <c r="AB62" i="1"/>
  <c r="AB61" i="1"/>
  <c r="Z66" i="1"/>
  <c r="Z63" i="1"/>
  <c r="Z61" i="1"/>
  <c r="Z62" i="1"/>
  <c r="AB59" i="1"/>
  <c r="Z57" i="1"/>
  <c r="AB63" i="1"/>
  <c r="F101" i="17"/>
  <c r="K37" i="1" s="1"/>
  <c r="G101" i="17"/>
  <c r="K38" i="1" s="1"/>
  <c r="H101" i="17"/>
  <c r="G38" i="1"/>
  <c r="H420" i="17"/>
  <c r="G420" i="17"/>
  <c r="AL38" i="1" s="1"/>
  <c r="F420" i="17"/>
  <c r="AL37" i="1" s="1"/>
  <c r="H409" i="17"/>
  <c r="G409" i="17"/>
  <c r="AK38" i="1" s="1"/>
  <c r="F409" i="17"/>
  <c r="AK37" i="1" s="1"/>
  <c r="H398" i="17"/>
  <c r="G398" i="17"/>
  <c r="AJ38" i="1" s="1"/>
  <c r="F398" i="17"/>
  <c r="AJ37" i="1" s="1"/>
  <c r="H387" i="17"/>
  <c r="G387" i="17"/>
  <c r="AI38" i="1" s="1"/>
  <c r="F387" i="17"/>
  <c r="AI37" i="1" s="1"/>
  <c r="H376" i="17"/>
  <c r="G376" i="17"/>
  <c r="AH38" i="1" s="1"/>
  <c r="F376" i="17"/>
  <c r="AH37" i="1" s="1"/>
  <c r="H365" i="17"/>
  <c r="G365" i="17"/>
  <c r="AG38" i="1" s="1"/>
  <c r="F365" i="17"/>
  <c r="AG37" i="1" s="1"/>
  <c r="H354" i="17"/>
  <c r="G354" i="17"/>
  <c r="AF38" i="1" s="1"/>
  <c r="F354" i="17"/>
  <c r="AF37" i="1" s="1"/>
  <c r="H336" i="17"/>
  <c r="G336" i="17"/>
  <c r="AE38" i="1" s="1"/>
  <c r="F336" i="17"/>
  <c r="AE37" i="1" s="1"/>
  <c r="H325" i="17"/>
  <c r="G325" i="17"/>
  <c r="AD38" i="1" s="1"/>
  <c r="F325" i="17"/>
  <c r="AD37" i="1" s="1"/>
  <c r="H314" i="17"/>
  <c r="G314" i="17"/>
  <c r="AC38" i="1" s="1"/>
  <c r="F314" i="17"/>
  <c r="AC37" i="1" s="1"/>
  <c r="H303" i="17"/>
  <c r="G303" i="17"/>
  <c r="AB38" i="1" s="1"/>
  <c r="F303" i="17"/>
  <c r="AB37" i="1" s="1"/>
  <c r="H292" i="17"/>
  <c r="G292" i="17"/>
  <c r="AA38" i="1" s="1"/>
  <c r="F292" i="17"/>
  <c r="AA37" i="1" s="1"/>
  <c r="H281" i="17"/>
  <c r="G281" i="17"/>
  <c r="Z38" i="1" s="1"/>
  <c r="F281" i="17"/>
  <c r="Z37" i="1" s="1"/>
  <c r="H270" i="17"/>
  <c r="G270" i="17"/>
  <c r="F270" i="17"/>
  <c r="H252" i="17"/>
  <c r="G252" i="17"/>
  <c r="X38" i="1" s="1"/>
  <c r="F252" i="17"/>
  <c r="X37" i="1" s="1"/>
  <c r="H241" i="17"/>
  <c r="G241" i="17"/>
  <c r="W38" i="1" s="1"/>
  <c r="F241" i="17"/>
  <c r="W37" i="1" s="1"/>
  <c r="H230" i="17"/>
  <c r="G230" i="17"/>
  <c r="V38" i="1" s="1"/>
  <c r="F230" i="17"/>
  <c r="V37" i="1" s="1"/>
  <c r="H219" i="17"/>
  <c r="G219" i="17"/>
  <c r="U38" i="1" s="1"/>
  <c r="F219" i="17"/>
  <c r="U37" i="1" s="1"/>
  <c r="H208" i="17"/>
  <c r="G208" i="17"/>
  <c r="T38" i="1" s="1"/>
  <c r="F208" i="17"/>
  <c r="T37" i="1" s="1"/>
  <c r="H197" i="17"/>
  <c r="G197" i="17"/>
  <c r="S38" i="1" s="1"/>
  <c r="F197" i="17"/>
  <c r="S37" i="1" s="1"/>
  <c r="G186" i="17"/>
  <c r="R38" i="1" s="1"/>
  <c r="F186" i="17"/>
  <c r="R37" i="1" s="1"/>
  <c r="H167" i="17"/>
  <c r="G167" i="17"/>
  <c r="Q38" i="1" s="1"/>
  <c r="F167" i="17"/>
  <c r="Q37" i="1" s="1"/>
  <c r="H156" i="17"/>
  <c r="G156" i="17"/>
  <c r="P38" i="1" s="1"/>
  <c r="F156" i="17"/>
  <c r="P37" i="1" s="1"/>
  <c r="H145" i="17"/>
  <c r="G145" i="17"/>
  <c r="O38" i="1" s="1"/>
  <c r="F145" i="17"/>
  <c r="O37" i="1" s="1"/>
  <c r="H134" i="17"/>
  <c r="G134" i="17"/>
  <c r="N38" i="1" s="1"/>
  <c r="F134" i="17"/>
  <c r="N37" i="1" s="1"/>
  <c r="H123" i="17"/>
  <c r="G123" i="17"/>
  <c r="M38" i="1" s="1"/>
  <c r="F123" i="17"/>
  <c r="M37" i="1" s="1"/>
  <c r="H112" i="17"/>
  <c r="G112" i="17"/>
  <c r="L38" i="1" s="1"/>
  <c r="F112" i="17"/>
  <c r="L37" i="1" s="1"/>
  <c r="I87" i="17"/>
  <c r="I171" i="17" s="1"/>
  <c r="I256" i="17" s="1"/>
  <c r="I340" i="17" s="1"/>
  <c r="H83" i="17"/>
  <c r="G83" i="17"/>
  <c r="J38" i="1" s="1"/>
  <c r="F83" i="17"/>
  <c r="J37" i="1" s="1"/>
  <c r="H72" i="17"/>
  <c r="G72" i="17"/>
  <c r="I38" i="1" s="1"/>
  <c r="F72" i="17"/>
  <c r="I37" i="1" s="1"/>
  <c r="H61" i="17"/>
  <c r="G61" i="17"/>
  <c r="H38" i="1" s="1"/>
  <c r="F61" i="17"/>
  <c r="H37" i="1" s="1"/>
  <c r="H50" i="17"/>
  <c r="F50" i="17"/>
  <c r="G37" i="1" s="1"/>
  <c r="H39" i="17"/>
  <c r="G39" i="17"/>
  <c r="F38" i="1" s="1"/>
  <c r="F39" i="17"/>
  <c r="F37" i="1" s="1"/>
  <c r="H28" i="17"/>
  <c r="G28" i="17"/>
  <c r="E38" i="1" s="1"/>
  <c r="F28" i="17"/>
  <c r="E37" i="1" s="1"/>
  <c r="B18" i="17"/>
  <c r="B29" i="17" s="1"/>
  <c r="B40" i="17" s="1"/>
  <c r="B51" i="17" s="1"/>
  <c r="B62" i="17" s="1"/>
  <c r="B73" i="17" s="1"/>
  <c r="H17" i="17"/>
  <c r="G17" i="17"/>
  <c r="F17" i="17"/>
  <c r="D37" i="1" s="1"/>
  <c r="I88" i="17"/>
  <c r="I172" i="17" s="1"/>
  <c r="I257" i="17" s="1"/>
  <c r="I341" i="17" s="1"/>
  <c r="F88" i="17"/>
  <c r="F172" i="17" s="1"/>
  <c r="F257" i="17" s="1"/>
  <c r="F341" i="17" s="1"/>
  <c r="H2" i="17"/>
  <c r="H86" i="17" s="1"/>
  <c r="H170" i="17" s="1"/>
  <c r="H255" i="17" s="1"/>
  <c r="H339" i="17" s="1"/>
  <c r="F2" i="17"/>
  <c r="F86" i="17" s="1"/>
  <c r="F170" i="17" s="1"/>
  <c r="F255" i="17" s="1"/>
  <c r="F339" i="17" s="1"/>
  <c r="Y38" i="1" l="1"/>
  <c r="Y37" i="1"/>
  <c r="AM37" i="1" s="1"/>
  <c r="B91" i="17"/>
  <c r="B102" i="17" s="1"/>
  <c r="B113" i="17" s="1"/>
  <c r="B124" i="17" s="1"/>
  <c r="B135" i="17" s="1"/>
  <c r="B146" i="17" s="1"/>
  <c r="B157" i="17" s="1"/>
  <c r="B175" i="17" s="1"/>
  <c r="B187" i="17" s="1"/>
  <c r="B198" i="17" s="1"/>
  <c r="B209" i="17" s="1"/>
  <c r="B220" i="17" s="1"/>
  <c r="B231" i="17" s="1"/>
  <c r="B242" i="17" s="1"/>
  <c r="B260" i="17" s="1"/>
  <c r="B271" i="17" s="1"/>
  <c r="B282" i="17" s="1"/>
  <c r="B293" i="17" s="1"/>
  <c r="B304" i="17" s="1"/>
  <c r="B315" i="17" s="1"/>
  <c r="B326" i="17" s="1"/>
  <c r="B344" i="17" s="1"/>
  <c r="B355" i="17" s="1"/>
  <c r="B366" i="17" s="1"/>
  <c r="B377" i="17" s="1"/>
  <c r="B388" i="17" s="1"/>
  <c r="B399" i="17" s="1"/>
  <c r="B410" i="17" s="1"/>
  <c r="F84" i="17"/>
  <c r="F168" i="17" s="1"/>
  <c r="F253" i="17" s="1"/>
  <c r="F337" i="17" s="1"/>
  <c r="F421" i="17" s="1"/>
  <c r="G84" i="17"/>
  <c r="G168" i="17" s="1"/>
  <c r="G253" i="17" s="1"/>
  <c r="G337" i="17" s="1"/>
  <c r="G421" i="17" s="1"/>
  <c r="H84" i="17"/>
  <c r="H168" i="17" s="1"/>
  <c r="H253" i="17" s="1"/>
  <c r="H337" i="17" s="1"/>
  <c r="H421" i="17" s="1"/>
  <c r="D38" i="1"/>
  <c r="B18" i="3" l="1"/>
  <c r="B29" i="3" l="1"/>
  <c r="B40" i="3" s="1"/>
  <c r="B51" i="3" s="1"/>
  <c r="B62" i="3" s="1"/>
  <c r="B73" i="3" s="1"/>
  <c r="B91" i="3" s="1"/>
  <c r="B102" i="3" s="1"/>
  <c r="B113" i="3" s="1"/>
  <c r="B124" i="3" s="1"/>
  <c r="B9" i="12"/>
  <c r="B11" i="12" s="1"/>
  <c r="B13" i="12" s="1"/>
  <c r="B15" i="12" s="1"/>
  <c r="B17" i="12" s="1"/>
  <c r="B19" i="12" s="1"/>
  <c r="B21" i="12" s="1"/>
  <c r="B23" i="12" s="1"/>
  <c r="B25" i="12" s="1"/>
  <c r="B27" i="12" s="1"/>
  <c r="B29" i="12" s="1"/>
  <c r="B31" i="12" s="1"/>
  <c r="B33" i="12" s="1"/>
  <c r="B35" i="12" s="1"/>
  <c r="B37" i="12" s="1"/>
  <c r="B39" i="12" s="1"/>
  <c r="B50" i="12" s="1"/>
  <c r="B52" i="12" s="1"/>
  <c r="B54" i="12" s="1"/>
  <c r="B56" i="12" s="1"/>
  <c r="B58" i="12" s="1"/>
  <c r="B60" i="12" s="1"/>
  <c r="B62" i="12" s="1"/>
  <c r="B64" i="12" s="1"/>
  <c r="B66" i="12" s="1"/>
  <c r="B68" i="12" s="1"/>
  <c r="B70" i="12" s="1"/>
  <c r="B72" i="12" s="1"/>
  <c r="B74" i="12" s="1"/>
  <c r="B76" i="12" s="1"/>
  <c r="B78" i="12" s="1"/>
  <c r="B80" i="12" s="1"/>
  <c r="B82" i="12" s="1"/>
  <c r="B84" i="12" s="1"/>
  <c r="B86" i="12" s="1"/>
  <c r="B15" i="14" l="1"/>
  <c r="B25" i="14" s="1"/>
  <c r="B33" i="14" s="1"/>
  <c r="B50" i="14" s="1"/>
  <c r="B58" i="14" s="1"/>
  <c r="B67" i="14" s="1"/>
  <c r="B77" i="14" s="1"/>
  <c r="B95" i="14" s="1"/>
  <c r="B103" i="14" s="1"/>
  <c r="B111" i="14" s="1"/>
  <c r="B119" i="14" s="1"/>
  <c r="B136" i="14" s="1"/>
  <c r="B145" i="14" s="1"/>
  <c r="B153" i="14" s="1"/>
  <c r="B161" i="14" s="1"/>
  <c r="D29" i="12"/>
  <c r="B18" i="11"/>
  <c r="B29" i="11" s="1"/>
  <c r="B40" i="11" s="1"/>
  <c r="B51" i="11" s="1"/>
  <c r="B62" i="11" s="1"/>
  <c r="B73" i="11" s="1"/>
  <c r="B91" i="11" s="1"/>
  <c r="B102" i="11" s="1"/>
  <c r="B113" i="11" s="1"/>
  <c r="B124" i="11" s="1"/>
  <c r="B135" i="11" s="1"/>
  <c r="B146" i="11" s="1"/>
  <c r="B157" i="11" s="1"/>
  <c r="B175" i="11" s="1"/>
  <c r="B186" i="11" s="1"/>
  <c r="B197" i="11" s="1"/>
  <c r="B208" i="11" s="1"/>
  <c r="B219" i="11" s="1"/>
  <c r="B230" i="11" s="1"/>
  <c r="B241" i="11" s="1"/>
  <c r="B259" i="11" s="1"/>
  <c r="B270" i="11" s="1"/>
  <c r="B281" i="11" s="1"/>
  <c r="B292" i="11" s="1"/>
  <c r="B303" i="11" s="1"/>
  <c r="B314" i="11" s="1"/>
  <c r="B325" i="11" s="1"/>
  <c r="B343" i="11" s="1"/>
  <c r="B355" i="11" s="1"/>
  <c r="B366" i="11" s="1"/>
  <c r="B377" i="11" s="1"/>
  <c r="B18" i="10"/>
  <c r="B29" i="10" s="1"/>
  <c r="B40" i="10" s="1"/>
  <c r="B51" i="10" s="1"/>
  <c r="B62" i="10" s="1"/>
  <c r="B73" i="10" s="1"/>
  <c r="B91" i="10" s="1"/>
  <c r="B102" i="10" s="1"/>
  <c r="B113" i="10" s="1"/>
  <c r="B124" i="10" s="1"/>
  <c r="B135" i="10" s="1"/>
  <c r="B146" i="10" s="1"/>
  <c r="B157" i="10" s="1"/>
  <c r="B175" i="10" s="1"/>
  <c r="B186" i="10" s="1"/>
  <c r="B197" i="10" s="1"/>
  <c r="B208" i="10" s="1"/>
  <c r="B219" i="10" s="1"/>
  <c r="B230" i="10" s="1"/>
  <c r="B241" i="10" s="1"/>
  <c r="B259" i="10" s="1"/>
  <c r="B270" i="10" s="1"/>
  <c r="B281" i="10" s="1"/>
  <c r="B293" i="10" s="1"/>
  <c r="B304" i="10" s="1"/>
  <c r="B316" i="10" s="1"/>
  <c r="B327" i="10" s="1"/>
  <c r="B345" i="10" s="1"/>
  <c r="B356" i="10" s="1"/>
  <c r="B367" i="10" s="1"/>
  <c r="B378" i="10" s="1"/>
  <c r="B18" i="8"/>
  <c r="B29" i="8" s="1"/>
  <c r="B40" i="8" s="1"/>
  <c r="B51" i="8" s="1"/>
  <c r="B62" i="8" s="1"/>
  <c r="B73" i="8" s="1"/>
  <c r="B91" i="8" s="1"/>
  <c r="B102" i="8" s="1"/>
  <c r="B113" i="8" s="1"/>
  <c r="B124" i="8" s="1"/>
  <c r="B135" i="8" s="1"/>
  <c r="B146" i="8" s="1"/>
  <c r="B157" i="8" s="1"/>
  <c r="B175" i="8" s="1"/>
  <c r="B186" i="8" s="1"/>
  <c r="B197" i="8" s="1"/>
  <c r="B208" i="8" s="1"/>
  <c r="B219" i="8" s="1"/>
  <c r="B230" i="8" s="1"/>
  <c r="B241" i="8" s="1"/>
  <c r="B259" i="8" s="1"/>
  <c r="B270" i="8" s="1"/>
  <c r="B281" i="8" s="1"/>
  <c r="B292" i="8" s="1"/>
  <c r="B303" i="8" s="1"/>
  <c r="B314" i="8" s="1"/>
  <c r="B325" i="8" s="1"/>
  <c r="B343" i="8" s="1"/>
  <c r="B354" i="8" s="1"/>
  <c r="B365" i="8" s="1"/>
  <c r="B376" i="8" s="1"/>
  <c r="B387" i="8" s="1"/>
  <c r="B18" i="7"/>
  <c r="B29" i="7" s="1"/>
  <c r="B40" i="7" s="1"/>
  <c r="B51" i="7" s="1"/>
  <c r="B62" i="7" s="1"/>
  <c r="B18" i="6"/>
  <c r="B29" i="6" s="1"/>
  <c r="B40" i="6" s="1"/>
  <c r="B51" i="6" s="1"/>
  <c r="B62" i="6" s="1"/>
  <c r="B73" i="6" s="1"/>
  <c r="B91" i="6" s="1"/>
  <c r="B18" i="5"/>
  <c r="B29" i="5" s="1"/>
  <c r="B40" i="5" s="1"/>
  <c r="B51" i="5" s="1"/>
  <c r="B62" i="5" s="1"/>
  <c r="B73" i="5" s="1"/>
  <c r="B91" i="5" s="1"/>
  <c r="B102" i="5" s="1"/>
  <c r="B113" i="5" s="1"/>
  <c r="B124" i="5" s="1"/>
  <c r="B135" i="5" s="1"/>
  <c r="B146" i="5" s="1"/>
  <c r="B157" i="5" s="1"/>
  <c r="B175" i="5" s="1"/>
  <c r="B186" i="5" s="1"/>
  <c r="B197" i="5" s="1"/>
  <c r="B208" i="5" s="1"/>
  <c r="B219" i="5" s="1"/>
  <c r="B230" i="5" s="1"/>
  <c r="B241" i="5" s="1"/>
  <c r="B259" i="5" s="1"/>
  <c r="F61" i="5"/>
  <c r="G61" i="5"/>
  <c r="H61" i="5"/>
  <c r="B18" i="4"/>
  <c r="B29" i="4" s="1"/>
  <c r="B40" i="4" s="1"/>
  <c r="F86" i="2"/>
  <c r="O57" i="1" l="1"/>
  <c r="O64" i="1"/>
  <c r="O65" i="1"/>
  <c r="O62" i="1"/>
  <c r="B180" i="14"/>
  <c r="B188" i="14" s="1"/>
  <c r="B196" i="14" s="1"/>
  <c r="B204" i="14" s="1"/>
  <c r="B221" i="14" s="1"/>
  <c r="B229" i="14" s="1"/>
  <c r="B242" i="14" s="1"/>
  <c r="B250" i="14" s="1"/>
  <c r="B267" i="14" s="1"/>
  <c r="B279" i="14" s="1"/>
  <c r="B288" i="14" s="1"/>
  <c r="B297" i="14" s="1"/>
  <c r="B314" i="14" s="1"/>
  <c r="B323" i="14" s="1"/>
  <c r="B333" i="14" s="1"/>
  <c r="B341" i="14" s="1"/>
  <c r="B349" i="14" s="1"/>
  <c r="B357" i="14" s="1"/>
  <c r="B365" i="14" s="1"/>
  <c r="B51" i="4"/>
  <c r="B62" i="4" s="1"/>
  <c r="B73" i="4" s="1"/>
  <c r="B91" i="4" s="1"/>
  <c r="B270" i="5"/>
  <c r="B281" i="5" s="1"/>
  <c r="B292" i="5" s="1"/>
  <c r="B303" i="5" s="1"/>
  <c r="B314" i="5" s="1"/>
  <c r="B325" i="5" s="1"/>
  <c r="B343" i="5" s="1"/>
  <c r="B354" i="5" s="1"/>
  <c r="B365" i="5" s="1"/>
  <c r="B376" i="5" s="1"/>
  <c r="O63" i="1"/>
  <c r="O60" i="1"/>
  <c r="O59" i="1"/>
  <c r="O66" i="1"/>
  <c r="B102" i="6"/>
  <c r="B113" i="6" s="1"/>
  <c r="B124" i="6" s="1"/>
  <c r="B135" i="6" s="1"/>
  <c r="B146" i="6" s="1"/>
  <c r="B157" i="6" s="1"/>
  <c r="B175" i="6" s="1"/>
  <c r="B186" i="6" s="1"/>
  <c r="B197" i="6" s="1"/>
  <c r="B73" i="7"/>
  <c r="B91" i="7" s="1"/>
  <c r="B102" i="7" s="1"/>
  <c r="B113" i="7" s="1"/>
  <c r="B124" i="7" s="1"/>
  <c r="B135" i="7" s="1"/>
  <c r="B146" i="7" s="1"/>
  <c r="B157" i="7" s="1"/>
  <c r="B175" i="7" s="1"/>
  <c r="B186" i="7" s="1"/>
  <c r="B197" i="7" s="1"/>
  <c r="B208" i="7" s="1"/>
  <c r="B219" i="7" s="1"/>
  <c r="B230" i="7" s="1"/>
  <c r="B241" i="7" s="1"/>
  <c r="B259" i="7" s="1"/>
  <c r="B270" i="7" s="1"/>
  <c r="B281" i="7" s="1"/>
  <c r="B292" i="7" s="1"/>
  <c r="B303" i="7" s="1"/>
  <c r="B315" i="7" s="1"/>
  <c r="B326" i="7" s="1"/>
  <c r="B344" i="7" s="1"/>
  <c r="B355" i="7" s="1"/>
  <c r="B366" i="7" s="1"/>
  <c r="B377" i="7" s="1"/>
  <c r="B388" i="7" s="1"/>
  <c r="B11" i="13"/>
  <c r="B13" i="13" s="1"/>
  <c r="B15" i="13" s="1"/>
  <c r="B17" i="13" s="1"/>
  <c r="B19" i="13" s="1"/>
  <c r="B21" i="13" s="1"/>
  <c r="B23" i="13" s="1"/>
  <c r="B25" i="13" s="1"/>
  <c r="B27" i="13" s="1"/>
  <c r="B29" i="13" s="1"/>
  <c r="B31" i="13" s="1"/>
  <c r="B33" i="13" s="1"/>
  <c r="B35" i="13" s="1"/>
  <c r="B37" i="13" s="1"/>
  <c r="B39" i="13" s="1"/>
  <c r="B50" i="13" s="1"/>
  <c r="B52" i="13" s="1"/>
  <c r="B54" i="13" s="1"/>
  <c r="B56" i="13" s="1"/>
  <c r="B58" i="13" s="1"/>
  <c r="B60" i="13" s="1"/>
  <c r="B62" i="13" s="1"/>
  <c r="B64" i="13" s="1"/>
  <c r="B66" i="13" s="1"/>
  <c r="B68" i="13" s="1"/>
  <c r="B70" i="13" s="1"/>
  <c r="B72" i="13" s="1"/>
  <c r="B74" i="13" s="1"/>
  <c r="B76" i="13" s="1"/>
  <c r="B78" i="13" s="1"/>
  <c r="B208" i="6" l="1"/>
  <c r="B219" i="6" s="1"/>
  <c r="B230" i="6" s="1"/>
  <c r="B241" i="6" s="1"/>
  <c r="B259" i="6" s="1"/>
  <c r="B270" i="6" s="1"/>
  <c r="B281" i="6" s="1"/>
  <c r="B292" i="6" s="1"/>
  <c r="B303" i="6" s="1"/>
  <c r="B314" i="6" s="1"/>
  <c r="B325" i="6" s="1"/>
  <c r="B343" i="6" s="1"/>
  <c r="B354" i="6" s="1"/>
  <c r="B365" i="6" s="1"/>
  <c r="B376" i="6" s="1"/>
  <c r="B387" i="5"/>
  <c r="B398" i="5" s="1"/>
  <c r="B409" i="5" s="1"/>
  <c r="B102" i="4"/>
  <c r="B113" i="4" s="1"/>
  <c r="B124" i="4" s="1"/>
  <c r="B135" i="4" s="1"/>
  <c r="B146" i="4" s="1"/>
  <c r="B157" i="4" s="1"/>
  <c r="B175" i="4" s="1"/>
  <c r="B186" i="4" s="1"/>
  <c r="B197" i="4" s="1"/>
  <c r="B208" i="4" s="1"/>
  <c r="B219" i="4" s="1"/>
  <c r="B230" i="4" s="1"/>
  <c r="B241" i="4" s="1"/>
  <c r="B259" i="4" s="1"/>
  <c r="B270" i="4" s="1"/>
  <c r="B281" i="4" s="1"/>
  <c r="B292" i="4" s="1"/>
  <c r="B303" i="4" s="1"/>
  <c r="B314" i="4" s="1"/>
  <c r="B325" i="4" s="1"/>
  <c r="B343" i="4" s="1"/>
  <c r="B354" i="4" s="1"/>
  <c r="B365" i="4" s="1"/>
  <c r="B376" i="4" s="1"/>
  <c r="B387" i="4" s="1"/>
  <c r="B398" i="4" s="1"/>
  <c r="B409" i="4" s="1"/>
  <c r="B135" i="3"/>
  <c r="B146" i="3" l="1"/>
  <c r="B157" i="3" s="1"/>
  <c r="B175" i="3" s="1"/>
  <c r="B186" i="3" s="1"/>
  <c r="B197" i="3" s="1"/>
  <c r="B208" i="3" s="1"/>
  <c r="B219" i="3" s="1"/>
  <c r="B230" i="3" s="1"/>
  <c r="B241" i="3" s="1"/>
  <c r="B259" i="3" s="1"/>
  <c r="B270" i="3" s="1"/>
  <c r="B281" i="3" s="1"/>
  <c r="B292" i="3" s="1"/>
  <c r="B303" i="3" s="1"/>
  <c r="B314" i="3" s="1"/>
  <c r="B325" i="3" s="1"/>
  <c r="B343" i="3" s="1"/>
  <c r="B354" i="3" s="1"/>
  <c r="B29" i="9"/>
  <c r="B62" i="2"/>
  <c r="B73" i="2" s="1"/>
  <c r="B91" i="2" s="1"/>
  <c r="B102" i="2" s="1"/>
  <c r="B113" i="2" s="1"/>
  <c r="B124" i="2" s="1"/>
  <c r="B135" i="2" s="1"/>
  <c r="B146" i="2" s="1"/>
  <c r="B157" i="2" s="1"/>
  <c r="B175" i="2" s="1"/>
  <c r="B186" i="2" s="1"/>
  <c r="B197" i="2" s="1"/>
  <c r="B208" i="2" s="1"/>
  <c r="B219" i="2" s="1"/>
  <c r="B230" i="2" s="1"/>
  <c r="B241" i="2" s="1"/>
  <c r="B259" i="2" s="1"/>
  <c r="B270" i="2" s="1"/>
  <c r="B281" i="2" s="1"/>
  <c r="B292" i="2" s="1"/>
  <c r="B303" i="2" s="1"/>
  <c r="B314" i="2" s="1"/>
  <c r="B325" i="2" s="1"/>
  <c r="B343" i="2" s="1"/>
  <c r="B354" i="2" s="1"/>
  <c r="B365" i="2" s="1"/>
  <c r="B376" i="2" s="1"/>
  <c r="B387" i="2" s="1"/>
  <c r="B398" i="2" s="1"/>
  <c r="B409" i="2" s="1"/>
  <c r="B365" i="3" l="1"/>
  <c r="B376" i="3" s="1"/>
  <c r="B387" i="3" s="1"/>
  <c r="B398" i="3" s="1"/>
  <c r="B409" i="3" s="1"/>
  <c r="B40" i="9"/>
  <c r="B51" i="9" s="1"/>
  <c r="B62" i="9" s="1"/>
  <c r="B73" i="9" s="1"/>
  <c r="B91" i="9" s="1"/>
  <c r="G17" i="8"/>
  <c r="D20" i="1" s="1"/>
  <c r="B102" i="9" l="1"/>
  <c r="B113" i="9" s="1"/>
  <c r="B124" i="9" s="1"/>
  <c r="B135" i="9" s="1"/>
  <c r="B146" i="9" s="1"/>
  <c r="B157" i="9" s="1"/>
  <c r="B175" i="9" s="1"/>
  <c r="B186" i="9" s="1"/>
  <c r="B197" i="9" s="1"/>
  <c r="B208" i="9" s="1"/>
  <c r="B219" i="9" s="1"/>
  <c r="B230" i="9" s="1"/>
  <c r="B241" i="9" s="1"/>
  <c r="B259" i="9" s="1"/>
  <c r="B270" i="9" s="1"/>
  <c r="B281" i="9" s="1"/>
  <c r="B292" i="9" s="1"/>
  <c r="B303" i="9" s="1"/>
  <c r="B314" i="9" s="1"/>
  <c r="B325" i="9" s="1"/>
  <c r="B343" i="9" s="1"/>
  <c r="B354" i="9" s="1"/>
  <c r="B365" i="9" s="1"/>
  <c r="B376" i="9" s="1"/>
  <c r="B387" i="9" s="1"/>
  <c r="H10" i="1"/>
  <c r="I4" i="11" l="1"/>
  <c r="I88" i="11" s="1"/>
  <c r="I172" i="11" s="1"/>
  <c r="I256" i="11" s="1"/>
  <c r="I340" i="11" s="1"/>
  <c r="I4" i="10"/>
  <c r="I88" i="10" s="1"/>
  <c r="I172" i="10" s="1"/>
  <c r="I256" i="10" s="1"/>
  <c r="I342" i="10" s="1"/>
  <c r="I4" i="9"/>
  <c r="I88" i="9" s="1"/>
  <c r="I172" i="9" s="1"/>
  <c r="I256" i="9" s="1"/>
  <c r="I340" i="9" s="1"/>
  <c r="I4" i="8"/>
  <c r="I88" i="8" s="1"/>
  <c r="I172" i="8" s="1"/>
  <c r="I256" i="8" s="1"/>
  <c r="I340" i="8" s="1"/>
  <c r="I4" i="7"/>
  <c r="I88" i="7" s="1"/>
  <c r="I172" i="7" s="1"/>
  <c r="I256" i="7" s="1"/>
  <c r="I4" i="6"/>
  <c r="I88" i="6" s="1"/>
  <c r="I172" i="6" s="1"/>
  <c r="I256" i="6" s="1"/>
  <c r="I340" i="6" s="1"/>
  <c r="I4" i="5"/>
  <c r="I88" i="5" s="1"/>
  <c r="I172" i="5" s="1"/>
  <c r="I256" i="5" s="1"/>
  <c r="I340" i="5" s="1"/>
  <c r="I4" i="4"/>
  <c r="I340" i="4" s="1"/>
  <c r="I4" i="3"/>
  <c r="I88" i="3" s="1"/>
  <c r="F4" i="11"/>
  <c r="F88" i="11" s="1"/>
  <c r="F172" i="11" s="1"/>
  <c r="F256" i="11" s="1"/>
  <c r="F340" i="11" s="1"/>
  <c r="F4" i="10"/>
  <c r="F88" i="10" s="1"/>
  <c r="F172" i="10" s="1"/>
  <c r="F256" i="10" s="1"/>
  <c r="F342" i="10" s="1"/>
  <c r="F4" i="9"/>
  <c r="F88" i="9" s="1"/>
  <c r="F172" i="9" s="1"/>
  <c r="F256" i="9" s="1"/>
  <c r="F340" i="9" s="1"/>
  <c r="F4" i="8"/>
  <c r="F4" i="7"/>
  <c r="F88" i="7" s="1"/>
  <c r="F172" i="7" s="1"/>
  <c r="F256" i="7" s="1"/>
  <c r="F4" i="6"/>
  <c r="F88" i="6" s="1"/>
  <c r="F172" i="6" s="1"/>
  <c r="F256" i="6" s="1"/>
  <c r="F340" i="6" s="1"/>
  <c r="F4" i="5"/>
  <c r="F88" i="5" s="1"/>
  <c r="F172" i="5" s="1"/>
  <c r="F256" i="5" s="1"/>
  <c r="F340" i="5" s="1"/>
  <c r="F4" i="4"/>
  <c r="F172" i="4" s="1"/>
  <c r="F4" i="3"/>
  <c r="F88" i="3" s="1"/>
  <c r="H2" i="11"/>
  <c r="H86" i="11" s="1"/>
  <c r="H170" i="11" s="1"/>
  <c r="H254" i="11" s="1"/>
  <c r="H338" i="11" s="1"/>
  <c r="H2" i="10"/>
  <c r="H86" i="10" s="1"/>
  <c r="H170" i="10" s="1"/>
  <c r="H254" i="10" s="1"/>
  <c r="H340" i="10" s="1"/>
  <c r="H2" i="9"/>
  <c r="H86" i="9" s="1"/>
  <c r="H170" i="9" s="1"/>
  <c r="H254" i="9" s="1"/>
  <c r="H338" i="9" s="1"/>
  <c r="H2" i="8"/>
  <c r="H86" i="8" s="1"/>
  <c r="H170" i="8" s="1"/>
  <c r="H254" i="8" s="1"/>
  <c r="H338" i="8" s="1"/>
  <c r="H2" i="7"/>
  <c r="H86" i="7" s="1"/>
  <c r="H170" i="7" s="1"/>
  <c r="H254" i="7" s="1"/>
  <c r="H339" i="7" s="1"/>
  <c r="H2" i="6"/>
  <c r="H86" i="6" s="1"/>
  <c r="H170" i="6" s="1"/>
  <c r="H254" i="6" s="1"/>
  <c r="H338" i="6" s="1"/>
  <c r="H2" i="5"/>
  <c r="H2" i="4"/>
  <c r="H86" i="4" s="1"/>
  <c r="H170" i="4" s="1"/>
  <c r="H254" i="4" s="1"/>
  <c r="H338" i="4" s="1"/>
  <c r="H2" i="3"/>
  <c r="H86" i="3" s="1"/>
  <c r="H170" i="3" s="1"/>
  <c r="H254" i="3" s="1"/>
  <c r="H338" i="3" s="1"/>
  <c r="F2" i="11"/>
  <c r="F86" i="11" s="1"/>
  <c r="F170" i="11" s="1"/>
  <c r="F254" i="11" s="1"/>
  <c r="F338" i="11" s="1"/>
  <c r="F2" i="10"/>
  <c r="F86" i="10" s="1"/>
  <c r="F170" i="10" s="1"/>
  <c r="F254" i="10" s="1"/>
  <c r="F340" i="10" s="1"/>
  <c r="F2" i="9"/>
  <c r="F86" i="9" s="1"/>
  <c r="F170" i="9" s="1"/>
  <c r="F254" i="9" s="1"/>
  <c r="F338" i="9" s="1"/>
  <c r="F2" i="8"/>
  <c r="F86" i="8" s="1"/>
  <c r="F170" i="8" s="1"/>
  <c r="F254" i="8" s="1"/>
  <c r="F338" i="8" s="1"/>
  <c r="F2" i="7"/>
  <c r="F86" i="7" s="1"/>
  <c r="F170" i="7" s="1"/>
  <c r="F254" i="7" s="1"/>
  <c r="F339" i="7" s="1"/>
  <c r="F2" i="6"/>
  <c r="F86" i="6" s="1"/>
  <c r="F170" i="6" s="1"/>
  <c r="F254" i="6" s="1"/>
  <c r="F338" i="6" s="1"/>
  <c r="F2" i="5"/>
  <c r="F86" i="5" s="1"/>
  <c r="F170" i="5" s="1"/>
  <c r="F254" i="5" s="1"/>
  <c r="F338" i="5" s="1"/>
  <c r="F2" i="4"/>
  <c r="F86" i="4" s="1"/>
  <c r="F170" i="4" s="1"/>
  <c r="F254" i="4" s="1"/>
  <c r="F338" i="4" s="1"/>
  <c r="F2" i="3"/>
  <c r="F86" i="3" s="1"/>
  <c r="F170" i="3" s="1"/>
  <c r="F254" i="3" s="1"/>
  <c r="F338" i="3" s="1"/>
  <c r="H86" i="5"/>
  <c r="H170" i="5" s="1"/>
  <c r="H254" i="5" s="1"/>
  <c r="H338" i="5" s="1"/>
  <c r="H86" i="2"/>
  <c r="H170" i="2" s="1"/>
  <c r="H254" i="2" s="1"/>
  <c r="H338" i="2" s="1"/>
  <c r="F170" i="2"/>
  <c r="F254" i="2" s="1"/>
  <c r="F338" i="2" s="1"/>
  <c r="I87" i="2"/>
  <c r="I171" i="2" s="1"/>
  <c r="I255" i="2" s="1"/>
  <c r="I339" i="2" s="1"/>
  <c r="I87" i="11"/>
  <c r="I171" i="11" s="1"/>
  <c r="I255" i="11" s="1"/>
  <c r="I339" i="11" s="1"/>
  <c r="I87" i="10"/>
  <c r="I171" i="10" s="1"/>
  <c r="I255" i="10" s="1"/>
  <c r="I341" i="10" s="1"/>
  <c r="I87" i="9"/>
  <c r="I171" i="9" s="1"/>
  <c r="I255" i="9" s="1"/>
  <c r="I339" i="9" s="1"/>
  <c r="I87" i="8"/>
  <c r="I171" i="8" s="1"/>
  <c r="I255" i="8" s="1"/>
  <c r="I339" i="8" s="1"/>
  <c r="I87" i="7"/>
  <c r="I171" i="7" s="1"/>
  <c r="I255" i="7" s="1"/>
  <c r="I340" i="7" s="1"/>
  <c r="I87" i="6"/>
  <c r="I171" i="6" s="1"/>
  <c r="I255" i="6" s="1"/>
  <c r="I339" i="6" s="1"/>
  <c r="I87" i="5"/>
  <c r="I171" i="5" s="1"/>
  <c r="I255" i="5" s="1"/>
  <c r="I339" i="5" s="1"/>
  <c r="I87" i="4"/>
  <c r="I171" i="4" s="1"/>
  <c r="I255" i="4" s="1"/>
  <c r="I339" i="4" s="1"/>
  <c r="F88" i="8"/>
  <c r="F172" i="8" s="1"/>
  <c r="F256" i="8" s="1"/>
  <c r="F340" i="8" s="1"/>
  <c r="I341" i="7"/>
  <c r="F341" i="7"/>
  <c r="I87" i="3"/>
  <c r="I171" i="3" s="1"/>
  <c r="I255" i="3" s="1"/>
  <c r="I339" i="3" s="1"/>
  <c r="A339" i="2"/>
  <c r="A255" i="2"/>
  <c r="A171" i="2"/>
  <c r="A87" i="2"/>
  <c r="A340" i="2"/>
  <c r="A256" i="2"/>
  <c r="A172" i="2"/>
  <c r="A88" i="2"/>
  <c r="I340" i="2"/>
  <c r="I256" i="2"/>
  <c r="I172" i="2"/>
  <c r="I88" i="2"/>
  <c r="F340" i="2"/>
  <c r="F256" i="2"/>
  <c r="F172" i="2"/>
  <c r="F88" i="2"/>
  <c r="I172" i="3" l="1"/>
  <c r="F256" i="4"/>
  <c r="F88" i="4"/>
  <c r="F340" i="4" s="1"/>
  <c r="I88" i="4"/>
  <c r="I256" i="3"/>
  <c r="I340" i="3"/>
  <c r="I172" i="4"/>
  <c r="I256" i="4"/>
  <c r="F256" i="3"/>
  <c r="F172" i="3"/>
  <c r="F340" i="3"/>
  <c r="G85" i="14"/>
  <c r="A310" i="14"/>
  <c r="A263" i="14"/>
  <c r="A217" i="14"/>
  <c r="A176" i="14"/>
  <c r="A132" i="14"/>
  <c r="A91" i="14"/>
  <c r="A46" i="14"/>
  <c r="H311" i="14"/>
  <c r="H264" i="14"/>
  <c r="H218" i="14"/>
  <c r="H177" i="14"/>
  <c r="H133" i="14"/>
  <c r="H92" i="14"/>
  <c r="H47" i="14"/>
  <c r="F133" i="14"/>
  <c r="F177" i="14"/>
  <c r="F218" i="14"/>
  <c r="F264" i="14"/>
  <c r="F311" i="14"/>
  <c r="F92" i="14"/>
  <c r="F47" i="14"/>
  <c r="H46" i="14"/>
  <c r="H91" i="14" s="1"/>
  <c r="H132" i="14" s="1"/>
  <c r="H176" i="14" s="1"/>
  <c r="H217" i="14" s="1"/>
  <c r="H263" i="14" s="1"/>
  <c r="H310" i="14" s="1"/>
  <c r="G340" i="14"/>
  <c r="AH70" i="1" s="1"/>
  <c r="AG70" i="1"/>
  <c r="G322" i="14"/>
  <c r="G304" i="14"/>
  <c r="AE70" i="1" s="1"/>
  <c r="G296" i="14"/>
  <c r="G287" i="14"/>
  <c r="G257" i="14"/>
  <c r="AA70" i="1" s="1"/>
  <c r="G249" i="14"/>
  <c r="Z70" i="1" s="1"/>
  <c r="Y70" i="1"/>
  <c r="G228" i="14"/>
  <c r="X70" i="1" s="1"/>
  <c r="G211" i="14"/>
  <c r="W70" i="1" s="1"/>
  <c r="G203" i="14"/>
  <c r="V70" i="1" s="1"/>
  <c r="G195" i="14"/>
  <c r="U70" i="1" s="1"/>
  <c r="T70" i="1"/>
  <c r="G170" i="14"/>
  <c r="S70" i="1" s="1"/>
  <c r="G160" i="14"/>
  <c r="R70" i="1" s="1"/>
  <c r="G152" i="14"/>
  <c r="Q70" i="1" s="1"/>
  <c r="G144" i="14"/>
  <c r="P70" i="1" s="1"/>
  <c r="G126" i="14"/>
  <c r="O70" i="1" s="1"/>
  <c r="G118" i="14"/>
  <c r="N70" i="1" s="1"/>
  <c r="G110" i="14"/>
  <c r="M70" i="1" s="1"/>
  <c r="G102" i="14"/>
  <c r="L70" i="1" s="1"/>
  <c r="J70" i="1"/>
  <c r="I70" i="1"/>
  <c r="G57" i="14"/>
  <c r="H70" i="1" s="1"/>
  <c r="G40" i="14"/>
  <c r="G32" i="14"/>
  <c r="G14" i="14"/>
  <c r="D70" i="1" s="1"/>
  <c r="AF70" i="1" l="1"/>
  <c r="G373" i="14"/>
  <c r="G70" i="1"/>
  <c r="G41" i="14"/>
  <c r="K70" i="1"/>
  <c r="G86" i="14"/>
  <c r="AD70" i="1"/>
  <c r="AC70" i="1"/>
  <c r="E70" i="1"/>
  <c r="AB70" i="1"/>
  <c r="F70" i="1"/>
  <c r="G127" i="14"/>
  <c r="G305" i="14"/>
  <c r="G258" i="14"/>
  <c r="G212" i="14"/>
  <c r="G171" i="14"/>
  <c r="AM70" i="1" l="1"/>
  <c r="AP70" i="1" s="1"/>
  <c r="AR70" i="1" s="1"/>
  <c r="G374" i="14"/>
  <c r="D86" i="13"/>
  <c r="D84" i="13"/>
  <c r="D82" i="13"/>
  <c r="D80" i="13"/>
  <c r="D78" i="13"/>
  <c r="D76" i="13"/>
  <c r="D74" i="13"/>
  <c r="D72" i="13"/>
  <c r="D70" i="13"/>
  <c r="D68" i="13"/>
  <c r="D66" i="13"/>
  <c r="D64" i="13"/>
  <c r="D62" i="13"/>
  <c r="D60" i="13"/>
  <c r="D58" i="13"/>
  <c r="D56" i="13"/>
  <c r="D54" i="13"/>
  <c r="D52" i="13"/>
  <c r="D50" i="13"/>
  <c r="D39" i="13"/>
  <c r="D37" i="13"/>
  <c r="D35" i="13"/>
  <c r="D33" i="13"/>
  <c r="D31" i="13"/>
  <c r="D29" i="13"/>
  <c r="D27" i="13"/>
  <c r="D25" i="13"/>
  <c r="D23" i="13"/>
  <c r="D21" i="13"/>
  <c r="D19" i="13"/>
  <c r="D17" i="13"/>
  <c r="D15" i="13"/>
  <c r="D13" i="13"/>
  <c r="D11" i="13"/>
  <c r="D9" i="13"/>
  <c r="D7" i="13"/>
  <c r="AM52" i="1" l="1"/>
  <c r="AP52" i="1" s="1"/>
  <c r="AR52" i="1" s="1"/>
  <c r="AM53" i="1"/>
  <c r="AP53" i="1" s="1"/>
  <c r="AR53" i="1" s="1"/>
  <c r="AM51" i="1"/>
  <c r="AP51" i="1" s="1"/>
  <c r="AR51" i="1" s="1"/>
  <c r="R50" i="1"/>
  <c r="X50" i="1"/>
  <c r="X54" i="1"/>
  <c r="AD50" i="1"/>
  <c r="AJ50" i="1"/>
  <c r="AJ54" i="1"/>
  <c r="M50" i="1"/>
  <c r="S50" i="1"/>
  <c r="Y50" i="1"/>
  <c r="Y54" i="1"/>
  <c r="AE50" i="1"/>
  <c r="AK50" i="1"/>
  <c r="AK54" i="1"/>
  <c r="T50" i="1"/>
  <c r="AL50" i="1"/>
  <c r="AL54" i="1"/>
  <c r="I50" i="1"/>
  <c r="O50" i="1"/>
  <c r="U50" i="1"/>
  <c r="U54" i="1"/>
  <c r="AG50" i="1"/>
  <c r="J50" i="1"/>
  <c r="P50" i="1"/>
  <c r="V50" i="1"/>
  <c r="V54" i="1"/>
  <c r="AB50" i="1"/>
  <c r="AH50" i="1"/>
  <c r="AH54" i="1"/>
  <c r="N50" i="1"/>
  <c r="Z50" i="1"/>
  <c r="Z54" i="1"/>
  <c r="AF50" i="1"/>
  <c r="AA50" i="1"/>
  <c r="Q50" i="1"/>
  <c r="W50" i="1"/>
  <c r="W54" i="1"/>
  <c r="AC50" i="1"/>
  <c r="AI50" i="1"/>
  <c r="AI54" i="1"/>
  <c r="D50" i="1"/>
  <c r="L50" i="1"/>
  <c r="D41" i="13"/>
  <c r="D88" i="13"/>
  <c r="F50" i="1"/>
  <c r="H112" i="6"/>
  <c r="AM54" i="1" l="1"/>
  <c r="AP54" i="1" s="1"/>
  <c r="AR54" i="1" s="1"/>
  <c r="AM50" i="1"/>
  <c r="AP50" i="1" s="1"/>
  <c r="G83" i="11"/>
  <c r="G83" i="10"/>
  <c r="G83" i="7"/>
  <c r="G83" i="5"/>
  <c r="G83" i="4"/>
  <c r="G72" i="9" l="1"/>
  <c r="G61" i="7" l="1"/>
  <c r="G50" i="10" l="1"/>
  <c r="G50" i="9"/>
  <c r="G50" i="8"/>
  <c r="G20" i="1" s="1"/>
  <c r="G50" i="7"/>
  <c r="G50" i="6"/>
  <c r="G50" i="5"/>
  <c r="G50" i="4"/>
  <c r="G39" i="10" l="1"/>
  <c r="G39" i="8"/>
  <c r="F20" i="1" s="1"/>
  <c r="G39" i="7"/>
  <c r="G84" i="7" s="1"/>
  <c r="G39" i="6"/>
  <c r="G39" i="5"/>
  <c r="G39" i="4"/>
  <c r="D52" i="12" l="1"/>
  <c r="D54" i="12"/>
  <c r="D56" i="12"/>
  <c r="D58" i="12"/>
  <c r="D62" i="12"/>
  <c r="D66" i="12"/>
  <c r="D68" i="12"/>
  <c r="D70" i="12"/>
  <c r="D72" i="12"/>
  <c r="D74" i="12"/>
  <c r="D76" i="12"/>
  <c r="AH59" i="1" s="1"/>
  <c r="D78" i="12"/>
  <c r="AI57" i="1" s="1"/>
  <c r="D80" i="12"/>
  <c r="AJ57" i="1" s="1"/>
  <c r="D82" i="12"/>
  <c r="AK57" i="1" s="1"/>
  <c r="D84" i="12"/>
  <c r="AL57" i="1" s="1"/>
  <c r="D86" i="12"/>
  <c r="D50" i="12"/>
  <c r="AK64" i="1" l="1"/>
  <c r="AK63" i="1"/>
  <c r="AK62" i="1"/>
  <c r="AK67" i="1"/>
  <c r="AK61" i="1"/>
  <c r="AK66" i="1"/>
  <c r="AK59" i="1"/>
  <c r="AK65" i="1"/>
  <c r="AL62" i="1"/>
  <c r="AL67" i="1"/>
  <c r="AL61" i="1"/>
  <c r="AL66" i="1"/>
  <c r="AL59" i="1"/>
  <c r="AL65" i="1"/>
  <c r="AL64" i="1"/>
  <c r="AL63" i="1"/>
  <c r="AJ66" i="1"/>
  <c r="AJ59" i="1"/>
  <c r="AJ65" i="1"/>
  <c r="AJ64" i="1"/>
  <c r="AJ63" i="1"/>
  <c r="AJ62" i="1"/>
  <c r="AJ67" i="1"/>
  <c r="AJ61" i="1"/>
  <c r="AI62" i="1"/>
  <c r="AI67" i="1"/>
  <c r="AI61" i="1"/>
  <c r="AI66" i="1"/>
  <c r="AI59" i="1"/>
  <c r="AI65" i="1"/>
  <c r="AI64" i="1"/>
  <c r="AI63" i="1"/>
  <c r="AL60" i="1"/>
  <c r="AK60" i="1"/>
  <c r="AJ60" i="1"/>
  <c r="AI60" i="1"/>
  <c r="AC64" i="1"/>
  <c r="AC65" i="1"/>
  <c r="AC60" i="1"/>
  <c r="AG64" i="1"/>
  <c r="AG65" i="1"/>
  <c r="AH65" i="1"/>
  <c r="AH64" i="1"/>
  <c r="U64" i="1"/>
  <c r="U65" i="1"/>
  <c r="U61" i="1"/>
  <c r="U60" i="1"/>
  <c r="U59" i="1"/>
  <c r="AA64" i="1"/>
  <c r="AA65" i="1"/>
  <c r="AA62" i="1"/>
  <c r="AA61" i="1"/>
  <c r="Y63" i="1"/>
  <c r="Y65" i="1"/>
  <c r="Y64" i="1"/>
  <c r="AF64" i="1"/>
  <c r="AF65" i="1"/>
  <c r="AF60" i="1"/>
  <c r="AF59" i="1"/>
  <c r="AF66" i="1"/>
  <c r="AF63" i="1"/>
  <c r="AF61" i="1"/>
  <c r="X64" i="1"/>
  <c r="X65" i="1"/>
  <c r="AE65" i="1"/>
  <c r="AE64" i="1"/>
  <c r="AE59" i="1"/>
  <c r="AE66" i="1"/>
  <c r="AE62" i="1"/>
  <c r="AE61" i="1"/>
  <c r="AE60" i="1"/>
  <c r="W65" i="1"/>
  <c r="W64" i="1"/>
  <c r="W60" i="1"/>
  <c r="W59" i="1"/>
  <c r="AD64" i="1"/>
  <c r="AD65" i="1"/>
  <c r="AD61" i="1"/>
  <c r="AD60" i="1"/>
  <c r="AD59" i="1"/>
  <c r="V64" i="1"/>
  <c r="V65" i="1"/>
  <c r="V60" i="1"/>
  <c r="V59" i="1"/>
  <c r="X62" i="1"/>
  <c r="X61" i="1"/>
  <c r="AG63" i="1"/>
  <c r="AG59" i="1"/>
  <c r="AG66" i="1"/>
  <c r="AG60" i="1"/>
  <c r="AH63" i="1"/>
  <c r="AH61" i="1"/>
  <c r="AH60" i="1"/>
  <c r="AH66" i="1"/>
  <c r="AG62" i="1"/>
  <c r="AD66" i="1"/>
  <c r="AD63" i="1"/>
  <c r="AA63" i="1"/>
  <c r="V63" i="1"/>
  <c r="V61" i="1"/>
  <c r="U63" i="1"/>
  <c r="U62" i="1"/>
  <c r="AC63" i="1"/>
  <c r="AC62" i="1"/>
  <c r="AF62" i="1"/>
  <c r="X59" i="1"/>
  <c r="X63" i="1"/>
  <c r="X60" i="1"/>
  <c r="W66" i="1"/>
  <c r="W62" i="1"/>
  <c r="W61" i="1"/>
  <c r="AA66" i="1"/>
  <c r="AA60" i="1"/>
  <c r="AA59" i="1"/>
  <c r="AC59" i="1"/>
  <c r="X66" i="1"/>
  <c r="V62" i="1"/>
  <c r="V66" i="1"/>
  <c r="U66" i="1"/>
  <c r="W63" i="1"/>
  <c r="AE67" i="1"/>
  <c r="AD62" i="1"/>
  <c r="AD67" i="1"/>
  <c r="Y60" i="1"/>
  <c r="Y59" i="1"/>
  <c r="AG61" i="1"/>
  <c r="W57" i="1"/>
  <c r="AG67" i="1"/>
  <c r="AF67" i="1"/>
  <c r="Y62" i="1"/>
  <c r="Y57" i="1"/>
  <c r="Y61" i="1"/>
  <c r="X57" i="1"/>
  <c r="AH62" i="1"/>
  <c r="AH67" i="1"/>
  <c r="U67" i="1"/>
  <c r="V67" i="1"/>
  <c r="W67" i="1"/>
  <c r="X67" i="1"/>
  <c r="Y67" i="1"/>
  <c r="Y66" i="1"/>
  <c r="Z67" i="1"/>
  <c r="AA67" i="1"/>
  <c r="AB67" i="1"/>
  <c r="AB66" i="1"/>
  <c r="AC67" i="1"/>
  <c r="AC66" i="1"/>
  <c r="G28" i="8"/>
  <c r="G17" i="10"/>
  <c r="G17" i="9"/>
  <c r="G17" i="6"/>
  <c r="G84" i="6" s="1"/>
  <c r="F17" i="6"/>
  <c r="G17" i="5"/>
  <c r="G84" i="5" s="1"/>
  <c r="G17" i="4"/>
  <c r="G17" i="3"/>
  <c r="G84" i="3" s="1"/>
  <c r="G84" i="8" l="1"/>
  <c r="E20" i="1"/>
  <c r="D24" i="1"/>
  <c r="G84" i="10"/>
  <c r="D12" i="1"/>
  <c r="G84" i="4"/>
  <c r="F28" i="4"/>
  <c r="H28" i="4"/>
  <c r="J26" i="1" l="1"/>
  <c r="J24" i="1"/>
  <c r="J22" i="1"/>
  <c r="J18" i="1"/>
  <c r="J16" i="1"/>
  <c r="J14" i="1"/>
  <c r="I24" i="1"/>
  <c r="I22" i="1"/>
  <c r="I18" i="1"/>
  <c r="I16" i="1"/>
  <c r="I14" i="1"/>
  <c r="H24" i="1"/>
  <c r="H22" i="1"/>
  <c r="H18" i="1"/>
  <c r="H16" i="1"/>
  <c r="H14" i="1"/>
  <c r="G26" i="1"/>
  <c r="G24" i="1"/>
  <c r="G22" i="1"/>
  <c r="G18" i="1"/>
  <c r="G16" i="1"/>
  <c r="G14" i="1"/>
  <c r="F24" i="1"/>
  <c r="F22" i="1"/>
  <c r="F18" i="1"/>
  <c r="F16" i="1"/>
  <c r="F14" i="1"/>
  <c r="E24" i="1"/>
  <c r="E22" i="1"/>
  <c r="E18" i="1"/>
  <c r="E16" i="1"/>
  <c r="E14" i="1"/>
  <c r="D22" i="1"/>
  <c r="D18" i="1"/>
  <c r="D16" i="1"/>
  <c r="D14" i="1"/>
  <c r="J12" i="1"/>
  <c r="I12" i="1"/>
  <c r="H12" i="1"/>
  <c r="G12" i="1"/>
  <c r="F12" i="1"/>
  <c r="E12" i="1"/>
  <c r="J10" i="1"/>
  <c r="I10" i="1"/>
  <c r="G10" i="1"/>
  <c r="F10" i="1"/>
  <c r="E10" i="1"/>
  <c r="D10" i="1"/>
  <c r="H419" i="5"/>
  <c r="G419" i="5"/>
  <c r="AL14" i="1" s="1"/>
  <c r="F419" i="5"/>
  <c r="AL13" i="1" s="1"/>
  <c r="H408" i="5"/>
  <c r="G408" i="5"/>
  <c r="AK14" i="1" s="1"/>
  <c r="F408" i="5"/>
  <c r="AK13" i="1" s="1"/>
  <c r="H397" i="5"/>
  <c r="G397" i="5"/>
  <c r="AJ14" i="1" s="1"/>
  <c r="F397" i="5"/>
  <c r="AJ13" i="1" s="1"/>
  <c r="H386" i="5"/>
  <c r="G386" i="5"/>
  <c r="AI14" i="1" s="1"/>
  <c r="F386" i="5"/>
  <c r="AI13" i="1" s="1"/>
  <c r="H375" i="5"/>
  <c r="G375" i="5"/>
  <c r="AH14" i="1" s="1"/>
  <c r="F375" i="5"/>
  <c r="H364" i="5"/>
  <c r="G364" i="5"/>
  <c r="AG14" i="1" s="1"/>
  <c r="F364" i="5"/>
  <c r="H353" i="5"/>
  <c r="G353" i="5"/>
  <c r="AF14" i="1" s="1"/>
  <c r="F353" i="5"/>
  <c r="H419" i="6"/>
  <c r="G419" i="6"/>
  <c r="AL16" i="1" s="1"/>
  <c r="F419" i="6"/>
  <c r="AL15" i="1" s="1"/>
  <c r="H408" i="6"/>
  <c r="G408" i="6"/>
  <c r="AK16" i="1" s="1"/>
  <c r="F408" i="6"/>
  <c r="AK15" i="1" s="1"/>
  <c r="H397" i="6"/>
  <c r="G397" i="6"/>
  <c r="AJ16" i="1" s="1"/>
  <c r="F397" i="6"/>
  <c r="AJ15" i="1" s="1"/>
  <c r="H386" i="6"/>
  <c r="G386" i="6"/>
  <c r="AI16" i="1" s="1"/>
  <c r="F386" i="6"/>
  <c r="AI15" i="1" s="1"/>
  <c r="H375" i="6"/>
  <c r="G375" i="6"/>
  <c r="AH16" i="1" s="1"/>
  <c r="F375" i="6"/>
  <c r="H364" i="6"/>
  <c r="G364" i="6"/>
  <c r="AG16" i="1" s="1"/>
  <c r="F364" i="6"/>
  <c r="H353" i="6"/>
  <c r="G353" i="6"/>
  <c r="AF16" i="1" s="1"/>
  <c r="F353" i="6"/>
  <c r="H420" i="7"/>
  <c r="G420" i="7"/>
  <c r="F420" i="7"/>
  <c r="H409" i="7"/>
  <c r="G409" i="7"/>
  <c r="F409" i="7"/>
  <c r="H398" i="7"/>
  <c r="G398" i="7"/>
  <c r="F398" i="7"/>
  <c r="H387" i="7"/>
  <c r="G387" i="7"/>
  <c r="F387" i="7"/>
  <c r="H376" i="7"/>
  <c r="G376" i="7"/>
  <c r="AH18" i="1" s="1"/>
  <c r="F376" i="7"/>
  <c r="H365" i="7"/>
  <c r="G365" i="7"/>
  <c r="AG18" i="1" s="1"/>
  <c r="F365" i="7"/>
  <c r="H354" i="7"/>
  <c r="G354" i="7"/>
  <c r="AF18" i="1" s="1"/>
  <c r="F354" i="7"/>
  <c r="AF17" i="1" s="1"/>
  <c r="H419" i="8"/>
  <c r="G419" i="8"/>
  <c r="AL20" i="1" s="1"/>
  <c r="F419" i="8"/>
  <c r="AL19" i="1" s="1"/>
  <c r="H408" i="8"/>
  <c r="G408" i="8"/>
  <c r="AK20" i="1" s="1"/>
  <c r="F408" i="8"/>
  <c r="AK19" i="1" s="1"/>
  <c r="H397" i="8"/>
  <c r="G397" i="8"/>
  <c r="AJ20" i="1" s="1"/>
  <c r="F397" i="8"/>
  <c r="AJ19" i="1" s="1"/>
  <c r="H386" i="8"/>
  <c r="G386" i="8"/>
  <c r="AI20" i="1" s="1"/>
  <c r="F386" i="8"/>
  <c r="AI19" i="1" s="1"/>
  <c r="H375" i="8"/>
  <c r="G375" i="8"/>
  <c r="AH20" i="1" s="1"/>
  <c r="F375" i="8"/>
  <c r="AH19" i="1" s="1"/>
  <c r="H364" i="8"/>
  <c r="G364" i="8"/>
  <c r="AG20" i="1" s="1"/>
  <c r="F364" i="8"/>
  <c r="AG19" i="1" s="1"/>
  <c r="H353" i="8"/>
  <c r="G353" i="8"/>
  <c r="AF20" i="1" s="1"/>
  <c r="F353" i="8"/>
  <c r="AF19" i="1" s="1"/>
  <c r="H419" i="9"/>
  <c r="G419" i="9"/>
  <c r="AL22" i="1" s="1"/>
  <c r="F419" i="9"/>
  <c r="AL21" i="1" s="1"/>
  <c r="H408" i="9"/>
  <c r="G408" i="9"/>
  <c r="AK22" i="1" s="1"/>
  <c r="F408" i="9"/>
  <c r="AK21" i="1" s="1"/>
  <c r="H397" i="9"/>
  <c r="G397" i="9"/>
  <c r="AJ22" i="1" s="1"/>
  <c r="F397" i="9"/>
  <c r="AJ21" i="1" s="1"/>
  <c r="H386" i="9"/>
  <c r="G386" i="9"/>
  <c r="AI22" i="1" s="1"/>
  <c r="F386" i="9"/>
  <c r="AI21" i="1" s="1"/>
  <c r="H375" i="9"/>
  <c r="G375" i="9"/>
  <c r="AH22" i="1" s="1"/>
  <c r="F375" i="9"/>
  <c r="H364" i="9"/>
  <c r="G364" i="9"/>
  <c r="AG22" i="1" s="1"/>
  <c r="F364" i="9"/>
  <c r="H353" i="9"/>
  <c r="G353" i="9"/>
  <c r="AF22" i="1" s="1"/>
  <c r="F353" i="9"/>
  <c r="H421" i="10"/>
  <c r="G421" i="10"/>
  <c r="F421" i="10"/>
  <c r="H410" i="10"/>
  <c r="G410" i="10"/>
  <c r="F410" i="10"/>
  <c r="H399" i="10"/>
  <c r="G399" i="10"/>
  <c r="F399" i="10"/>
  <c r="H388" i="10"/>
  <c r="G388" i="10"/>
  <c r="F388" i="10"/>
  <c r="H377" i="10"/>
  <c r="G377" i="10"/>
  <c r="AH24" i="1" s="1"/>
  <c r="F377" i="10"/>
  <c r="H366" i="10"/>
  <c r="G366" i="10"/>
  <c r="AG24" i="1" s="1"/>
  <c r="F366" i="10"/>
  <c r="H355" i="10"/>
  <c r="G355" i="10"/>
  <c r="AF24" i="1" s="1"/>
  <c r="F355" i="10"/>
  <c r="H420" i="11"/>
  <c r="G420" i="11"/>
  <c r="AL26" i="1" s="1"/>
  <c r="F420" i="11"/>
  <c r="AL25" i="1" s="1"/>
  <c r="H409" i="11"/>
  <c r="G409" i="11"/>
  <c r="AK26" i="1" s="1"/>
  <c r="F409" i="11"/>
  <c r="AK25" i="1" s="1"/>
  <c r="H398" i="11"/>
  <c r="G398" i="11"/>
  <c r="AJ26" i="1" s="1"/>
  <c r="F398" i="11"/>
  <c r="AJ25" i="1" s="1"/>
  <c r="H387" i="11"/>
  <c r="G387" i="11"/>
  <c r="AI26" i="1" s="1"/>
  <c r="F387" i="11"/>
  <c r="AI25" i="1" s="1"/>
  <c r="H376" i="11"/>
  <c r="G376" i="11"/>
  <c r="F376" i="11"/>
  <c r="G365" i="11"/>
  <c r="AG26" i="1" s="1"/>
  <c r="F365" i="11"/>
  <c r="H354" i="11"/>
  <c r="G354" i="11"/>
  <c r="AF26" i="1" s="1"/>
  <c r="F354" i="11"/>
  <c r="H419" i="4"/>
  <c r="G419" i="4"/>
  <c r="AL12" i="1" s="1"/>
  <c r="F419" i="4"/>
  <c r="AL11" i="1" s="1"/>
  <c r="H408" i="4"/>
  <c r="G408" i="4"/>
  <c r="AK12" i="1" s="1"/>
  <c r="F408" i="4"/>
  <c r="AK11" i="1" s="1"/>
  <c r="H397" i="4"/>
  <c r="G397" i="4"/>
  <c r="AJ12" i="1" s="1"/>
  <c r="F397" i="4"/>
  <c r="AJ11" i="1" s="1"/>
  <c r="H386" i="4"/>
  <c r="G386" i="4"/>
  <c r="AI12" i="1" s="1"/>
  <c r="F386" i="4"/>
  <c r="AI11" i="1" s="1"/>
  <c r="H375" i="4"/>
  <c r="G375" i="4"/>
  <c r="F375" i="4"/>
  <c r="AH11" i="1" s="1"/>
  <c r="H364" i="4"/>
  <c r="G364" i="4"/>
  <c r="AG12" i="1" s="1"/>
  <c r="F364" i="4"/>
  <c r="AG11" i="1" s="1"/>
  <c r="H353" i="4"/>
  <c r="G353" i="4"/>
  <c r="AF12" i="1" s="1"/>
  <c r="F353" i="4"/>
  <c r="AF11" i="1" s="1"/>
  <c r="H335" i="5"/>
  <c r="G335" i="5"/>
  <c r="AE14" i="1" s="1"/>
  <c r="F335" i="5"/>
  <c r="H324" i="5"/>
  <c r="G324" i="5"/>
  <c r="AD14" i="1" s="1"/>
  <c r="F324" i="5"/>
  <c r="H313" i="5"/>
  <c r="G313" i="5"/>
  <c r="AC14" i="1" s="1"/>
  <c r="F313" i="5"/>
  <c r="H302" i="5"/>
  <c r="G302" i="5"/>
  <c r="AB14" i="1" s="1"/>
  <c r="F302" i="5"/>
  <c r="H291" i="5"/>
  <c r="G291" i="5"/>
  <c r="AA14" i="1" s="1"/>
  <c r="F291" i="5"/>
  <c r="Z14" i="1"/>
  <c r="H269" i="5"/>
  <c r="G269" i="5"/>
  <c r="F269" i="5"/>
  <c r="H335" i="6"/>
  <c r="G335" i="6"/>
  <c r="AE16" i="1" s="1"/>
  <c r="F335" i="6"/>
  <c r="H324" i="6"/>
  <c r="G324" i="6"/>
  <c r="AD16" i="1" s="1"/>
  <c r="F324" i="6"/>
  <c r="H313" i="6"/>
  <c r="G313" i="6"/>
  <c r="AC16" i="1" s="1"/>
  <c r="F313" i="6"/>
  <c r="H302" i="6"/>
  <c r="G302" i="6"/>
  <c r="AB16" i="1" s="1"/>
  <c r="F302" i="6"/>
  <c r="H291" i="6"/>
  <c r="G291" i="6"/>
  <c r="AA16" i="1" s="1"/>
  <c r="F291" i="6"/>
  <c r="H280" i="6"/>
  <c r="G280" i="6"/>
  <c r="Z16" i="1" s="1"/>
  <c r="F280" i="6"/>
  <c r="H269" i="6"/>
  <c r="G269" i="6"/>
  <c r="F269" i="6"/>
  <c r="H336" i="7"/>
  <c r="G336" i="7"/>
  <c r="AE18" i="1" s="1"/>
  <c r="F336" i="7"/>
  <c r="H325" i="7"/>
  <c r="G325" i="7"/>
  <c r="AD18" i="1" s="1"/>
  <c r="F325" i="7"/>
  <c r="H314" i="7"/>
  <c r="G314" i="7"/>
  <c r="AC18" i="1" s="1"/>
  <c r="F314" i="7"/>
  <c r="H302" i="7"/>
  <c r="G302" i="7"/>
  <c r="AB18" i="1" s="1"/>
  <c r="F302" i="7"/>
  <c r="H291" i="7"/>
  <c r="G291" i="7"/>
  <c r="AA18" i="1" s="1"/>
  <c r="F291" i="7"/>
  <c r="H280" i="7"/>
  <c r="G280" i="7"/>
  <c r="Z18" i="1" s="1"/>
  <c r="F280" i="7"/>
  <c r="H269" i="7"/>
  <c r="G269" i="7"/>
  <c r="Y18" i="1" s="1"/>
  <c r="F269" i="7"/>
  <c r="H335" i="8"/>
  <c r="G335" i="8"/>
  <c r="AE20" i="1" s="1"/>
  <c r="F335" i="8"/>
  <c r="AE19" i="1" s="1"/>
  <c r="H324" i="8"/>
  <c r="G324" i="8"/>
  <c r="AD20" i="1" s="1"/>
  <c r="F324" i="8"/>
  <c r="AD19" i="1" s="1"/>
  <c r="H313" i="8"/>
  <c r="G313" i="8"/>
  <c r="AC20" i="1" s="1"/>
  <c r="F313" i="8"/>
  <c r="AC19" i="1" s="1"/>
  <c r="H302" i="8"/>
  <c r="G302" i="8"/>
  <c r="AB20" i="1" s="1"/>
  <c r="F302" i="8"/>
  <c r="AB19" i="1" s="1"/>
  <c r="G291" i="8"/>
  <c r="AA20" i="1" s="1"/>
  <c r="F291" i="8"/>
  <c r="AA19" i="1" s="1"/>
  <c r="G280" i="8"/>
  <c r="Z20" i="1" s="1"/>
  <c r="F280" i="8"/>
  <c r="Z19" i="1" s="1"/>
  <c r="G269" i="8"/>
  <c r="Y20" i="1" s="1"/>
  <c r="F269" i="8"/>
  <c r="Y19" i="1" s="1"/>
  <c r="H335" i="9"/>
  <c r="G335" i="9"/>
  <c r="AE22" i="1" s="1"/>
  <c r="F335" i="9"/>
  <c r="H324" i="9"/>
  <c r="G324" i="9"/>
  <c r="AD22" i="1" s="1"/>
  <c r="F324" i="9"/>
  <c r="H313" i="9"/>
  <c r="G313" i="9"/>
  <c r="AC22" i="1" s="1"/>
  <c r="F313" i="9"/>
  <c r="H302" i="9"/>
  <c r="G302" i="9"/>
  <c r="AB22" i="1" s="1"/>
  <c r="F302" i="9"/>
  <c r="G291" i="9"/>
  <c r="AA22" i="1" s="1"/>
  <c r="F291" i="9"/>
  <c r="G280" i="9"/>
  <c r="Z22" i="1" s="1"/>
  <c r="F280" i="9"/>
  <c r="H269" i="9"/>
  <c r="G269" i="9"/>
  <c r="F269" i="9"/>
  <c r="H337" i="10"/>
  <c r="G337" i="10"/>
  <c r="AE24" i="1" s="1"/>
  <c r="F337" i="10"/>
  <c r="H326" i="10"/>
  <c r="G326" i="10"/>
  <c r="AD24" i="1" s="1"/>
  <c r="F326" i="10"/>
  <c r="H315" i="10"/>
  <c r="G315" i="10"/>
  <c r="AC24" i="1" s="1"/>
  <c r="F315" i="10"/>
  <c r="H303" i="10"/>
  <c r="G303" i="10"/>
  <c r="AB24" i="1" s="1"/>
  <c r="F303" i="10"/>
  <c r="H292" i="10"/>
  <c r="G292" i="10"/>
  <c r="AA24" i="1" s="1"/>
  <c r="F292" i="10"/>
  <c r="H280" i="10"/>
  <c r="G280" i="10"/>
  <c r="Z24" i="1" s="1"/>
  <c r="F280" i="10"/>
  <c r="H269" i="10"/>
  <c r="G269" i="10"/>
  <c r="Y24" i="1" s="1"/>
  <c r="F269" i="10"/>
  <c r="H335" i="11"/>
  <c r="G335" i="11"/>
  <c r="AE26" i="1" s="1"/>
  <c r="F335" i="11"/>
  <c r="H324" i="11"/>
  <c r="G324" i="11"/>
  <c r="AD26" i="1" s="1"/>
  <c r="F324" i="11"/>
  <c r="H313" i="11"/>
  <c r="G313" i="11"/>
  <c r="AC26" i="1" s="1"/>
  <c r="F313" i="11"/>
  <c r="H302" i="11"/>
  <c r="G302" i="11"/>
  <c r="AB26" i="1" s="1"/>
  <c r="F302" i="11"/>
  <c r="H291" i="11"/>
  <c r="G291" i="11"/>
  <c r="AA26" i="1" s="1"/>
  <c r="F291" i="11"/>
  <c r="H280" i="11"/>
  <c r="G280" i="11"/>
  <c r="Z26" i="1" s="1"/>
  <c r="F280" i="11"/>
  <c r="H269" i="11"/>
  <c r="G269" i="11"/>
  <c r="Y26" i="1" s="1"/>
  <c r="F269" i="11"/>
  <c r="H335" i="4"/>
  <c r="G335" i="4"/>
  <c r="AE12" i="1" s="1"/>
  <c r="F335" i="4"/>
  <c r="AE11" i="1" s="1"/>
  <c r="H324" i="4"/>
  <c r="G324" i="4"/>
  <c r="AD12" i="1" s="1"/>
  <c r="F324" i="4"/>
  <c r="AD11" i="1" s="1"/>
  <c r="H313" i="4"/>
  <c r="G313" i="4"/>
  <c r="AC12" i="1" s="1"/>
  <c r="F313" i="4"/>
  <c r="AC11" i="1" s="1"/>
  <c r="H302" i="4"/>
  <c r="G302" i="4"/>
  <c r="AB12" i="1" s="1"/>
  <c r="F302" i="4"/>
  <c r="AB11" i="1" s="1"/>
  <c r="H291" i="4"/>
  <c r="G291" i="4"/>
  <c r="AA12" i="1" s="1"/>
  <c r="F291" i="4"/>
  <c r="AA11" i="1" s="1"/>
  <c r="H280" i="4"/>
  <c r="G280" i="4"/>
  <c r="Z12" i="1" s="1"/>
  <c r="F280" i="4"/>
  <c r="Z11" i="1" s="1"/>
  <c r="H269" i="4"/>
  <c r="G269" i="4"/>
  <c r="Y12" i="1" s="1"/>
  <c r="F269" i="4"/>
  <c r="Y11" i="1" s="1"/>
  <c r="H251" i="5"/>
  <c r="G251" i="5"/>
  <c r="X14" i="1" s="1"/>
  <c r="F251" i="5"/>
  <c r="H240" i="5"/>
  <c r="G240" i="5"/>
  <c r="W14" i="1" s="1"/>
  <c r="F240" i="5"/>
  <c r="H229" i="5"/>
  <c r="G229" i="5"/>
  <c r="V14" i="1" s="1"/>
  <c r="F229" i="5"/>
  <c r="H218" i="5"/>
  <c r="G218" i="5"/>
  <c r="U14" i="1" s="1"/>
  <c r="F218" i="5"/>
  <c r="H207" i="5"/>
  <c r="G207" i="5"/>
  <c r="T14" i="1" s="1"/>
  <c r="F207" i="5"/>
  <c r="H196" i="5"/>
  <c r="G196" i="5"/>
  <c r="S14" i="1" s="1"/>
  <c r="F196" i="5"/>
  <c r="H185" i="5"/>
  <c r="G185" i="5"/>
  <c r="R14" i="1" s="1"/>
  <c r="F185" i="5"/>
  <c r="H251" i="6"/>
  <c r="G251" i="6"/>
  <c r="X16" i="1" s="1"/>
  <c r="F251" i="6"/>
  <c r="W16" i="1"/>
  <c r="G229" i="6"/>
  <c r="V16" i="1" s="1"/>
  <c r="F229" i="6"/>
  <c r="U16" i="1"/>
  <c r="H207" i="6"/>
  <c r="G207" i="6"/>
  <c r="T16" i="1" s="1"/>
  <c r="F207" i="6"/>
  <c r="H196" i="6"/>
  <c r="G196" i="6"/>
  <c r="S16" i="1" s="1"/>
  <c r="F196" i="6"/>
  <c r="H185" i="6"/>
  <c r="G185" i="6"/>
  <c r="R16" i="1" s="1"/>
  <c r="F185" i="6"/>
  <c r="H251" i="7"/>
  <c r="G251" i="7"/>
  <c r="X18" i="1" s="1"/>
  <c r="F251" i="7"/>
  <c r="H240" i="7"/>
  <c r="G240" i="7"/>
  <c r="W18" i="1" s="1"/>
  <c r="F240" i="7"/>
  <c r="H229" i="7"/>
  <c r="G229" i="7"/>
  <c r="V18" i="1" s="1"/>
  <c r="F229" i="7"/>
  <c r="H218" i="7"/>
  <c r="G218" i="7"/>
  <c r="U18" i="1" s="1"/>
  <c r="F218" i="7"/>
  <c r="H207" i="7"/>
  <c r="G207" i="7"/>
  <c r="T18" i="1" s="1"/>
  <c r="F207" i="7"/>
  <c r="G196" i="7"/>
  <c r="S18" i="1" s="1"/>
  <c r="F196" i="7"/>
  <c r="G185" i="7"/>
  <c r="R18" i="1" s="1"/>
  <c r="F185" i="7"/>
  <c r="G251" i="8"/>
  <c r="X20" i="1" s="1"/>
  <c r="F251" i="8"/>
  <c r="X19" i="1" s="1"/>
  <c r="H240" i="8"/>
  <c r="G240" i="8"/>
  <c r="W20" i="1" s="1"/>
  <c r="F240" i="8"/>
  <c r="W19" i="1" s="1"/>
  <c r="G229" i="8"/>
  <c r="V20" i="1" s="1"/>
  <c r="F229" i="8"/>
  <c r="V19" i="1" s="1"/>
  <c r="G218" i="8"/>
  <c r="U20" i="1" s="1"/>
  <c r="F218" i="8"/>
  <c r="U19" i="1" s="1"/>
  <c r="H207" i="8"/>
  <c r="G207" i="8"/>
  <c r="T20" i="1" s="1"/>
  <c r="F207" i="8"/>
  <c r="T19" i="1" s="1"/>
  <c r="H196" i="8"/>
  <c r="G196" i="8"/>
  <c r="S20" i="1" s="1"/>
  <c r="F196" i="8"/>
  <c r="S19" i="1" s="1"/>
  <c r="H185" i="8"/>
  <c r="G185" i="8"/>
  <c r="R20" i="1" s="1"/>
  <c r="F185" i="8"/>
  <c r="R19" i="1" s="1"/>
  <c r="H251" i="9"/>
  <c r="G251" i="9"/>
  <c r="X22" i="1" s="1"/>
  <c r="F251" i="9"/>
  <c r="H240" i="9"/>
  <c r="G240" i="9"/>
  <c r="W22" i="1" s="1"/>
  <c r="F240" i="9"/>
  <c r="H229" i="9"/>
  <c r="G229" i="9"/>
  <c r="V22" i="1" s="1"/>
  <c r="F229" i="9"/>
  <c r="H218" i="9"/>
  <c r="G218" i="9"/>
  <c r="U22" i="1" s="1"/>
  <c r="F218" i="9"/>
  <c r="H207" i="9"/>
  <c r="G207" i="9"/>
  <c r="T22" i="1" s="1"/>
  <c r="F207" i="9"/>
  <c r="H196" i="9"/>
  <c r="G196" i="9"/>
  <c r="S22" i="1" s="1"/>
  <c r="F196" i="9"/>
  <c r="H185" i="9"/>
  <c r="G185" i="9"/>
  <c r="R22" i="1" s="1"/>
  <c r="F185" i="9"/>
  <c r="H251" i="10"/>
  <c r="G251" i="10"/>
  <c r="X24" i="1" s="1"/>
  <c r="F251" i="10"/>
  <c r="H240" i="10"/>
  <c r="G240" i="10"/>
  <c r="W24" i="1" s="1"/>
  <c r="F240" i="10"/>
  <c r="H229" i="10"/>
  <c r="G229" i="10"/>
  <c r="V24" i="1" s="1"/>
  <c r="F229" i="10"/>
  <c r="H218" i="10"/>
  <c r="G218" i="10"/>
  <c r="U24" i="1" s="1"/>
  <c r="F218" i="10"/>
  <c r="H207" i="10"/>
  <c r="G207" i="10"/>
  <c r="T24" i="1" s="1"/>
  <c r="F207" i="10"/>
  <c r="G196" i="10"/>
  <c r="S24" i="1" s="1"/>
  <c r="F196" i="10"/>
  <c r="G185" i="10"/>
  <c r="R24" i="1" s="1"/>
  <c r="F185" i="10"/>
  <c r="H251" i="11"/>
  <c r="G251" i="11"/>
  <c r="X26" i="1" s="1"/>
  <c r="F251" i="11"/>
  <c r="H240" i="11"/>
  <c r="G240" i="11"/>
  <c r="W26" i="1" s="1"/>
  <c r="F240" i="11"/>
  <c r="H229" i="11"/>
  <c r="G229" i="11"/>
  <c r="V26" i="1" s="1"/>
  <c r="F229" i="11"/>
  <c r="H218" i="11"/>
  <c r="G218" i="11"/>
  <c r="U26" i="1" s="1"/>
  <c r="F218" i="11"/>
  <c r="H207" i="11"/>
  <c r="G207" i="11"/>
  <c r="T26" i="1" s="1"/>
  <c r="F207" i="11"/>
  <c r="H196" i="11"/>
  <c r="G196" i="11"/>
  <c r="S26" i="1" s="1"/>
  <c r="F196" i="11"/>
  <c r="H185" i="11"/>
  <c r="G185" i="11"/>
  <c r="R26" i="1" s="1"/>
  <c r="F185" i="11"/>
  <c r="H251" i="4"/>
  <c r="G251" i="4"/>
  <c r="X12" i="1" s="1"/>
  <c r="F251" i="4"/>
  <c r="X11" i="1" s="1"/>
  <c r="H240" i="4"/>
  <c r="G240" i="4"/>
  <c r="W12" i="1" s="1"/>
  <c r="F240" i="4"/>
  <c r="H229" i="4"/>
  <c r="G229" i="4"/>
  <c r="V12" i="1" s="1"/>
  <c r="F229" i="4"/>
  <c r="H218" i="4"/>
  <c r="G218" i="4"/>
  <c r="U12" i="1" s="1"/>
  <c r="F218" i="4"/>
  <c r="H207" i="4"/>
  <c r="G207" i="4"/>
  <c r="T12" i="1" s="1"/>
  <c r="F207" i="4"/>
  <c r="H196" i="4"/>
  <c r="G196" i="4"/>
  <c r="S12" i="1" s="1"/>
  <c r="F196" i="4"/>
  <c r="H185" i="4"/>
  <c r="G185" i="4"/>
  <c r="R12" i="1" s="1"/>
  <c r="F185" i="4"/>
  <c r="H167" i="5"/>
  <c r="G167" i="5"/>
  <c r="Q14" i="1" s="1"/>
  <c r="F167" i="5"/>
  <c r="H156" i="5"/>
  <c r="G156" i="5"/>
  <c r="P14" i="1" s="1"/>
  <c r="F156" i="5"/>
  <c r="H145" i="5"/>
  <c r="G145" i="5"/>
  <c r="O14" i="1" s="1"/>
  <c r="F145" i="5"/>
  <c r="H134" i="5"/>
  <c r="G134" i="5"/>
  <c r="N14" i="1" s="1"/>
  <c r="F134" i="5"/>
  <c r="H123" i="5"/>
  <c r="G123" i="5"/>
  <c r="M14" i="1" s="1"/>
  <c r="F123" i="5"/>
  <c r="H112" i="5"/>
  <c r="G112" i="5"/>
  <c r="L14" i="1" s="1"/>
  <c r="F112" i="5"/>
  <c r="H101" i="5"/>
  <c r="G101" i="5"/>
  <c r="K14" i="1" s="1"/>
  <c r="F101" i="5"/>
  <c r="H167" i="6"/>
  <c r="G167" i="6"/>
  <c r="Q16" i="1" s="1"/>
  <c r="F167" i="6"/>
  <c r="H156" i="6"/>
  <c r="G156" i="6"/>
  <c r="P16" i="1" s="1"/>
  <c r="F156" i="6"/>
  <c r="H145" i="6"/>
  <c r="G145" i="6"/>
  <c r="O16" i="1" s="1"/>
  <c r="F145" i="6"/>
  <c r="H134" i="6"/>
  <c r="G134" i="6"/>
  <c r="N16" i="1" s="1"/>
  <c r="F134" i="6"/>
  <c r="H123" i="6"/>
  <c r="M16" i="1"/>
  <c r="F123" i="6"/>
  <c r="G112" i="6"/>
  <c r="L16" i="1" s="1"/>
  <c r="F112" i="6"/>
  <c r="H101" i="6"/>
  <c r="G101" i="6"/>
  <c r="F101" i="6"/>
  <c r="G167" i="7"/>
  <c r="Q18" i="1" s="1"/>
  <c r="F167" i="7"/>
  <c r="G156" i="7"/>
  <c r="P18" i="1" s="1"/>
  <c r="F156" i="7"/>
  <c r="H145" i="7"/>
  <c r="G145" i="7"/>
  <c r="O18" i="1" s="1"/>
  <c r="F145" i="7"/>
  <c r="H134" i="7"/>
  <c r="G134" i="7"/>
  <c r="N18" i="1" s="1"/>
  <c r="F134" i="7"/>
  <c r="H123" i="7"/>
  <c r="G123" i="7"/>
  <c r="M18" i="1" s="1"/>
  <c r="F123" i="7"/>
  <c r="H112" i="7"/>
  <c r="G112" i="7"/>
  <c r="L18" i="1" s="1"/>
  <c r="F112" i="7"/>
  <c r="H101" i="7"/>
  <c r="G101" i="7"/>
  <c r="K18" i="1" s="1"/>
  <c r="H167" i="8"/>
  <c r="G167" i="8"/>
  <c r="Q20" i="1" s="1"/>
  <c r="F167" i="8"/>
  <c r="Q19" i="1" s="1"/>
  <c r="H156" i="8"/>
  <c r="G156" i="8"/>
  <c r="F156" i="8"/>
  <c r="P19" i="1" s="1"/>
  <c r="H145" i="8"/>
  <c r="G145" i="8"/>
  <c r="F145" i="8"/>
  <c r="O19" i="1" s="1"/>
  <c r="H134" i="8"/>
  <c r="G134" i="8"/>
  <c r="F134" i="8"/>
  <c r="N19" i="1" s="1"/>
  <c r="H123" i="8"/>
  <c r="G123" i="8"/>
  <c r="F123" i="8"/>
  <c r="M19" i="1" s="1"/>
  <c r="G112" i="8"/>
  <c r="F112" i="8"/>
  <c r="L19" i="1" s="1"/>
  <c r="H101" i="8"/>
  <c r="G101" i="8"/>
  <c r="H167" i="9"/>
  <c r="Q22" i="1"/>
  <c r="F167" i="9"/>
  <c r="H156" i="9"/>
  <c r="G156" i="9"/>
  <c r="F156" i="9"/>
  <c r="H145" i="9"/>
  <c r="G145" i="9"/>
  <c r="O22" i="1" s="1"/>
  <c r="F145" i="9"/>
  <c r="N22" i="1"/>
  <c r="H123" i="9"/>
  <c r="G123" i="9"/>
  <c r="M22" i="1" s="1"/>
  <c r="F123" i="9"/>
  <c r="L22" i="1"/>
  <c r="H101" i="9"/>
  <c r="G101" i="9"/>
  <c r="K22" i="1" s="1"/>
  <c r="F101" i="9"/>
  <c r="G167" i="10"/>
  <c r="Q24" i="1" s="1"/>
  <c r="F167" i="10"/>
  <c r="H156" i="10"/>
  <c r="G156" i="10"/>
  <c r="P24" i="1" s="1"/>
  <c r="F156" i="10"/>
  <c r="H145" i="10"/>
  <c r="G145" i="10"/>
  <c r="O24" i="1" s="1"/>
  <c r="F145" i="10"/>
  <c r="H134" i="10"/>
  <c r="G134" i="10"/>
  <c r="N24" i="1" s="1"/>
  <c r="F134" i="10"/>
  <c r="H123" i="10"/>
  <c r="G123" i="10"/>
  <c r="M24" i="1" s="1"/>
  <c r="F123" i="10"/>
  <c r="H112" i="10"/>
  <c r="G112" i="10"/>
  <c r="F112" i="10"/>
  <c r="H101" i="10"/>
  <c r="G101" i="10"/>
  <c r="K24" i="1" s="1"/>
  <c r="F101" i="10"/>
  <c r="H167" i="11"/>
  <c r="G167" i="11"/>
  <c r="Q26" i="1" s="1"/>
  <c r="F167" i="11"/>
  <c r="H156" i="11"/>
  <c r="G156" i="11"/>
  <c r="P26" i="1" s="1"/>
  <c r="F156" i="11"/>
  <c r="H145" i="11"/>
  <c r="G145" i="11"/>
  <c r="O26" i="1" s="1"/>
  <c r="F145" i="11"/>
  <c r="H134" i="11"/>
  <c r="G134" i="11"/>
  <c r="N26" i="1" s="1"/>
  <c r="F134" i="11"/>
  <c r="H123" i="11"/>
  <c r="G123" i="11"/>
  <c r="M26" i="1" s="1"/>
  <c r="F123" i="11"/>
  <c r="H112" i="11"/>
  <c r="G112" i="11"/>
  <c r="L26" i="1" s="1"/>
  <c r="F112" i="11"/>
  <c r="H101" i="11"/>
  <c r="G101" i="11"/>
  <c r="K26" i="1" s="1"/>
  <c r="F101" i="11"/>
  <c r="H167" i="4"/>
  <c r="G167" i="4"/>
  <c r="Q12" i="1" s="1"/>
  <c r="F167" i="4"/>
  <c r="H156" i="4"/>
  <c r="G156" i="4"/>
  <c r="P12" i="1" s="1"/>
  <c r="F156" i="4"/>
  <c r="H145" i="4"/>
  <c r="G145" i="4"/>
  <c r="O12" i="1" s="1"/>
  <c r="F145" i="4"/>
  <c r="H134" i="4"/>
  <c r="G134" i="4"/>
  <c r="F134" i="4"/>
  <c r="H123" i="4"/>
  <c r="G123" i="4"/>
  <c r="M12" i="1" s="1"/>
  <c r="F123" i="4"/>
  <c r="H112" i="4"/>
  <c r="G112" i="4"/>
  <c r="L12" i="1" s="1"/>
  <c r="F112" i="4"/>
  <c r="H101" i="4"/>
  <c r="G101" i="4"/>
  <c r="K12" i="1" s="1"/>
  <c r="F101" i="4"/>
  <c r="H419" i="3"/>
  <c r="G419" i="3"/>
  <c r="AL10" i="1" s="1"/>
  <c r="F419" i="3"/>
  <c r="AL9" i="1" s="1"/>
  <c r="H408" i="3"/>
  <c r="G408" i="3"/>
  <c r="AK10" i="1" s="1"/>
  <c r="F408" i="3"/>
  <c r="AK9" i="1" s="1"/>
  <c r="H397" i="3"/>
  <c r="G397" i="3"/>
  <c r="AJ10" i="1" s="1"/>
  <c r="F397" i="3"/>
  <c r="AJ9" i="1" s="1"/>
  <c r="H386" i="3"/>
  <c r="G386" i="3"/>
  <c r="AI10" i="1" s="1"/>
  <c r="F386" i="3"/>
  <c r="AI9" i="1" s="1"/>
  <c r="AH10" i="1"/>
  <c r="H364" i="3"/>
  <c r="G364" i="3"/>
  <c r="AG10" i="1" s="1"/>
  <c r="H353" i="3"/>
  <c r="G353" i="3"/>
  <c r="F353" i="3"/>
  <c r="H335" i="3"/>
  <c r="G335" i="3"/>
  <c r="AE10" i="1" s="1"/>
  <c r="F335" i="3"/>
  <c r="AD10" i="1"/>
  <c r="H313" i="3"/>
  <c r="G313" i="3"/>
  <c r="AC10" i="1" s="1"/>
  <c r="F313" i="3"/>
  <c r="H302" i="3"/>
  <c r="G302" i="3"/>
  <c r="AB10" i="1" s="1"/>
  <c r="F302" i="3"/>
  <c r="H291" i="3"/>
  <c r="G291" i="3"/>
  <c r="F291" i="3"/>
  <c r="G280" i="3"/>
  <c r="Z10" i="1" s="1"/>
  <c r="F280" i="3"/>
  <c r="H269" i="3"/>
  <c r="G269" i="3"/>
  <c r="Y10" i="1" s="1"/>
  <c r="F269" i="3"/>
  <c r="H251" i="3"/>
  <c r="G251" i="3"/>
  <c r="X10" i="1" s="1"/>
  <c r="F251" i="3"/>
  <c r="H240" i="3"/>
  <c r="G240" i="3"/>
  <c r="W10" i="1" s="1"/>
  <c r="F240" i="3"/>
  <c r="G229" i="3"/>
  <c r="V10" i="1" s="1"/>
  <c r="F229" i="3"/>
  <c r="H218" i="3"/>
  <c r="G218" i="3"/>
  <c r="U10" i="1" s="1"/>
  <c r="F218" i="3"/>
  <c r="H207" i="3"/>
  <c r="G207" i="3"/>
  <c r="T10" i="1" s="1"/>
  <c r="F207" i="3"/>
  <c r="H196" i="3"/>
  <c r="G196" i="3"/>
  <c r="S10" i="1" s="1"/>
  <c r="F196" i="3"/>
  <c r="H185" i="3"/>
  <c r="G185" i="3"/>
  <c r="R10" i="1" s="1"/>
  <c r="F185" i="3"/>
  <c r="H167" i="3"/>
  <c r="G167" i="3"/>
  <c r="Q10" i="1" s="1"/>
  <c r="F167" i="3"/>
  <c r="P10" i="1"/>
  <c r="H145" i="3"/>
  <c r="G145" i="3"/>
  <c r="O10" i="1" s="1"/>
  <c r="F145" i="3"/>
  <c r="H134" i="3"/>
  <c r="G134" i="3"/>
  <c r="N10" i="1" s="1"/>
  <c r="F134" i="3"/>
  <c r="H123" i="3"/>
  <c r="G123" i="3"/>
  <c r="M10" i="1" s="1"/>
  <c r="F123" i="3"/>
  <c r="H112" i="3"/>
  <c r="G112" i="3"/>
  <c r="F112" i="3"/>
  <c r="H101" i="3"/>
  <c r="G101" i="3"/>
  <c r="K10" i="1" s="1"/>
  <c r="F101" i="3"/>
  <c r="H419" i="2"/>
  <c r="G419" i="2"/>
  <c r="AL8" i="1" s="1"/>
  <c r="F419" i="2"/>
  <c r="AL7" i="1" s="1"/>
  <c r="H408" i="2"/>
  <c r="G408" i="2"/>
  <c r="AK8" i="1" s="1"/>
  <c r="F408" i="2"/>
  <c r="AK7" i="1" s="1"/>
  <c r="H397" i="2"/>
  <c r="G397" i="2"/>
  <c r="AJ8" i="1" s="1"/>
  <c r="F397" i="2"/>
  <c r="AJ7" i="1" s="1"/>
  <c r="H386" i="2"/>
  <c r="G386" i="2"/>
  <c r="AI8" i="1" s="1"/>
  <c r="F386" i="2"/>
  <c r="AI7" i="1" s="1"/>
  <c r="H375" i="2"/>
  <c r="G375" i="2"/>
  <c r="AH8" i="1" s="1"/>
  <c r="F375" i="2"/>
  <c r="H364" i="2"/>
  <c r="G364" i="2"/>
  <c r="AG8" i="1" s="1"/>
  <c r="F364" i="2"/>
  <c r="H353" i="2"/>
  <c r="G353" i="2"/>
  <c r="AF8" i="1" s="1"/>
  <c r="F353" i="2"/>
  <c r="AF7" i="1" s="1"/>
  <c r="H335" i="2"/>
  <c r="G335" i="2"/>
  <c r="AE8" i="1" s="1"/>
  <c r="F335" i="2"/>
  <c r="AE7" i="1" s="1"/>
  <c r="H324" i="2"/>
  <c r="G324" i="2"/>
  <c r="AD8" i="1" s="1"/>
  <c r="F324" i="2"/>
  <c r="AD7" i="1" s="1"/>
  <c r="H313" i="2"/>
  <c r="G313" i="2"/>
  <c r="AC8" i="1" s="1"/>
  <c r="F313" i="2"/>
  <c r="AC7" i="1" s="1"/>
  <c r="H302" i="2"/>
  <c r="G302" i="2"/>
  <c r="AB8" i="1" s="1"/>
  <c r="F302" i="2"/>
  <c r="AB7" i="1" s="1"/>
  <c r="H291" i="2"/>
  <c r="G291" i="2"/>
  <c r="AA8" i="1" s="1"/>
  <c r="F291" i="2"/>
  <c r="AA7" i="1" s="1"/>
  <c r="H280" i="2"/>
  <c r="G280" i="2"/>
  <c r="Z8" i="1" s="1"/>
  <c r="F280" i="2"/>
  <c r="Z7" i="1" s="1"/>
  <c r="H269" i="2"/>
  <c r="G269" i="2"/>
  <c r="Y8" i="1" s="1"/>
  <c r="F269" i="2"/>
  <c r="Y7" i="1" s="1"/>
  <c r="H251" i="2"/>
  <c r="G251" i="2"/>
  <c r="X8" i="1" s="1"/>
  <c r="F251" i="2"/>
  <c r="X7" i="1" s="1"/>
  <c r="H240" i="2"/>
  <c r="G240" i="2"/>
  <c r="W8" i="1" s="1"/>
  <c r="F240" i="2"/>
  <c r="W7" i="1" s="1"/>
  <c r="H229" i="2"/>
  <c r="G229" i="2"/>
  <c r="V8" i="1" s="1"/>
  <c r="F229" i="2"/>
  <c r="V7" i="1" s="1"/>
  <c r="H218" i="2"/>
  <c r="G218" i="2"/>
  <c r="U8" i="1" s="1"/>
  <c r="F218" i="2"/>
  <c r="U7" i="1" s="1"/>
  <c r="G207" i="2"/>
  <c r="T8" i="1" s="1"/>
  <c r="F207" i="2"/>
  <c r="T7" i="1" s="1"/>
  <c r="G196" i="2"/>
  <c r="S8" i="1" s="1"/>
  <c r="F196" i="2"/>
  <c r="S7" i="1" s="1"/>
  <c r="H185" i="2"/>
  <c r="G185" i="2"/>
  <c r="R8" i="1" s="1"/>
  <c r="F185" i="2"/>
  <c r="R7" i="1" s="1"/>
  <c r="G167" i="2"/>
  <c r="Q8" i="1" s="1"/>
  <c r="F167" i="2"/>
  <c r="Q7" i="1" s="1"/>
  <c r="G156" i="2"/>
  <c r="P8" i="1" s="1"/>
  <c r="F156" i="2"/>
  <c r="P7" i="1" s="1"/>
  <c r="H145" i="2"/>
  <c r="G145" i="2"/>
  <c r="O8" i="1" s="1"/>
  <c r="F145" i="2"/>
  <c r="O7" i="1" s="1"/>
  <c r="G134" i="2"/>
  <c r="N8" i="1" s="1"/>
  <c r="F134" i="2"/>
  <c r="N7" i="1" s="1"/>
  <c r="H123" i="2"/>
  <c r="G123" i="2"/>
  <c r="M8" i="1" s="1"/>
  <c r="F123" i="2"/>
  <c r="M7" i="1" s="1"/>
  <c r="H112" i="2"/>
  <c r="G112" i="2"/>
  <c r="L8" i="1" s="1"/>
  <c r="F112" i="2"/>
  <c r="L7" i="1" s="1"/>
  <c r="H101" i="2"/>
  <c r="G101" i="2"/>
  <c r="K8" i="1" s="1"/>
  <c r="F101" i="2"/>
  <c r="K7" i="1" s="1"/>
  <c r="H83" i="2"/>
  <c r="G83" i="2"/>
  <c r="J8" i="1" s="1"/>
  <c r="F83" i="2"/>
  <c r="J7" i="1" s="1"/>
  <c r="H72" i="2"/>
  <c r="G72" i="2"/>
  <c r="I8" i="1" s="1"/>
  <c r="F72" i="2"/>
  <c r="I7" i="1" s="1"/>
  <c r="H61" i="2"/>
  <c r="G61" i="2"/>
  <c r="F61" i="2"/>
  <c r="H50" i="2"/>
  <c r="G50" i="2"/>
  <c r="F50" i="2"/>
  <c r="H39" i="2"/>
  <c r="G39" i="2"/>
  <c r="F39" i="2"/>
  <c r="H28" i="2"/>
  <c r="G28" i="2"/>
  <c r="F28" i="2"/>
  <c r="H72" i="11"/>
  <c r="G72" i="11"/>
  <c r="I26" i="1" s="1"/>
  <c r="F72" i="11"/>
  <c r="H61" i="11"/>
  <c r="G61" i="11"/>
  <c r="F61" i="11"/>
  <c r="H39" i="11"/>
  <c r="G39" i="11"/>
  <c r="F26" i="1" s="1"/>
  <c r="F39" i="11"/>
  <c r="H28" i="11"/>
  <c r="G28" i="11"/>
  <c r="E26" i="1" s="1"/>
  <c r="F28" i="11"/>
  <c r="G17" i="11"/>
  <c r="D26" i="1" s="1"/>
  <c r="G17" i="2"/>
  <c r="D8" i="1" s="1"/>
  <c r="AH7" i="1" l="1"/>
  <c r="AG7" i="1"/>
  <c r="AM20" i="1"/>
  <c r="H8" i="1"/>
  <c r="G8" i="1"/>
  <c r="F8" i="1"/>
  <c r="E8" i="1"/>
  <c r="AH12" i="1"/>
  <c r="L24" i="1"/>
  <c r="AA10" i="1"/>
  <c r="Y22" i="1"/>
  <c r="Y16" i="1"/>
  <c r="Y14" i="1"/>
  <c r="AH26" i="1"/>
  <c r="H26" i="1"/>
  <c r="G84" i="11"/>
  <c r="G168" i="11" s="1"/>
  <c r="G252" i="11" s="1"/>
  <c r="G336" i="11" s="1"/>
  <c r="G421" i="11" s="1"/>
  <c r="G168" i="8"/>
  <c r="G168" i="4"/>
  <c r="G252" i="4" s="1"/>
  <c r="G336" i="4" s="1"/>
  <c r="G420" i="4" s="1"/>
  <c r="G168" i="9"/>
  <c r="G252" i="9" s="1"/>
  <c r="G336" i="9" s="1"/>
  <c r="G420" i="9" s="1"/>
  <c r="P22" i="1"/>
  <c r="G168" i="3"/>
  <c r="G252" i="3" s="1"/>
  <c r="G336" i="3" s="1"/>
  <c r="G420" i="3" s="1"/>
  <c r="G168" i="7"/>
  <c r="G252" i="7" s="1"/>
  <c r="G337" i="7" s="1"/>
  <c r="G421" i="7" s="1"/>
  <c r="N12" i="1"/>
  <c r="AM12" i="1" s="1"/>
  <c r="G168" i="10"/>
  <c r="G252" i="10" s="1"/>
  <c r="G338" i="10" s="1"/>
  <c r="G422" i="10" s="1"/>
  <c r="G168" i="5"/>
  <c r="G252" i="5" s="1"/>
  <c r="G336" i="5" s="1"/>
  <c r="G420" i="5" s="1"/>
  <c r="G168" i="6"/>
  <c r="G252" i="6" s="1"/>
  <c r="G336" i="6" s="1"/>
  <c r="G420" i="6" s="1"/>
  <c r="K16" i="1"/>
  <c r="AF10" i="1"/>
  <c r="L10" i="1"/>
  <c r="G84" i="2"/>
  <c r="G168" i="2" s="1"/>
  <c r="G252" i="2" s="1"/>
  <c r="G336" i="2" s="1"/>
  <c r="G420" i="2" s="1"/>
  <c r="AM18" i="1"/>
  <c r="AO18" i="1" s="1"/>
  <c r="D9" i="12"/>
  <c r="D11" i="12"/>
  <c r="D13" i="12"/>
  <c r="D15" i="12"/>
  <c r="D17" i="12"/>
  <c r="D19" i="12"/>
  <c r="D21" i="12"/>
  <c r="D23" i="12"/>
  <c r="D25" i="12"/>
  <c r="D27" i="12"/>
  <c r="D31" i="12"/>
  <c r="D33" i="12"/>
  <c r="D35" i="12"/>
  <c r="D37" i="12"/>
  <c r="D39" i="12"/>
  <c r="D7" i="12"/>
  <c r="Q65" i="1" l="1"/>
  <c r="Q64" i="1"/>
  <c r="Q63" i="1"/>
  <c r="J66" i="1"/>
  <c r="J64" i="1"/>
  <c r="J61" i="1"/>
  <c r="J63" i="1"/>
  <c r="J62" i="1"/>
  <c r="P65" i="1"/>
  <c r="P64" i="1"/>
  <c r="P60" i="1"/>
  <c r="P59" i="1"/>
  <c r="P66" i="1"/>
  <c r="I64" i="1"/>
  <c r="I65" i="1"/>
  <c r="I66" i="1"/>
  <c r="I63" i="1"/>
  <c r="D65" i="1"/>
  <c r="D64" i="1"/>
  <c r="D62" i="1"/>
  <c r="D66" i="1"/>
  <c r="N65" i="1"/>
  <c r="N64" i="1"/>
  <c r="H65" i="1"/>
  <c r="H64" i="1"/>
  <c r="H66" i="1"/>
  <c r="H63" i="1"/>
  <c r="S64" i="1"/>
  <c r="S65" i="1"/>
  <c r="S59" i="1"/>
  <c r="S60" i="1"/>
  <c r="F64" i="1"/>
  <c r="F65" i="1"/>
  <c r="T64" i="1"/>
  <c r="T65" i="1"/>
  <c r="T60" i="1"/>
  <c r="T59" i="1"/>
  <c r="M64" i="1"/>
  <c r="M65" i="1"/>
  <c r="M59" i="1"/>
  <c r="L64" i="1"/>
  <c r="L65" i="1"/>
  <c r="L59" i="1"/>
  <c r="L60" i="1"/>
  <c r="R64" i="1"/>
  <c r="R65" i="1"/>
  <c r="R59" i="1"/>
  <c r="R60" i="1"/>
  <c r="E64" i="1"/>
  <c r="E65" i="1"/>
  <c r="G64" i="1"/>
  <c r="G65" i="1"/>
  <c r="P57" i="1"/>
  <c r="P61" i="1"/>
  <c r="Q57" i="1"/>
  <c r="Q60" i="1"/>
  <c r="Q59" i="1"/>
  <c r="S62" i="1"/>
  <c r="S61" i="1"/>
  <c r="J59" i="1"/>
  <c r="L63" i="1"/>
  <c r="L62" i="1"/>
  <c r="L61" i="1"/>
  <c r="G59" i="1"/>
  <c r="E66" i="1"/>
  <c r="E60" i="1"/>
  <c r="E59" i="1"/>
  <c r="AM8" i="1"/>
  <c r="AO8" i="1" s="1"/>
  <c r="I61" i="1"/>
  <c r="G61" i="1"/>
  <c r="N57" i="1"/>
  <c r="N59" i="1"/>
  <c r="J60" i="1"/>
  <c r="F62" i="1"/>
  <c r="F61" i="1"/>
  <c r="R57" i="1"/>
  <c r="M57" i="1"/>
  <c r="M67" i="1"/>
  <c r="E62" i="1"/>
  <c r="E61" i="1"/>
  <c r="G252" i="8"/>
  <c r="H59" i="1"/>
  <c r="H60" i="1"/>
  <c r="H61" i="1"/>
  <c r="T66" i="1"/>
  <c r="T63" i="1"/>
  <c r="T62" i="1"/>
  <c r="T61" i="1"/>
  <c r="P63" i="1"/>
  <c r="G62" i="1"/>
  <c r="F60" i="1"/>
  <c r="I62" i="1"/>
  <c r="Q66" i="1"/>
  <c r="Q62" i="1"/>
  <c r="F63" i="1"/>
  <c r="N62" i="1"/>
  <c r="M66" i="1"/>
  <c r="M61" i="1"/>
  <c r="Q61" i="1"/>
  <c r="F59" i="1"/>
  <c r="L66" i="1"/>
  <c r="L67" i="1"/>
  <c r="N66" i="1"/>
  <c r="N61" i="1"/>
  <c r="S67" i="1"/>
  <c r="S66" i="1"/>
  <c r="S63" i="1"/>
  <c r="I60" i="1"/>
  <c r="I59" i="1"/>
  <c r="R67" i="1"/>
  <c r="R63" i="1"/>
  <c r="J67" i="1"/>
  <c r="H62" i="1"/>
  <c r="G57" i="1"/>
  <c r="F57" i="1"/>
  <c r="E57" i="1"/>
  <c r="D61" i="1"/>
  <c r="D57" i="1"/>
  <c r="D59" i="1"/>
  <c r="AN37" i="1"/>
  <c r="AM24" i="1"/>
  <c r="AO24" i="1" s="1"/>
  <c r="AM14" i="1"/>
  <c r="AO14" i="1" s="1"/>
  <c r="T57" i="1"/>
  <c r="R62" i="1"/>
  <c r="I57" i="1"/>
  <c r="D60" i="1"/>
  <c r="M62" i="1"/>
  <c r="P67" i="1"/>
  <c r="AM38" i="1"/>
  <c r="AO38" i="1" s="1"/>
  <c r="AM26" i="1"/>
  <c r="AO26" i="1" s="1"/>
  <c r="R61" i="1"/>
  <c r="H67" i="1"/>
  <c r="G63" i="1"/>
  <c r="G67" i="1"/>
  <c r="G66" i="1"/>
  <c r="F67" i="1"/>
  <c r="F66" i="1"/>
  <c r="E67" i="1"/>
  <c r="N67" i="1"/>
  <c r="O67" i="1"/>
  <c r="R66" i="1"/>
  <c r="T67" i="1"/>
  <c r="AM16" i="1"/>
  <c r="AO16" i="1" s="1"/>
  <c r="D67" i="1"/>
  <c r="AM22" i="1"/>
  <c r="AO22" i="1" s="1"/>
  <c r="AM10" i="1"/>
  <c r="AO10" i="1" s="1"/>
  <c r="F17" i="11"/>
  <c r="D25" i="1" s="1"/>
  <c r="H17" i="11"/>
  <c r="AM59" i="1" l="1"/>
  <c r="AP59" i="1" s="1"/>
  <c r="AR59" i="1" s="1"/>
  <c r="AM62" i="1"/>
  <c r="AP62" i="1" s="1"/>
  <c r="AR62" i="1" s="1"/>
  <c r="AM65" i="1"/>
  <c r="AM60" i="1"/>
  <c r="AP60" i="1" s="1"/>
  <c r="AR60" i="1" s="1"/>
  <c r="AP37" i="1"/>
  <c r="AR37" i="1" s="1"/>
  <c r="G336" i="8"/>
  <c r="AM61" i="1"/>
  <c r="AP61" i="1" s="1"/>
  <c r="AR61" i="1" s="1"/>
  <c r="AH57" i="1"/>
  <c r="AH9" i="1"/>
  <c r="G420" i="8" l="1"/>
  <c r="AO20" i="1"/>
  <c r="AD17" i="1"/>
  <c r="AH13" i="1"/>
  <c r="AG13" i="1"/>
  <c r="AF13" i="1"/>
  <c r="AH15" i="1"/>
  <c r="AG15" i="1"/>
  <c r="AH17" i="1"/>
  <c r="AG17" i="1"/>
  <c r="AH21" i="1"/>
  <c r="AG21" i="1"/>
  <c r="AH23" i="1"/>
  <c r="AG23" i="1"/>
  <c r="AH25" i="1"/>
  <c r="AG25" i="1"/>
  <c r="AG9" i="1"/>
  <c r="AF9" i="1"/>
  <c r="AE13" i="1"/>
  <c r="AD13" i="1"/>
  <c r="AC13" i="1"/>
  <c r="AB13" i="1"/>
  <c r="AA13" i="1"/>
  <c r="Z13" i="1"/>
  <c r="Y13" i="1"/>
  <c r="AE15" i="1"/>
  <c r="AD15" i="1"/>
  <c r="AC15" i="1"/>
  <c r="AB15" i="1"/>
  <c r="AE17" i="1"/>
  <c r="AC17" i="1"/>
  <c r="AB17" i="1"/>
  <c r="AE21" i="1"/>
  <c r="AD21" i="1"/>
  <c r="AC21" i="1"/>
  <c r="AB21" i="1"/>
  <c r="AD23" i="1"/>
  <c r="AC23" i="1"/>
  <c r="AB23" i="1"/>
  <c r="AE25" i="1"/>
  <c r="AD25" i="1"/>
  <c r="AC25" i="1"/>
  <c r="AB25" i="1"/>
  <c r="AE9" i="1"/>
  <c r="AD9" i="1"/>
  <c r="AC9" i="1"/>
  <c r="AB9" i="1"/>
  <c r="AA9" i="1"/>
  <c r="Z9" i="1"/>
  <c r="Y9" i="1"/>
  <c r="X13" i="1"/>
  <c r="X9" i="1"/>
  <c r="W9" i="1"/>
  <c r="V9" i="1"/>
  <c r="U9" i="1"/>
  <c r="T9" i="1"/>
  <c r="S9" i="1"/>
  <c r="R9" i="1"/>
  <c r="P25" i="1"/>
  <c r="O25" i="1"/>
  <c r="Q9" i="1"/>
  <c r="P9" i="1"/>
  <c r="O9" i="1"/>
  <c r="N9" i="1"/>
  <c r="M9" i="1"/>
  <c r="L9" i="1"/>
  <c r="K9" i="1"/>
  <c r="H83" i="4"/>
  <c r="F83" i="4"/>
  <c r="H72" i="4"/>
  <c r="F72" i="4"/>
  <c r="H50" i="4"/>
  <c r="F50" i="4"/>
  <c r="H39" i="4"/>
  <c r="F39" i="4"/>
  <c r="H17" i="4"/>
  <c r="F17" i="4"/>
  <c r="AO12" i="1" s="1"/>
  <c r="H83" i="5"/>
  <c r="F83" i="5"/>
  <c r="H72" i="5"/>
  <c r="F72" i="5"/>
  <c r="H50" i="5"/>
  <c r="F50" i="5"/>
  <c r="H39" i="5"/>
  <c r="F39" i="5"/>
  <c r="H28" i="5"/>
  <c r="F28" i="5"/>
  <c r="H17" i="5"/>
  <c r="F17" i="5"/>
  <c r="H83" i="6"/>
  <c r="F83" i="6"/>
  <c r="H72" i="6"/>
  <c r="F72" i="6"/>
  <c r="H61" i="6"/>
  <c r="F61" i="6"/>
  <c r="H50" i="6"/>
  <c r="F50" i="6"/>
  <c r="H39" i="6"/>
  <c r="F39" i="6"/>
  <c r="H28" i="6"/>
  <c r="H83" i="7"/>
  <c r="F83" i="7"/>
  <c r="H61" i="7"/>
  <c r="F61" i="7"/>
  <c r="H50" i="7"/>
  <c r="F50" i="7"/>
  <c r="H39" i="7"/>
  <c r="F39" i="7"/>
  <c r="H28" i="7"/>
  <c r="F28" i="7"/>
  <c r="H17" i="7"/>
  <c r="F17" i="7"/>
  <c r="H83" i="8"/>
  <c r="F83" i="8"/>
  <c r="J19" i="1" s="1"/>
  <c r="H72" i="8"/>
  <c r="F72" i="8"/>
  <c r="H61" i="8"/>
  <c r="F61" i="8"/>
  <c r="H19" i="1" s="1"/>
  <c r="H50" i="8"/>
  <c r="F50" i="8"/>
  <c r="G19" i="1" s="1"/>
  <c r="H39" i="8"/>
  <c r="F39" i="8"/>
  <c r="H28" i="8"/>
  <c r="F28" i="8"/>
  <c r="E19" i="1" s="1"/>
  <c r="H17" i="8"/>
  <c r="F17" i="8"/>
  <c r="D19" i="1" s="1"/>
  <c r="H83" i="9"/>
  <c r="F83" i="9"/>
  <c r="J21" i="1" s="1"/>
  <c r="H72" i="9"/>
  <c r="F72" i="9"/>
  <c r="H61" i="9"/>
  <c r="F61" i="9"/>
  <c r="H50" i="9"/>
  <c r="F50" i="9"/>
  <c r="H39" i="9"/>
  <c r="F39" i="9"/>
  <c r="H28" i="9"/>
  <c r="F28" i="9"/>
  <c r="H17" i="9"/>
  <c r="F17" i="9"/>
  <c r="H83" i="10"/>
  <c r="F83" i="10"/>
  <c r="H72" i="10"/>
  <c r="F72" i="10"/>
  <c r="F61" i="10"/>
  <c r="H50" i="10"/>
  <c r="F50" i="10"/>
  <c r="H39" i="10"/>
  <c r="F39" i="10"/>
  <c r="H28" i="10"/>
  <c r="F28" i="10"/>
  <c r="H17" i="10"/>
  <c r="F17" i="10"/>
  <c r="H83" i="11"/>
  <c r="F83" i="11"/>
  <c r="H50" i="11"/>
  <c r="F50" i="11"/>
  <c r="H83" i="3"/>
  <c r="F83" i="3"/>
  <c r="J9" i="1" s="1"/>
  <c r="H72" i="3"/>
  <c r="F72" i="3"/>
  <c r="I9" i="1" s="1"/>
  <c r="H61" i="3"/>
  <c r="F61" i="3"/>
  <c r="H9" i="1" s="1"/>
  <c r="H50" i="3"/>
  <c r="F50" i="3"/>
  <c r="G9" i="1" s="1"/>
  <c r="F39" i="3"/>
  <c r="F9" i="1" s="1"/>
  <c r="H28" i="3"/>
  <c r="F28" i="3"/>
  <c r="E9" i="1" s="1"/>
  <c r="H17" i="3"/>
  <c r="F17" i="3"/>
  <c r="D9" i="1" s="1"/>
  <c r="AE23" i="1"/>
  <c r="AA17" i="1"/>
  <c r="H17" i="2"/>
  <c r="H84" i="2" s="1"/>
  <c r="H168" i="2" s="1"/>
  <c r="H252" i="2" s="1"/>
  <c r="H336" i="2" s="1"/>
  <c r="H420" i="2" s="1"/>
  <c r="F17" i="2"/>
  <c r="D7" i="1" s="1"/>
  <c r="AO39" i="1" l="1"/>
  <c r="I19" i="1"/>
  <c r="F19" i="1"/>
  <c r="AM9" i="1"/>
  <c r="AN9" i="1" s="1"/>
  <c r="AP9" i="1" s="1"/>
  <c r="AR9" i="1" s="1"/>
  <c r="H84" i="6"/>
  <c r="H168" i="6" s="1"/>
  <c r="H252" i="6" s="1"/>
  <c r="H336" i="6" s="1"/>
  <c r="H420" i="6" s="1"/>
  <c r="F84" i="6"/>
  <c r="F168" i="6" s="1"/>
  <c r="F252" i="6" s="1"/>
  <c r="F336" i="6" s="1"/>
  <c r="F420" i="6" s="1"/>
  <c r="H84" i="9"/>
  <c r="H168" i="9" s="1"/>
  <c r="H252" i="9" s="1"/>
  <c r="H336" i="9" s="1"/>
  <c r="H420" i="9" s="1"/>
  <c r="H84" i="3"/>
  <c r="H168" i="3" s="1"/>
  <c r="H252" i="3" s="1"/>
  <c r="H336" i="3" s="1"/>
  <c r="H420" i="3" s="1"/>
  <c r="H84" i="10"/>
  <c r="H168" i="10" s="1"/>
  <c r="H252" i="10" s="1"/>
  <c r="H338" i="10" s="1"/>
  <c r="H422" i="10" s="1"/>
  <c r="F84" i="3"/>
  <c r="F168" i="3" s="1"/>
  <c r="F252" i="3" s="1"/>
  <c r="F336" i="3" s="1"/>
  <c r="F420" i="3" s="1"/>
  <c r="H84" i="11"/>
  <c r="H168" i="11" s="1"/>
  <c r="H252" i="11" s="1"/>
  <c r="H336" i="11" s="1"/>
  <c r="H421" i="11" s="1"/>
  <c r="F84" i="11"/>
  <c r="F168" i="11" s="1"/>
  <c r="F252" i="11" s="1"/>
  <c r="F336" i="11" s="1"/>
  <c r="F421" i="11" s="1"/>
  <c r="F84" i="10"/>
  <c r="F168" i="10" s="1"/>
  <c r="F252" i="10" s="1"/>
  <c r="F338" i="10" s="1"/>
  <c r="F422" i="10" s="1"/>
  <c r="F84" i="9"/>
  <c r="H84" i="8"/>
  <c r="H168" i="8" s="1"/>
  <c r="H252" i="8" s="1"/>
  <c r="H336" i="8" s="1"/>
  <c r="H420" i="8" s="1"/>
  <c r="F84" i="8"/>
  <c r="H84" i="7"/>
  <c r="H168" i="7" s="1"/>
  <c r="H252" i="7" s="1"/>
  <c r="H337" i="7" s="1"/>
  <c r="H421" i="7" s="1"/>
  <c r="F84" i="7"/>
  <c r="H84" i="5"/>
  <c r="H168" i="5" s="1"/>
  <c r="H252" i="5" s="1"/>
  <c r="H336" i="5" s="1"/>
  <c r="H420" i="5" s="1"/>
  <c r="F84" i="5"/>
  <c r="F168" i="5" s="1"/>
  <c r="F252" i="5" s="1"/>
  <c r="F336" i="5" s="1"/>
  <c r="F420" i="5" s="1"/>
  <c r="H84" i="4"/>
  <c r="H168" i="4" s="1"/>
  <c r="F84" i="4"/>
  <c r="F168" i="4" s="1"/>
  <c r="F252" i="4" s="1"/>
  <c r="F336" i="4" s="1"/>
  <c r="F420" i="4" s="1"/>
  <c r="F84" i="2"/>
  <c r="F168" i="2" s="1"/>
  <c r="F252" i="2" s="1"/>
  <c r="F336" i="2" s="1"/>
  <c r="F420" i="2" s="1"/>
  <c r="F168" i="9" l="1"/>
  <c r="F252" i="9" s="1"/>
  <c r="F336" i="9" s="1"/>
  <c r="F420" i="9" s="1"/>
  <c r="H252" i="4"/>
  <c r="H336" i="4" s="1"/>
  <c r="H420" i="4" s="1"/>
  <c r="AG57" i="1"/>
  <c r="AF57" i="1"/>
  <c r="AE57" i="1"/>
  <c r="AD57" i="1"/>
  <c r="AC57" i="1"/>
  <c r="AB57" i="1"/>
  <c r="AA57" i="1"/>
  <c r="V57" i="1"/>
  <c r="U57" i="1"/>
  <c r="S57" i="1"/>
  <c r="L57" i="1"/>
  <c r="H57" i="1"/>
  <c r="D88" i="12"/>
  <c r="AF25" i="1"/>
  <c r="AA25" i="1"/>
  <c r="Z25" i="1"/>
  <c r="Y25" i="1"/>
  <c r="X25" i="1"/>
  <c r="W25" i="1"/>
  <c r="V25" i="1"/>
  <c r="U25" i="1"/>
  <c r="T25" i="1"/>
  <c r="S25" i="1"/>
  <c r="R25" i="1"/>
  <c r="Q25" i="1"/>
  <c r="N25" i="1"/>
  <c r="M25" i="1"/>
  <c r="L25" i="1"/>
  <c r="K25" i="1"/>
  <c r="AF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AF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AF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AM63" i="1" l="1"/>
  <c r="AP63" i="1" s="1"/>
  <c r="AR63" i="1" s="1"/>
  <c r="AM66" i="1"/>
  <c r="AM64" i="1"/>
  <c r="AP64" i="1" s="1"/>
  <c r="AR64" i="1" s="1"/>
  <c r="AP65" i="1"/>
  <c r="AR65" i="1" s="1"/>
  <c r="AM57" i="1"/>
  <c r="AP57" i="1" s="1"/>
  <c r="AR57" i="1" s="1"/>
  <c r="J11" i="1"/>
  <c r="I11" i="1"/>
  <c r="H11" i="1"/>
  <c r="G11" i="1"/>
  <c r="F11" i="1"/>
  <c r="E11" i="1"/>
  <c r="D11" i="1"/>
  <c r="J13" i="1"/>
  <c r="I13" i="1"/>
  <c r="H13" i="1"/>
  <c r="G13" i="1"/>
  <c r="F13" i="1"/>
  <c r="E13" i="1"/>
  <c r="D13" i="1"/>
  <c r="J15" i="1"/>
  <c r="I15" i="1"/>
  <c r="H15" i="1"/>
  <c r="G15" i="1"/>
  <c r="F15" i="1"/>
  <c r="E15" i="1"/>
  <c r="D15" i="1"/>
  <c r="J17" i="1"/>
  <c r="I17" i="1"/>
  <c r="H17" i="1"/>
  <c r="G17" i="1"/>
  <c r="F17" i="1"/>
  <c r="E17" i="1"/>
  <c r="D17" i="1"/>
  <c r="I21" i="1"/>
  <c r="H21" i="1"/>
  <c r="G21" i="1"/>
  <c r="F21" i="1"/>
  <c r="E21" i="1"/>
  <c r="D21" i="1"/>
  <c r="J23" i="1"/>
  <c r="I23" i="1"/>
  <c r="H23" i="1"/>
  <c r="G23" i="1"/>
  <c r="F23" i="1"/>
  <c r="E23" i="1"/>
  <c r="D23" i="1"/>
  <c r="J25" i="1"/>
  <c r="I25" i="1"/>
  <c r="H25" i="1"/>
  <c r="G25" i="1"/>
  <c r="F25" i="1"/>
  <c r="E25" i="1"/>
  <c r="H7" i="1"/>
  <c r="G7" i="1"/>
  <c r="F7" i="1"/>
  <c r="E7" i="1"/>
  <c r="AM11" i="1" l="1"/>
  <c r="AN11" i="1" s="1"/>
  <c r="AP11" i="1" s="1"/>
  <c r="AR11" i="1" s="1"/>
  <c r="AM7" i="1"/>
  <c r="AN7" i="1" s="1"/>
  <c r="AM67" i="1"/>
  <c r="AP66" i="1"/>
  <c r="AR66" i="1" s="1"/>
  <c r="AM15" i="1"/>
  <c r="AN15" i="1" s="1"/>
  <c r="AM23" i="1"/>
  <c r="AN23" i="1" s="1"/>
  <c r="AP23" i="1" s="1"/>
  <c r="AR23" i="1" s="1"/>
  <c r="AM21" i="1"/>
  <c r="AN21" i="1" s="1"/>
  <c r="AP21" i="1" s="1"/>
  <c r="AR21" i="1" s="1"/>
  <c r="AM25" i="1"/>
  <c r="AN25" i="1" s="1"/>
  <c r="AP25" i="1" s="1"/>
  <c r="AR25" i="1" s="1"/>
  <c r="AM13" i="1"/>
  <c r="AN13" i="1" s="1"/>
  <c r="AP13" i="1" s="1"/>
  <c r="AR13" i="1" s="1"/>
  <c r="AP15" i="1" l="1"/>
  <c r="AP67" i="1"/>
  <c r="AR67" i="1" s="1"/>
  <c r="F101" i="8"/>
  <c r="AR15" i="1" l="1"/>
  <c r="AP7" i="1"/>
  <c r="AR7" i="1" s="1"/>
  <c r="F168" i="8"/>
  <c r="F252" i="8" s="1"/>
  <c r="F336" i="8" s="1"/>
  <c r="F420" i="8" s="1"/>
  <c r="K19" i="1"/>
  <c r="F101" i="7"/>
  <c r="AM19" i="1" l="1"/>
  <c r="AN19" i="1" s="1"/>
  <c r="AP19" i="1" s="1"/>
  <c r="AR19" i="1" s="1"/>
  <c r="F168" i="7"/>
  <c r="F252" i="7" s="1"/>
  <c r="F337" i="7" s="1"/>
  <c r="F421" i="7" s="1"/>
  <c r="K17" i="1"/>
  <c r="AM17" i="1" l="1"/>
  <c r="AN17" i="1" s="1"/>
  <c r="AN39" i="1" l="1"/>
  <c r="AP17" i="1"/>
  <c r="AP39" i="1" l="1"/>
  <c r="AR17" i="1"/>
  <c r="AR39" i="1" s="1"/>
  <c r="AP72" i="1" s="1"/>
</calcChain>
</file>

<file path=xl/sharedStrings.xml><?xml version="1.0" encoding="utf-8"?>
<sst xmlns="http://schemas.openxmlformats.org/spreadsheetml/2006/main" count="13951" uniqueCount="1746">
  <si>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</si>
  <si>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</si>
  <si>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</si>
  <si>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</si>
  <si>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</si>
  <si>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</si>
  <si>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</si>
  <si>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</si>
  <si>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</si>
  <si>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</si>
  <si>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รวม</t>
  </si>
  <si>
    <t>วันที่</t>
  </si>
  <si>
    <t>รถ Loader</t>
  </si>
  <si>
    <t>loader</t>
  </si>
  <si>
    <t>บริษัท เอ็นเอ็นวาย แมททีเรียลส์ จำกัด</t>
  </si>
  <si>
    <t>เดือน</t>
  </si>
  <si>
    <t>หน่วยงาน</t>
  </si>
  <si>
    <t>สินค้า</t>
  </si>
  <si>
    <t>จำนวน</t>
  </si>
  <si>
    <t>หมายเหตุ</t>
  </si>
  <si>
    <t>(คิว)</t>
  </si>
  <si>
    <t>หน้า</t>
  </si>
  <si>
    <t>บริษัท เอ็นเอ็นวาย แมททีเรียลส์</t>
  </si>
  <si>
    <t>ลำดับ</t>
  </si>
  <si>
    <t>ลงชื่อ</t>
  </si>
  <si>
    <t>...............................................</t>
  </si>
  <si>
    <t>เลขที่เอกสาร</t>
  </si>
  <si>
    <t>เทพื้นภายใน</t>
  </si>
  <si>
    <t>ส่งภายนอก</t>
  </si>
  <si>
    <t>เบอร์รถ….5......</t>
  </si>
  <si>
    <t>เบอร์รถ….1.....</t>
  </si>
  <si>
    <t>เบอร์รถ…2....</t>
  </si>
  <si>
    <t>เบอร์รถ…3...</t>
  </si>
  <si>
    <t>เบอร์รถ…4....</t>
  </si>
  <si>
    <t>เบอร์รถ…6....</t>
  </si>
  <si>
    <t>เบอร์รถ…6007....</t>
  </si>
  <si>
    <t>เบอร์รถ…8...</t>
  </si>
  <si>
    <t>เบอร์รถ…9....</t>
  </si>
  <si>
    <t>เบอร์รถ…10....</t>
  </si>
  <si>
    <t>รวมสุทธิ</t>
  </si>
  <si>
    <t>รหัสพนักงาน</t>
  </si>
  <si>
    <t>ชื่อ-สกุล</t>
  </si>
  <si>
    <t>นายเจษฎา โกติรัมย์</t>
  </si>
  <si>
    <t>รวมเป็นเงิน</t>
  </si>
  <si>
    <t>รวมเที่ยว</t>
  </si>
  <si>
    <t>รวมคิว</t>
  </si>
  <si>
    <t>จำนวนเที่ยว</t>
  </si>
  <si>
    <t>เวลา</t>
  </si>
  <si>
    <t>Total</t>
  </si>
  <si>
    <t>Admin</t>
  </si>
  <si>
    <t>QC</t>
  </si>
  <si>
    <t>นางสาวชลธิชา  คงเจริญ</t>
  </si>
  <si>
    <t>นายศักดิ์สกล  วรรณศรี</t>
  </si>
  <si>
    <t>นางสาวสุกัญญา  แสงเงิน</t>
  </si>
  <si>
    <t xml:space="preserve">         ลงชื่อ...............................................</t>
  </si>
  <si>
    <t>..................................................</t>
  </si>
  <si>
    <t xml:space="preserve">    ( นายวีระพล   ธนศิริ )</t>
  </si>
  <si>
    <t xml:space="preserve">     ผู้จัดทำ</t>
  </si>
  <si>
    <t xml:space="preserve">               </t>
  </si>
  <si>
    <t>ทะเบียนรถ …6001....</t>
  </si>
  <si>
    <t>ทะเบียนรถ ….6002 ....</t>
  </si>
  <si>
    <t>ทะเบียนรถ …6003 ....</t>
  </si>
  <si>
    <t>ทะเบียนรถ …6004....</t>
  </si>
  <si>
    <t>ทะเบียนรถ ….6005.....</t>
  </si>
  <si>
    <t>ทะเบียนรถ …6006....</t>
  </si>
  <si>
    <t>ทะเบียนรถ …6007 ...</t>
  </si>
  <si>
    <t>ทะเบียนรถ …6008 ....</t>
  </si>
  <si>
    <t>ทะเบียนรถ …6009 ....</t>
  </si>
  <si>
    <t>ทะเบียนรถ …6010....</t>
  </si>
  <si>
    <t>นายพงษ์ดนัย  ดีวงศ์สาย</t>
  </si>
  <si>
    <t>รถน้ำ</t>
  </si>
  <si>
    <t>ใช้ภายในแพล้น</t>
  </si>
  <si>
    <t>นายชัยวัฒน์   ผดุงเวียง</t>
  </si>
  <si>
    <t>ทะเบียนรถ ….6002....</t>
  </si>
  <si>
    <t>ทะเบียนรถ …6003....</t>
  </si>
  <si>
    <t>เบอร์รถ…..03.....</t>
  </si>
  <si>
    <t>ทะเบียนรถ ….......6003.......</t>
  </si>
  <si>
    <t>ทะเบียนรถ …6006 ....</t>
  </si>
  <si>
    <t>ทะเบียนรถ …6007...</t>
  </si>
  <si>
    <t>ทะเบียนรถ …6008...</t>
  </si>
  <si>
    <t>ทะเบียนรถ …6009....</t>
  </si>
  <si>
    <t>ตั้งแต่วันที่</t>
  </si>
  <si>
    <t>ถึงวันที่</t>
  </si>
  <si>
    <t>ลูกค้า</t>
  </si>
  <si>
    <t>ยอดรวมทั้งสิ้น</t>
  </si>
  <si>
    <t>คิว</t>
  </si>
  <si>
    <t>รายงานการวิ่งรถประจำเดือน</t>
  </si>
  <si>
    <t>ปี</t>
  </si>
  <si>
    <t>นายอุทัย  ปรองดอง</t>
  </si>
  <si>
    <t>นายสมชัย  พรมจันทร์</t>
  </si>
  <si>
    <t>คนโหลด</t>
  </si>
  <si>
    <t xml:space="preserve">   ( นายปวิช   วิรัชธนภัณฑ์ )</t>
  </si>
  <si>
    <t xml:space="preserve">    ผู้จัดการแพล้น</t>
  </si>
  <si>
    <t xml:space="preserve">       ผู้จัดการทั่วไป</t>
  </si>
  <si>
    <t xml:space="preserve">   ลงชื่อ</t>
  </si>
  <si>
    <t>นายสายฟ้า   ศรีโย</t>
  </si>
  <si>
    <t>พนักงานขาย นายอำนาจ ชัยประภา</t>
  </si>
  <si>
    <t>เบอร์รถ…....</t>
  </si>
  <si>
    <t>ทะเบียนรถ …....</t>
  </si>
  <si>
    <t>11</t>
  </si>
  <si>
    <t>12</t>
  </si>
  <si>
    <t>ค่าคอมมิชชั่น  ( Sales )</t>
  </si>
  <si>
    <t>Admin , QC , ช่าง , โหลดคอนกรีต</t>
  </si>
  <si>
    <t>นายอำนาจ ชัยประภา (Sales)</t>
  </si>
  <si>
    <t>13</t>
  </si>
  <si>
    <t>นายภัทรพงษ์ ชุมนวล</t>
  </si>
  <si>
    <t>ค่าทำความสะอาดรถ</t>
  </si>
  <si>
    <t>รวมค่าเที่ยว,ค่าคิว</t>
  </si>
  <si>
    <t>คิวละ</t>
  </si>
  <si>
    <t>รวมค่าเที่ยว+ค่าคิว+ค่าคอมมิชชั่น+ค่าทำความสะอาด</t>
  </si>
  <si>
    <t>อื่นๆ</t>
  </si>
  <si>
    <t>เที่ยวละ</t>
  </si>
  <si>
    <t>หลัง 17.00@100</t>
  </si>
  <si>
    <t>8.00-17.00</t>
  </si>
  <si>
    <t>หลัง 17.00</t>
  </si>
  <si>
    <t>นายชาญชัย บุตรศรีภูมิ</t>
  </si>
  <si>
    <t>นายประเสิม พร้อมพรั่ง</t>
  </si>
  <si>
    <t>นายพิทักษ์ โประณะ</t>
  </si>
  <si>
    <t>นายพีระศักดิ์ ดาราสี</t>
  </si>
  <si>
    <t>นายวสันต์ บางยิ้ม</t>
  </si>
  <si>
    <t>ช่างซ่อมบำรุง</t>
  </si>
  <si>
    <t>นายพีรพล ภาสดา</t>
  </si>
  <si>
    <t xml:space="preserve">         ( นางสาวชลธิชา คงเจริญ )</t>
  </si>
  <si>
    <t>นายเกรียงไกร แสนสุภา</t>
  </si>
  <si>
    <t>นายสราวุฒิ โพธิ์กระสัง</t>
  </si>
  <si>
    <t>นายนิรันดร์ สิมสีดา</t>
  </si>
  <si>
    <t xml:space="preserve">รถ…รถน้ำ </t>
  </si>
  <si>
    <t>ทะเบียนรถ 54-8957</t>
  </si>
  <si>
    <t>รถ…Loader SANY...</t>
  </si>
  <si>
    <t>ทะเบียนรถ -</t>
  </si>
  <si>
    <t>งานเครดิต</t>
  </si>
  <si>
    <t>งานเงินสด</t>
  </si>
  <si>
    <t>ทะเบียน</t>
  </si>
  <si>
    <t>53-0601 (1)</t>
  </si>
  <si>
    <t>53-0602 (2)</t>
  </si>
  <si>
    <t>53-0603 (3)</t>
  </si>
  <si>
    <t>53-0604 (4)</t>
  </si>
  <si>
    <t>53-0605 (5)</t>
  </si>
  <si>
    <t>53-0606 (6)</t>
  </si>
  <si>
    <t>53-0607 (7)</t>
  </si>
  <si>
    <t>53-0608 (8)</t>
  </si>
  <si>
    <t>53-0609 (9)</t>
  </si>
  <si>
    <t>53-0610 (10)</t>
  </si>
  <si>
    <t>54-9562 (11)</t>
  </si>
  <si>
    <t>นายอดิศักดิ์ แก้วโอภาส</t>
  </si>
  <si>
    <t>55-0169 (12)</t>
  </si>
  <si>
    <t>(13)</t>
  </si>
  <si>
    <t>(14)</t>
  </si>
  <si>
    <t>(15)</t>
  </si>
  <si>
    <t>รถเทรลเลอรร์หัวลาก</t>
  </si>
  <si>
    <t xml:space="preserve">รถ…รถเทรลเลอรร์หัวลาก </t>
  </si>
  <si>
    <t xml:space="preserve">ทะเบียนรถ </t>
  </si>
  <si>
    <t>รวมค่าเที่ยว</t>
  </si>
  <si>
    <t>ขนส่งหิน</t>
  </si>
  <si>
    <t>ขนส่งอื่นๆ</t>
  </si>
  <si>
    <t>ขนส่ง อื่นๆ</t>
  </si>
  <si>
    <t>นายสุทิล ชูเกณฑ์</t>
  </si>
  <si>
    <t>นายพรชัย วิจารณ์</t>
  </si>
  <si>
    <t>นายนนทิรักษ์ กลับจันทร์</t>
  </si>
  <si>
    <t>นายธนพร สีหาด</t>
  </si>
  <si>
    <t>รายงานสรุปค่าเที่ยวรถมิกซ์ ประจำเดือน เมษายน  2569</t>
  </si>
  <si>
    <t>ตั้งแต่วันที่ …26.../….03..../…69.... ถึงวันที่ …24..../…04..../…69....</t>
  </si>
  <si>
    <t>เมษายน</t>
  </si>
  <si>
    <t>0071357</t>
  </si>
  <si>
    <t xml:space="preserve">บจก.เอ็นวี </t>
  </si>
  <si>
    <t>N3200NP00</t>
  </si>
  <si>
    <t>0071368</t>
  </si>
  <si>
    <t>บจก.เอ็นที</t>
  </si>
  <si>
    <t>N2400NP00</t>
  </si>
  <si>
    <t>0071380</t>
  </si>
  <si>
    <t>บริษัท ทีม ยูเนี่ยน</t>
  </si>
  <si>
    <t>N3201NP01</t>
  </si>
  <si>
    <t>0071391</t>
  </si>
  <si>
    <t>NTW#2</t>
  </si>
  <si>
    <t>N1800NP00</t>
  </si>
  <si>
    <t>0071403</t>
  </si>
  <si>
    <t>0071414</t>
  </si>
  <si>
    <t>0071358</t>
  </si>
  <si>
    <t>บจก.เอ็นวี</t>
  </si>
  <si>
    <t>0071369</t>
  </si>
  <si>
    <t>0071396</t>
  </si>
  <si>
    <t>0071359</t>
  </si>
  <si>
    <t>0071370</t>
  </si>
  <si>
    <t>0071378</t>
  </si>
  <si>
    <t>N0000NP05</t>
  </si>
  <si>
    <t>0071389</t>
  </si>
  <si>
    <t>0071401</t>
  </si>
  <si>
    <t>0071411</t>
  </si>
  <si>
    <t>บจก.จิงกง</t>
  </si>
  <si>
    <t>0071360</t>
  </si>
  <si>
    <t>N2800NP00</t>
  </si>
  <si>
    <t>0071392</t>
  </si>
  <si>
    <t>0071402</t>
  </si>
  <si>
    <t>0071413</t>
  </si>
  <si>
    <t>0071361</t>
  </si>
  <si>
    <t>0071371</t>
  </si>
  <si>
    <t>กวิน อ้นขวัญเมือง</t>
  </si>
  <si>
    <t>0071383</t>
  </si>
  <si>
    <t>0071394</t>
  </si>
  <si>
    <t>0071405</t>
  </si>
  <si>
    <t>0071362</t>
  </si>
  <si>
    <t>0071373</t>
  </si>
  <si>
    <t>บจก.หู่เฟิง</t>
  </si>
  <si>
    <t>0071386</t>
  </si>
  <si>
    <t>0071399</t>
  </si>
  <si>
    <t>0071409</t>
  </si>
  <si>
    <t>บจก.หอพักสาย19</t>
  </si>
  <si>
    <t>0071363</t>
  </si>
  <si>
    <t>0071372</t>
  </si>
  <si>
    <t>0071375</t>
  </si>
  <si>
    <t>0071379</t>
  </si>
  <si>
    <t>บริษัท โหลงไท่</t>
  </si>
  <si>
    <t>0071390</t>
  </si>
  <si>
    <t>0071412</t>
  </si>
  <si>
    <t>0071364</t>
  </si>
  <si>
    <t>ธนกร ศรีพุทธา</t>
  </si>
  <si>
    <t>N3000NP00</t>
  </si>
  <si>
    <t>0071385</t>
  </si>
  <si>
    <t>0071397</t>
  </si>
  <si>
    <t>0071407</t>
  </si>
  <si>
    <t>0071365</t>
  </si>
  <si>
    <t>0071374</t>
  </si>
  <si>
    <t>N0000NP00</t>
  </si>
  <si>
    <t>0071384</t>
  </si>
  <si>
    <t>0071395</t>
  </si>
  <si>
    <t>0071406</t>
  </si>
  <si>
    <t>0071366</t>
  </si>
  <si>
    <t>0071377</t>
  </si>
  <si>
    <t>0071388</t>
  </si>
  <si>
    <t>0071398</t>
  </si>
  <si>
    <t>0071408</t>
  </si>
  <si>
    <t>0071356</t>
  </si>
  <si>
    <t>0071367</t>
  </si>
  <si>
    <t>0071376</t>
  </si>
  <si>
    <t>0071381</t>
  </si>
  <si>
    <t>0071393</t>
  </si>
  <si>
    <t>0071404</t>
  </si>
  <si>
    <t>0071387</t>
  </si>
  <si>
    <t>0071400</t>
  </si>
  <si>
    <t>0071410</t>
  </si>
  <si>
    <t>0071416</t>
  </si>
  <si>
    <t>0071435</t>
  </si>
  <si>
    <t>บจก.เซล คอนสตรัคชั่น</t>
  </si>
  <si>
    <t>0071449</t>
  </si>
  <si>
    <t>0071464</t>
  </si>
  <si>
    <t>0071476</t>
  </si>
  <si>
    <t>0071490</t>
  </si>
  <si>
    <t>0071502</t>
  </si>
  <si>
    <t>0071514</t>
  </si>
  <si>
    <t>0071417</t>
  </si>
  <si>
    <t>หจก.นัชชา</t>
  </si>
  <si>
    <t>0071428</t>
  </si>
  <si>
    <t>0071478</t>
  </si>
  <si>
    <t>ZHC</t>
  </si>
  <si>
    <t>0071442</t>
  </si>
  <si>
    <t>0071462</t>
  </si>
  <si>
    <t>0071475</t>
  </si>
  <si>
    <t>0071489</t>
  </si>
  <si>
    <t>0071501</t>
  </si>
  <si>
    <t>0071515</t>
  </si>
  <si>
    <t>0071418</t>
  </si>
  <si>
    <t>0071431</t>
  </si>
  <si>
    <t>0071445</t>
  </si>
  <si>
    <t>0071463</t>
  </si>
  <si>
    <t>0071491</t>
  </si>
  <si>
    <t>0071503</t>
  </si>
  <si>
    <t>0071419</t>
  </si>
  <si>
    <t>0071432</t>
  </si>
  <si>
    <t>0071446</t>
  </si>
  <si>
    <t>0071457</t>
  </si>
  <si>
    <t>0071471</t>
  </si>
  <si>
    <t>0071484</t>
  </si>
  <si>
    <t>0071513</t>
  </si>
  <si>
    <t>0071420</t>
  </si>
  <si>
    <t>0071436</t>
  </si>
  <si>
    <t>0071450</t>
  </si>
  <si>
    <t>บจก.ชัชนา</t>
  </si>
  <si>
    <t>0071467</t>
  </si>
  <si>
    <t>0071479</t>
  </si>
  <si>
    <t>0071494</t>
  </si>
  <si>
    <t>0071507</t>
  </si>
  <si>
    <t>0071421</t>
  </si>
  <si>
    <t>บจก.สุขนภา</t>
  </si>
  <si>
    <t>0071430</t>
  </si>
  <si>
    <t>0071444</t>
  </si>
  <si>
    <t>0071454</t>
  </si>
  <si>
    <t>0071474</t>
  </si>
  <si>
    <t>0071487</t>
  </si>
  <si>
    <t>0071497</t>
  </si>
  <si>
    <t>0071509</t>
  </si>
  <si>
    <t>0071422</t>
  </si>
  <si>
    <t>0071433</t>
  </si>
  <si>
    <t>0071447</t>
  </si>
  <si>
    <t>0071460</t>
  </si>
  <si>
    <t>0071472</t>
  </si>
  <si>
    <t>0071485</t>
  </si>
  <si>
    <t>0071499</t>
  </si>
  <si>
    <t>0071511</t>
  </si>
  <si>
    <t>0071424</t>
  </si>
  <si>
    <t>0071437</t>
  </si>
  <si>
    <t>0071451</t>
  </si>
  <si>
    <t>0071468</t>
  </si>
  <si>
    <t>0071480</t>
  </si>
  <si>
    <t>0071492</t>
  </si>
  <si>
    <t>0071506</t>
  </si>
  <si>
    <t>0071425</t>
  </si>
  <si>
    <t>0071443</t>
  </si>
  <si>
    <t>0071452</t>
  </si>
  <si>
    <t>0071466</t>
  </si>
  <si>
    <t>0071483</t>
  </si>
  <si>
    <t>0071495</t>
  </si>
  <si>
    <t>0071505</t>
  </si>
  <si>
    <t>0071426</t>
  </si>
  <si>
    <t>0071439</t>
  </si>
  <si>
    <t>0071456</t>
  </si>
  <si>
    <t>0071469</t>
  </si>
  <si>
    <t>0071481</t>
  </si>
  <si>
    <t>0071493</t>
  </si>
  <si>
    <t>0071504</t>
  </si>
  <si>
    <t>0071415</t>
  </si>
  <si>
    <t>0071434</t>
  </si>
  <si>
    <t>0071448</t>
  </si>
  <si>
    <t>0071461</t>
  </si>
  <si>
    <t>0071473</t>
  </si>
  <si>
    <t>0071486</t>
  </si>
  <si>
    <t>0071488</t>
  </si>
  <si>
    <t>0071500</t>
  </si>
  <si>
    <t>0071512</t>
  </si>
  <si>
    <t>0071423</t>
  </si>
  <si>
    <t>0071440</t>
  </si>
  <si>
    <t>0071465</t>
  </si>
  <si>
    <t>0071524</t>
  </si>
  <si>
    <t>บจก.ปิยะมณี</t>
  </si>
  <si>
    <t>0071536</t>
  </si>
  <si>
    <t>บจก.ช.วิรัตน์</t>
  </si>
  <si>
    <t>0071543</t>
  </si>
  <si>
    <t>0071544</t>
  </si>
  <si>
    <t>0071545</t>
  </si>
  <si>
    <t>0071546</t>
  </si>
  <si>
    <t>0071548</t>
  </si>
  <si>
    <t>0071549</t>
  </si>
  <si>
    <t>0071550</t>
  </si>
  <si>
    <t>บจก.หลู่ไท่</t>
  </si>
  <si>
    <t>0071526</t>
  </si>
  <si>
    <t>0071538</t>
  </si>
  <si>
    <t>0071525</t>
  </si>
  <si>
    <t>0071541</t>
  </si>
  <si>
    <t>NTW#3</t>
  </si>
  <si>
    <t>0071552</t>
  </si>
  <si>
    <t>0071516</t>
  </si>
  <si>
    <t>0071537</t>
  </si>
  <si>
    <t>N3801NP01</t>
  </si>
  <si>
    <t>0071517</t>
  </si>
  <si>
    <t>0071529</t>
  </si>
  <si>
    <t>0071518</t>
  </si>
  <si>
    <t>0071530</t>
  </si>
  <si>
    <t>0071519</t>
  </si>
  <si>
    <t>0071534</t>
  </si>
  <si>
    <t>0071553</t>
  </si>
  <si>
    <t>0071520</t>
  </si>
  <si>
    <t>0071533</t>
  </si>
  <si>
    <t>บจก.วิธา</t>
  </si>
  <si>
    <t>0071521</t>
  </si>
  <si>
    <t>0071531</t>
  </si>
  <si>
    <t>บจก.ไทย สตีล</t>
  </si>
  <si>
    <t>0071522</t>
  </si>
  <si>
    <t>0071532</t>
  </si>
  <si>
    <t>0071535</t>
  </si>
  <si>
    <t>0071547</t>
  </si>
  <si>
    <t>0071523</t>
  </si>
  <si>
    <t>0071555</t>
  </si>
  <si>
    <t>บจก.หงส์อัน</t>
  </si>
  <si>
    <t>0071566</t>
  </si>
  <si>
    <t>0071574</t>
  </si>
  <si>
    <t>0071586</t>
  </si>
  <si>
    <t>0071596</t>
  </si>
  <si>
    <t>0071606</t>
  </si>
  <si>
    <t>0071616</t>
  </si>
  <si>
    <t>0071556</t>
  </si>
  <si>
    <t>บริษัท ไทยเซิ่ง</t>
  </si>
  <si>
    <t>0071570</t>
  </si>
  <si>
    <t>0071579</t>
  </si>
  <si>
    <t>0071591</t>
  </si>
  <si>
    <t>0071601</t>
  </si>
  <si>
    <t>0071610</t>
  </si>
  <si>
    <t>0071557</t>
  </si>
  <si>
    <t>0071567</t>
  </si>
  <si>
    <t>0071576</t>
  </si>
  <si>
    <t>0071587</t>
  </si>
  <si>
    <t>0071602</t>
  </si>
  <si>
    <t>0071661</t>
  </si>
  <si>
    <t>0071621</t>
  </si>
  <si>
    <t>0071558</t>
  </si>
  <si>
    <t>0071569</t>
  </si>
  <si>
    <t>0071581</t>
  </si>
  <si>
    <t>0071594</t>
  </si>
  <si>
    <t>0071597</t>
  </si>
  <si>
    <t>0071598</t>
  </si>
  <si>
    <t>0071604</t>
  </si>
  <si>
    <t>0071614</t>
  </si>
  <si>
    <t>0071559</t>
  </si>
  <si>
    <t>0071572</t>
  </si>
  <si>
    <t>0071577</t>
  </si>
  <si>
    <t>0071578</t>
  </si>
  <si>
    <t>0071584</t>
  </si>
  <si>
    <t>0071607</t>
  </si>
  <si>
    <t>0071617</t>
  </si>
  <si>
    <t>0071560</t>
  </si>
  <si>
    <t>0071589</t>
  </si>
  <si>
    <t>0071622</t>
  </si>
  <si>
    <t>0071564</t>
  </si>
  <si>
    <t>0071573</t>
  </si>
  <si>
    <t>0071585</t>
  </si>
  <si>
    <t>0071609</t>
  </si>
  <si>
    <t>0071619</t>
  </si>
  <si>
    <t>วสันต์ สันลี</t>
  </si>
  <si>
    <t>0071561</t>
  </si>
  <si>
    <t>0071580</t>
  </si>
  <si>
    <t>0071592</t>
  </si>
  <si>
    <t>0071603</t>
  </si>
  <si>
    <t>0071613</t>
  </si>
  <si>
    <t>0071624</t>
  </si>
  <si>
    <t>0071563</t>
  </si>
  <si>
    <t>0071571</t>
  </si>
  <si>
    <t>0071582</t>
  </si>
  <si>
    <t>0071593</t>
  </si>
  <si>
    <t>0071605</t>
  </si>
  <si>
    <t>0071620</t>
  </si>
  <si>
    <t>สุมาลี ปัญญาคำ</t>
  </si>
  <si>
    <t>0071554</t>
  </si>
  <si>
    <t>0071565</t>
  </si>
  <si>
    <t>0071583</t>
  </si>
  <si>
    <t>0071595</t>
  </si>
  <si>
    <t>0071612</t>
  </si>
  <si>
    <t>0071623</t>
  </si>
  <si>
    <t>0071568</t>
  </si>
  <si>
    <t>0071590</t>
  </si>
  <si>
    <t>0071600</t>
  </si>
  <si>
    <t>0071615</t>
  </si>
  <si>
    <t>0071634</t>
  </si>
  <si>
    <t>0071643</t>
  </si>
  <si>
    <t>N3202NP01</t>
  </si>
  <si>
    <t>0071656</t>
  </si>
  <si>
    <t>0071666</t>
  </si>
  <si>
    <t>0071673</t>
  </si>
  <si>
    <t>0071683</t>
  </si>
  <si>
    <t>บจก.มั่นคงไพศาล</t>
  </si>
  <si>
    <t>0071696</t>
  </si>
  <si>
    <t>บจก.เฟยจิน</t>
  </si>
  <si>
    <t>0071625</t>
  </si>
  <si>
    <t>0071637</t>
  </si>
  <si>
    <t>0071648</t>
  </si>
  <si>
    <t>0071659</t>
  </si>
  <si>
    <t>0071669</t>
  </si>
  <si>
    <t>0071680</t>
  </si>
  <si>
    <t>0071692</t>
  </si>
  <si>
    <t>0071626</t>
  </si>
  <si>
    <t>0071641</t>
  </si>
  <si>
    <t>0071647</t>
  </si>
  <si>
    <t>0071658</t>
  </si>
  <si>
    <t>0071668</t>
  </si>
  <si>
    <t>0071679</t>
  </si>
  <si>
    <t>0071689</t>
  </si>
  <si>
    <t>N2400WP00</t>
  </si>
  <si>
    <t>0071702</t>
  </si>
  <si>
    <t>0071636</t>
  </si>
  <si>
    <t>0071646</t>
  </si>
  <si>
    <t>0071657</t>
  </si>
  <si>
    <t>0071667</t>
  </si>
  <si>
    <t>0071678</t>
  </si>
  <si>
    <t>0071688</t>
  </si>
  <si>
    <t>0071627</t>
  </si>
  <si>
    <t>0071638</t>
  </si>
  <si>
    <t>0071649</t>
  </si>
  <si>
    <t>0071671</t>
  </si>
  <si>
    <t>0071681</t>
  </si>
  <si>
    <t>0071695</t>
  </si>
  <si>
    <t>0071628</t>
  </si>
  <si>
    <t>0071642</t>
  </si>
  <si>
    <t>0071644</t>
  </si>
  <si>
    <t>0071645</t>
  </si>
  <si>
    <t>0071653</t>
  </si>
  <si>
    <t>0071655</t>
  </si>
  <si>
    <t>0071663</t>
  </si>
  <si>
    <t>0071670</t>
  </si>
  <si>
    <t>0071686</t>
  </si>
  <si>
    <t>0071693</t>
  </si>
  <si>
    <t>0071629</t>
  </si>
  <si>
    <t>0071690</t>
  </si>
  <si>
    <t>0071630</t>
  </si>
  <si>
    <t>0071665</t>
  </si>
  <si>
    <t>0071677</t>
  </si>
  <si>
    <t>0071687</t>
  </si>
  <si>
    <t>0071698</t>
  </si>
  <si>
    <t>0071631</t>
  </si>
  <si>
    <t>0071639</t>
  </si>
  <si>
    <t>0071652</t>
  </si>
  <si>
    <t>0071662</t>
  </si>
  <si>
    <t>0071675</t>
  </si>
  <si>
    <t>0071685</t>
  </si>
  <si>
    <t>0071697</t>
  </si>
  <si>
    <t>0071632</t>
  </si>
  <si>
    <t>0071654</t>
  </si>
  <si>
    <t>0071664</t>
  </si>
  <si>
    <t>0071676</t>
  </si>
  <si>
    <t>0071691</t>
  </si>
  <si>
    <t>0071700</t>
  </si>
  <si>
    <t>0071633</t>
  </si>
  <si>
    <t>0071640</t>
  </si>
  <si>
    <t>0071650</t>
  </si>
  <si>
    <t>0071660</t>
  </si>
  <si>
    <t>0071672</t>
  </si>
  <si>
    <t>0071682</t>
  </si>
  <si>
    <t>0071699</t>
  </si>
  <si>
    <t>0071708</t>
  </si>
  <si>
    <t>0071721</t>
  </si>
  <si>
    <t>0071741</t>
  </si>
  <si>
    <t>0071730</t>
  </si>
  <si>
    <t>0071740</t>
  </si>
  <si>
    <t>0071760</t>
  </si>
  <si>
    <t>0071739</t>
  </si>
  <si>
    <t>0071746</t>
  </si>
  <si>
    <t>0071759</t>
  </si>
  <si>
    <t>0071772</t>
  </si>
  <si>
    <t>0071749</t>
  </si>
  <si>
    <t>0071709</t>
  </si>
  <si>
    <t>0071722</t>
  </si>
  <si>
    <t>0071732</t>
  </si>
  <si>
    <t>0071753</t>
  </si>
  <si>
    <t>0071764</t>
  </si>
  <si>
    <t>0071774</t>
  </si>
  <si>
    <t>0071710</t>
  </si>
  <si>
    <t>0071720</t>
  </si>
  <si>
    <t>0071729</t>
  </si>
  <si>
    <t>0071748</t>
  </si>
  <si>
    <t>0071758</t>
  </si>
  <si>
    <t>0071711</t>
  </si>
  <si>
    <t>0071770</t>
  </si>
  <si>
    <t>0071779</t>
  </si>
  <si>
    <t>0071712</t>
  </si>
  <si>
    <t>0071724</t>
  </si>
  <si>
    <t>0071754</t>
  </si>
  <si>
    <t>0071731</t>
  </si>
  <si>
    <t>0071761</t>
  </si>
  <si>
    <t>N3201WP01</t>
  </si>
  <si>
    <t>0071742</t>
  </si>
  <si>
    <t>0071773</t>
  </si>
  <si>
    <t>0071714</t>
  </si>
  <si>
    <t>0071725</t>
  </si>
  <si>
    <t>0071736</t>
  </si>
  <si>
    <t>0071756</t>
  </si>
  <si>
    <t>0071776</t>
  </si>
  <si>
    <t>0071747</t>
  </si>
  <si>
    <t>0071767</t>
  </si>
  <si>
    <t>0071703</t>
  </si>
  <si>
    <t>0071715</t>
  </si>
  <si>
    <t>0071738</t>
  </si>
  <si>
    <t>0071768</t>
  </si>
  <si>
    <t>0071778</t>
  </si>
  <si>
    <t>0071752</t>
  </si>
  <si>
    <t>0071766</t>
  </si>
  <si>
    <t>0071775</t>
  </si>
  <si>
    <t>0071704</t>
  </si>
  <si>
    <t>0071716</t>
  </si>
  <si>
    <t>0071727</t>
  </si>
  <si>
    <t>0071737</t>
  </si>
  <si>
    <t>0071750</t>
  </si>
  <si>
    <t>0071762</t>
  </si>
  <si>
    <t>0071771</t>
  </si>
  <si>
    <t>0071705</t>
  </si>
  <si>
    <t>0071717</t>
  </si>
  <si>
    <t>0071706</t>
  </si>
  <si>
    <t>0071718</t>
  </si>
  <si>
    <t>0071726</t>
  </si>
  <si>
    <t>0071733</t>
  </si>
  <si>
    <t>0071743</t>
  </si>
  <si>
    <t>0071755</t>
  </si>
  <si>
    <t>0071765</t>
  </si>
  <si>
    <t>0071769</t>
  </si>
  <si>
    <t>บจก.เฮลซิงกิ</t>
  </si>
  <si>
    <t>0071777</t>
  </si>
  <si>
    <t>0071707</t>
  </si>
  <si>
    <t>0071719</t>
  </si>
  <si>
    <t>0071728</t>
  </si>
  <si>
    <t>0071734</t>
  </si>
  <si>
    <t>0071745</t>
  </si>
  <si>
    <t>0071757</t>
  </si>
  <si>
    <t>0071783</t>
  </si>
  <si>
    <t>0071791</t>
  </si>
  <si>
    <t>0071801</t>
  </si>
  <si>
    <t>0071812</t>
  </si>
  <si>
    <t>0071824</t>
  </si>
  <si>
    <t>0071781</t>
  </si>
  <si>
    <t>0071805</t>
  </si>
  <si>
    <t>0071815</t>
  </si>
  <si>
    <t>0071826</t>
  </si>
  <si>
    <t>N3200WP00</t>
  </si>
  <si>
    <t>0071784</t>
  </si>
  <si>
    <t>0071799</t>
  </si>
  <si>
    <t>0071809</t>
  </si>
  <si>
    <t>0071825</t>
  </si>
  <si>
    <t>0071785</t>
  </si>
  <si>
    <t>0071793</t>
  </si>
  <si>
    <t>0071803</t>
  </si>
  <si>
    <t>0071804</t>
  </si>
  <si>
    <t>0071806</t>
  </si>
  <si>
    <t>0071813</t>
  </si>
  <si>
    <t>0071820</t>
  </si>
  <si>
    <t>0071792</t>
  </si>
  <si>
    <t>0071802</t>
  </si>
  <si>
    <t>0071807</t>
  </si>
  <si>
    <t>0071816</t>
  </si>
  <si>
    <t>0071786</t>
  </si>
  <si>
    <t>0071795</t>
  </si>
  <si>
    <t>0071810</t>
  </si>
  <si>
    <t>0071819</t>
  </si>
  <si>
    <t>0071827</t>
  </si>
  <si>
    <t>0071787</t>
  </si>
  <si>
    <t>0071796</t>
  </si>
  <si>
    <t>0071814</t>
  </si>
  <si>
    <t>0071817</t>
  </si>
  <si>
    <t>0071818</t>
  </si>
  <si>
    <t>0071788</t>
  </si>
  <si>
    <t>0071797</t>
  </si>
  <si>
    <t>0071780</t>
  </si>
  <si>
    <t>0071794</t>
  </si>
  <si>
    <t>0071828</t>
  </si>
  <si>
    <t>0071782</t>
  </si>
  <si>
    <t>0071790</t>
  </si>
  <si>
    <t>0071800</t>
  </si>
  <si>
    <t>0071811</t>
  </si>
  <si>
    <t>0071832</t>
  </si>
  <si>
    <t>N3801NP04</t>
  </si>
  <si>
    <t>0071841</t>
  </si>
  <si>
    <t>0071849</t>
  </si>
  <si>
    <t>0071861</t>
  </si>
  <si>
    <t>0071870</t>
  </si>
  <si>
    <t>0071878</t>
  </si>
  <si>
    <t>0071889</t>
  </si>
  <si>
    <t>0071899</t>
  </si>
  <si>
    <t>0071907</t>
  </si>
  <si>
    <t>0071830</t>
  </si>
  <si>
    <t>0071839</t>
  </si>
  <si>
    <t>0071847</t>
  </si>
  <si>
    <t>0071856</t>
  </si>
  <si>
    <t>0071868</t>
  </si>
  <si>
    <t>0071877</t>
  </si>
  <si>
    <t>0071887</t>
  </si>
  <si>
    <t>0071905</t>
  </si>
  <si>
    <t>0071915</t>
  </si>
  <si>
    <t>0071833</t>
  </si>
  <si>
    <t>0071842</t>
  </si>
  <si>
    <t>0071843</t>
  </si>
  <si>
    <t>0071850</t>
  </si>
  <si>
    <t>0071859</t>
  </si>
  <si>
    <t>0071883</t>
  </si>
  <si>
    <t>0071893</t>
  </si>
  <si>
    <t>0071903</t>
  </si>
  <si>
    <t>0071912</t>
  </si>
  <si>
    <t>0071834</t>
  </si>
  <si>
    <t>0071851</t>
  </si>
  <si>
    <t>0071860</t>
  </si>
  <si>
    <t>0071872</t>
  </si>
  <si>
    <t>0071886</t>
  </si>
  <si>
    <t>0071896</t>
  </si>
  <si>
    <t>0071909</t>
  </si>
  <si>
    <t>0071829</t>
  </si>
  <si>
    <t>0071855</t>
  </si>
  <si>
    <t>0071866</t>
  </si>
  <si>
    <t>0071881</t>
  </si>
  <si>
    <t>0071892</t>
  </si>
  <si>
    <t>0071901</t>
  </si>
  <si>
    <t>0071910</t>
  </si>
  <si>
    <t>0071835</t>
  </si>
  <si>
    <t>0071844</t>
  </si>
  <si>
    <t>0071858</t>
  </si>
  <si>
    <t>0071869</t>
  </si>
  <si>
    <t>0071879</t>
  </si>
  <si>
    <t>0071890</t>
  </si>
  <si>
    <t>0071900</t>
  </si>
  <si>
    <t>0071908</t>
  </si>
  <si>
    <t>0071836</t>
  </si>
  <si>
    <t>0071845</t>
  </si>
  <si>
    <t>0071852</t>
  </si>
  <si>
    <t>0071865</t>
  </si>
  <si>
    <t>0071874</t>
  </si>
  <si>
    <t>0071894</t>
  </si>
  <si>
    <t>0071902</t>
  </si>
  <si>
    <t>0071911</t>
  </si>
  <si>
    <t>0071837</t>
  </si>
  <si>
    <t>0071846</t>
  </si>
  <si>
    <t>0071854</t>
  </si>
  <si>
    <t>0071864</t>
  </si>
  <si>
    <t>0071867</t>
  </si>
  <si>
    <t>0071875</t>
  </si>
  <si>
    <t>0071876</t>
  </si>
  <si>
    <t>0071884</t>
  </si>
  <si>
    <t>0071895</t>
  </si>
  <si>
    <t>0071904</t>
  </si>
  <si>
    <t>0071913</t>
  </si>
  <si>
    <t>0071863</t>
  </si>
  <si>
    <t>0071873</t>
  </si>
  <si>
    <t>0071831</t>
  </si>
  <si>
    <t>0071840</t>
  </si>
  <si>
    <t>0071848</t>
  </si>
  <si>
    <t>0071857</t>
  </si>
  <si>
    <t>0071880</t>
  </si>
  <si>
    <t>0071888</t>
  </si>
  <si>
    <t>0071898</t>
  </si>
  <si>
    <t>0071906</t>
  </si>
  <si>
    <t>0071914</t>
  </si>
  <si>
    <t>0071862</t>
  </si>
  <si>
    <t>บจก.เอสดีเอ็น</t>
  </si>
  <si>
    <t>FIN เฟส2</t>
  </si>
  <si>
    <t>0071891</t>
  </si>
  <si>
    <t>0071920</t>
  </si>
  <si>
    <t>0071934</t>
  </si>
  <si>
    <t>0071944</t>
  </si>
  <si>
    <t>0071957</t>
  </si>
  <si>
    <t>0071971</t>
  </si>
  <si>
    <t>0071983</t>
  </si>
  <si>
    <t>0071996</t>
  </si>
  <si>
    <t>0072008</t>
  </si>
  <si>
    <t>0072019</t>
  </si>
  <si>
    <t>0071921</t>
  </si>
  <si>
    <t>0071936</t>
  </si>
  <si>
    <t>0071953</t>
  </si>
  <si>
    <t>0071954</t>
  </si>
  <si>
    <t>0071965</t>
  </si>
  <si>
    <t>0071993</t>
  </si>
  <si>
    <t>0072006</t>
  </si>
  <si>
    <t>0072018</t>
  </si>
  <si>
    <t>0071923</t>
  </si>
  <si>
    <t>0071938</t>
  </si>
  <si>
    <t>0071947</t>
  </si>
  <si>
    <t>0071960</t>
  </si>
  <si>
    <t>0071977</t>
  </si>
  <si>
    <t>0071989</t>
  </si>
  <si>
    <t>0072003</t>
  </si>
  <si>
    <t>0072014</t>
  </si>
  <si>
    <t>0071925</t>
  </si>
  <si>
    <t>0071939</t>
  </si>
  <si>
    <t>0071948</t>
  </si>
  <si>
    <t>0071961</t>
  </si>
  <si>
    <t>0071973</t>
  </si>
  <si>
    <t>0071985</t>
  </si>
  <si>
    <t>0071998</t>
  </si>
  <si>
    <t>0072010</t>
  </si>
  <si>
    <t>0072021</t>
  </si>
  <si>
    <t>0071951</t>
  </si>
  <si>
    <t>0071962</t>
  </si>
  <si>
    <t>0071966</t>
  </si>
  <si>
    <t>0071974</t>
  </si>
  <si>
    <t>0071986</t>
  </si>
  <si>
    <t>0071999</t>
  </si>
  <si>
    <t>0071011</t>
  </si>
  <si>
    <t>0072022</t>
  </si>
  <si>
    <t>0071926</t>
  </si>
  <si>
    <t>0071933</t>
  </si>
  <si>
    <t>บจก.คอนสตรัคชั่น พีส</t>
  </si>
  <si>
    <t>0071978</t>
  </si>
  <si>
    <t>0071990</t>
  </si>
  <si>
    <t>0072005</t>
  </si>
  <si>
    <t>0072016</t>
  </si>
  <si>
    <t>0071927</t>
  </si>
  <si>
    <t>0071941</t>
  </si>
  <si>
    <t>0071949</t>
  </si>
  <si>
    <t>0071964</t>
  </si>
  <si>
    <t>0071968</t>
  </si>
  <si>
    <t>0071969</t>
  </si>
  <si>
    <t>0071976</t>
  </si>
  <si>
    <t>0071988</t>
  </si>
  <si>
    <t>0072002</t>
  </si>
  <si>
    <t>0072013</t>
  </si>
  <si>
    <t>0072024</t>
  </si>
  <si>
    <t>0071916</t>
  </si>
  <si>
    <t>0071928</t>
  </si>
  <si>
    <t>0071958</t>
  </si>
  <si>
    <t>0071942</t>
  </si>
  <si>
    <t>0071955</t>
  </si>
  <si>
    <t>0071980</t>
  </si>
  <si>
    <t>0071992</t>
  </si>
  <si>
    <t>0072007</t>
  </si>
  <si>
    <t>0072017</t>
  </si>
  <si>
    <t>0071917</t>
  </si>
  <si>
    <t>0071929</t>
  </si>
  <si>
    <t>0071935</t>
  </si>
  <si>
    <t>0071945</t>
  </si>
  <si>
    <t>0071975</t>
  </si>
  <si>
    <t>0071995</t>
  </si>
  <si>
    <t>0071970</t>
  </si>
  <si>
    <t>0071982</t>
  </si>
  <si>
    <t>0072004</t>
  </si>
  <si>
    <t>0072015</t>
  </si>
  <si>
    <t>0071918</t>
  </si>
  <si>
    <t>0071930</t>
  </si>
  <si>
    <t>0071952</t>
  </si>
  <si>
    <t>0071963</t>
  </si>
  <si>
    <t>0071987</t>
  </si>
  <si>
    <t>0072001</t>
  </si>
  <si>
    <t>0072012</t>
  </si>
  <si>
    <t>0072023</t>
  </si>
  <si>
    <t>0071919</t>
  </si>
  <si>
    <t>0071932</t>
  </si>
  <si>
    <t>0071943</t>
  </si>
  <si>
    <t>0071956</t>
  </si>
  <si>
    <t>0071981</t>
  </si>
  <si>
    <t>0071994</t>
  </si>
  <si>
    <t>0072009</t>
  </si>
  <si>
    <t>0072020</t>
  </si>
  <si>
    <t>0072034</t>
  </si>
  <si>
    <t>0072044</t>
  </si>
  <si>
    <t>0072054</t>
  </si>
  <si>
    <t>0072064</t>
  </si>
  <si>
    <t>0072065</t>
  </si>
  <si>
    <t>0072066</t>
  </si>
  <si>
    <t>0072068</t>
  </si>
  <si>
    <t>วันเพ็ญ ปัสสา</t>
  </si>
  <si>
    <t>0072025</t>
  </si>
  <si>
    <t>0072038</t>
  </si>
  <si>
    <t>ภูดิส งิมขุนทด</t>
  </si>
  <si>
    <t>0072047</t>
  </si>
  <si>
    <t>0072055</t>
  </si>
  <si>
    <t>Workshop</t>
  </si>
  <si>
    <t>0072063</t>
  </si>
  <si>
    <t>0072071</t>
  </si>
  <si>
    <t>0072026</t>
  </si>
  <si>
    <t>0072046</t>
  </si>
  <si>
    <t>0072058</t>
  </si>
  <si>
    <t>0072032</t>
  </si>
  <si>
    <t>0072037</t>
  </si>
  <si>
    <t>0072049</t>
  </si>
  <si>
    <t>บริษัท ธนกฤต</t>
  </si>
  <si>
    <t>0072060</t>
  </si>
  <si>
    <t>0072027</t>
  </si>
  <si>
    <t>0072041</t>
  </si>
  <si>
    <t>0072028</t>
  </si>
  <si>
    <t>0072042</t>
  </si>
  <si>
    <t>0072059</t>
  </si>
  <si>
    <t>หจก.ช.ธนทรัพย์</t>
  </si>
  <si>
    <t>0072029</t>
  </si>
  <si>
    <t>0072043</t>
  </si>
  <si>
    <t>0072053</t>
  </si>
  <si>
    <t>0072057</t>
  </si>
  <si>
    <t>0072061</t>
  </si>
  <si>
    <t>0072070</t>
  </si>
  <si>
    <t>0072030</t>
  </si>
  <si>
    <t>0072036</t>
  </si>
  <si>
    <t>0072045</t>
  </si>
  <si>
    <t>0072072</t>
  </si>
  <si>
    <t>0072031</t>
  </si>
  <si>
    <t>0072033</t>
  </si>
  <si>
    <t>0072039</t>
  </si>
  <si>
    <t>0072048</t>
  </si>
  <si>
    <t>0072056</t>
  </si>
  <si>
    <t>0072067</t>
  </si>
  <si>
    <t>0072073</t>
  </si>
  <si>
    <t>0072052</t>
  </si>
  <si>
    <t>0072062</t>
  </si>
  <si>
    <t>0072069</t>
  </si>
  <si>
    <t>0072080</t>
  </si>
  <si>
    <t>0072090</t>
  </si>
  <si>
    <t>0072102</t>
  </si>
  <si>
    <t>0072112</t>
  </si>
  <si>
    <t>0072122</t>
  </si>
  <si>
    <t>0072133</t>
  </si>
  <si>
    <t>0072081</t>
  </si>
  <si>
    <t>0072084</t>
  </si>
  <si>
    <t>0072088</t>
  </si>
  <si>
    <t>0072091</t>
  </si>
  <si>
    <t>ราชัน อยู่ดี</t>
  </si>
  <si>
    <t>0072100</t>
  </si>
  <si>
    <t>0072111</t>
  </si>
  <si>
    <t>0072121</t>
  </si>
  <si>
    <t>0072132</t>
  </si>
  <si>
    <t>0072078</t>
  </si>
  <si>
    <t>0072103</t>
  </si>
  <si>
    <t>0072108</t>
  </si>
  <si>
    <t>0072113</t>
  </si>
  <si>
    <t>0072123</t>
  </si>
  <si>
    <t>0072134</t>
  </si>
  <si>
    <t>0072082</t>
  </si>
  <si>
    <t>0072092</t>
  </si>
  <si>
    <t>0072101</t>
  </si>
  <si>
    <t>0072126</t>
  </si>
  <si>
    <t>0072137</t>
  </si>
  <si>
    <t>0072074</t>
  </si>
  <si>
    <t>บจก.กันไท</t>
  </si>
  <si>
    <t>0072097</t>
  </si>
  <si>
    <t>0072118</t>
  </si>
  <si>
    <t>N2800WP00</t>
  </si>
  <si>
    <t>0072127</t>
  </si>
  <si>
    <t>0072138</t>
  </si>
  <si>
    <t>0072075</t>
  </si>
  <si>
    <t>0072098</t>
  </si>
  <si>
    <t>0072109</t>
  </si>
  <si>
    <t>0072119</t>
  </si>
  <si>
    <t>0072130</t>
  </si>
  <si>
    <t>0072076</t>
  </si>
  <si>
    <t>0072087</t>
  </si>
  <si>
    <t>0072096</t>
  </si>
  <si>
    <t>0072107</t>
  </si>
  <si>
    <t>0072116</t>
  </si>
  <si>
    <t>0072128</t>
  </si>
  <si>
    <t>0072077</t>
  </si>
  <si>
    <t>0072086</t>
  </si>
  <si>
    <t>0072094</t>
  </si>
  <si>
    <t>0072104</t>
  </si>
  <si>
    <t>0072114</t>
  </si>
  <si>
    <t>0072124</t>
  </si>
  <si>
    <t>0072135</t>
  </si>
  <si>
    <t>0072079</t>
  </si>
  <si>
    <t>0072089</t>
  </si>
  <si>
    <t>0072106</t>
  </si>
  <si>
    <t>0072115</t>
  </si>
  <si>
    <t>0072125</t>
  </si>
  <si>
    <t>0072136</t>
  </si>
  <si>
    <t>0072099</t>
  </si>
  <si>
    <t>0072110</t>
  </si>
  <si>
    <t>0072120</t>
  </si>
  <si>
    <t>0072131</t>
  </si>
  <si>
    <t>0072144</t>
  </si>
  <si>
    <t>0072156</t>
  </si>
  <si>
    <t>0072170</t>
  </si>
  <si>
    <t>0072185</t>
  </si>
  <si>
    <t>0072197</t>
  </si>
  <si>
    <t>0072206</t>
  </si>
  <si>
    <t>0072216</t>
  </si>
  <si>
    <t>0072225</t>
  </si>
  <si>
    <t>0072145</t>
  </si>
  <si>
    <t>0072157</t>
  </si>
  <si>
    <t>0072169</t>
  </si>
  <si>
    <t>0072194</t>
  </si>
  <si>
    <t>0072195</t>
  </si>
  <si>
    <t>0072196</t>
  </si>
  <si>
    <t>0072199</t>
  </si>
  <si>
    <t>0072205</t>
  </si>
  <si>
    <t>0072207</t>
  </si>
  <si>
    <t>0072214</t>
  </si>
  <si>
    <t>0072224</t>
  </si>
  <si>
    <t>0072146</t>
  </si>
  <si>
    <t>0072158</t>
  </si>
  <si>
    <t>0072171</t>
  </si>
  <si>
    <t>0072181</t>
  </si>
  <si>
    <t>0072217</t>
  </si>
  <si>
    <t>0072227</t>
  </si>
  <si>
    <t>0072147</t>
  </si>
  <si>
    <t>0072159</t>
  </si>
  <si>
    <t>0072173</t>
  </si>
  <si>
    <t>0072183</t>
  </si>
  <si>
    <t>0072204</t>
  </si>
  <si>
    <t>0072213</t>
  </si>
  <si>
    <t>0072223</t>
  </si>
  <si>
    <t>0072142</t>
  </si>
  <si>
    <t>0072160</t>
  </si>
  <si>
    <t>0072174</t>
  </si>
  <si>
    <t>0072186</t>
  </si>
  <si>
    <t>0072215</t>
  </si>
  <si>
    <t>0072226</t>
  </si>
  <si>
    <t>0072148</t>
  </si>
  <si>
    <t>0072164</t>
  </si>
  <si>
    <t>0072177</t>
  </si>
  <si>
    <t>0072190</t>
  </si>
  <si>
    <t>0072203</t>
  </si>
  <si>
    <t>0072212</t>
  </si>
  <si>
    <t>0072222</t>
  </si>
  <si>
    <t>0072139</t>
  </si>
  <si>
    <t>0072152</t>
  </si>
  <si>
    <t>0072168</t>
  </si>
  <si>
    <t>0072180</t>
  </si>
  <si>
    <t>0072192</t>
  </si>
  <si>
    <t>0072200</t>
  </si>
  <si>
    <t>0072209</t>
  </si>
  <si>
    <t>0072220</t>
  </si>
  <si>
    <t>0072140</t>
  </si>
  <si>
    <t>0072153</t>
  </si>
  <si>
    <t>0072163</t>
  </si>
  <si>
    <t>0072165</t>
  </si>
  <si>
    <t>0072167</t>
  </si>
  <si>
    <t>0072172</t>
  </si>
  <si>
    <t>0072182</t>
  </si>
  <si>
    <t>0072198</t>
  </si>
  <si>
    <t>0072208</t>
  </si>
  <si>
    <t>0072218</t>
  </si>
  <si>
    <t>0072228</t>
  </si>
  <si>
    <t>0072141</t>
  </si>
  <si>
    <t>0072154</t>
  </si>
  <si>
    <t>0072178</t>
  </si>
  <si>
    <t>0072187</t>
  </si>
  <si>
    <t>0072210</t>
  </si>
  <si>
    <t>0072219</t>
  </si>
  <si>
    <t>0072229</t>
  </si>
  <si>
    <t>0072143</t>
  </si>
  <si>
    <t>0072155</t>
  </si>
  <si>
    <t>0072176</t>
  </si>
  <si>
    <t>0072193</t>
  </si>
  <si>
    <t>0072202</t>
  </si>
  <si>
    <t>0072211</t>
  </si>
  <si>
    <t>0072221</t>
  </si>
  <si>
    <t>0072149</t>
  </si>
  <si>
    <t>0072161</t>
  </si>
  <si>
    <t>0072235</t>
  </si>
  <si>
    <t>0072245</t>
  </si>
  <si>
    <t>0072257</t>
  </si>
  <si>
    <t>0072271</t>
  </si>
  <si>
    <t>0072284</t>
  </si>
  <si>
    <t>0072297</t>
  </si>
  <si>
    <t>0072236</t>
  </si>
  <si>
    <t>0072252</t>
  </si>
  <si>
    <t>0072264</t>
  </si>
  <si>
    <t>0072276</t>
  </si>
  <si>
    <t>0072291</t>
  </si>
  <si>
    <t>0072300</t>
  </si>
  <si>
    <t>0072237</t>
  </si>
  <si>
    <t>0072248</t>
  </si>
  <si>
    <t>0072262</t>
  </si>
  <si>
    <t>0072275</t>
  </si>
  <si>
    <t>0072302</t>
  </si>
  <si>
    <t>0072238</t>
  </si>
  <si>
    <t>0072255</t>
  </si>
  <si>
    <t>0072267</t>
  </si>
  <si>
    <t>0072280</t>
  </si>
  <si>
    <t>0072233</t>
  </si>
  <si>
    <t>0072258</t>
  </si>
  <si>
    <t>0072268</t>
  </si>
  <si>
    <t>0072277</t>
  </si>
  <si>
    <t>0072290</t>
  </si>
  <si>
    <t>0072296</t>
  </si>
  <si>
    <t>0072239</t>
  </si>
  <si>
    <t>0072249</t>
  </si>
  <si>
    <t>0072260</t>
  </si>
  <si>
    <t>0072272</t>
  </si>
  <si>
    <t>0072294</t>
  </si>
  <si>
    <t>0072240</t>
  </si>
  <si>
    <t>0072263</t>
  </si>
  <si>
    <t>0072283</t>
  </si>
  <si>
    <t>0072293</t>
  </si>
  <si>
    <t>0072230</t>
  </si>
  <si>
    <t>0072243</t>
  </si>
  <si>
    <t>0072251</t>
  </si>
  <si>
    <t>0072273</t>
  </si>
  <si>
    <t>0072287</t>
  </si>
  <si>
    <t>0072299</t>
  </si>
  <si>
    <t>0072231</t>
  </si>
  <si>
    <t>0072244</t>
  </si>
  <si>
    <t>0072253</t>
  </si>
  <si>
    <t>0072256</t>
  </si>
  <si>
    <t>0072266</t>
  </si>
  <si>
    <t>0072278</t>
  </si>
  <si>
    <t>0072232</t>
  </si>
  <si>
    <t>0072246</t>
  </si>
  <si>
    <t>0072265</t>
  </si>
  <si>
    <t>0072279</t>
  </si>
  <si>
    <t>0072289</t>
  </si>
  <si>
    <t>0072301</t>
  </si>
  <si>
    <t>0072234</t>
  </si>
  <si>
    <t>0072247</t>
  </si>
  <si>
    <t>0072259</t>
  </si>
  <si>
    <t>0072270</t>
  </si>
  <si>
    <t>0072281</t>
  </si>
  <si>
    <t>0072295</t>
  </si>
  <si>
    <t>0072308</t>
  </si>
  <si>
    <t>0072324</t>
  </si>
  <si>
    <t>0072340</t>
  </si>
  <si>
    <t>0072349</t>
  </si>
  <si>
    <t>0072309</t>
  </si>
  <si>
    <t>0072318</t>
  </si>
  <si>
    <t>0072335</t>
  </si>
  <si>
    <t>0072344</t>
  </si>
  <si>
    <t>0072352</t>
  </si>
  <si>
    <t>0072311</t>
  </si>
  <si>
    <t>0072320</t>
  </si>
  <si>
    <t>0072329</t>
  </si>
  <si>
    <t>0072343</t>
  </si>
  <si>
    <t>0072350</t>
  </si>
  <si>
    <t>0072306</t>
  </si>
  <si>
    <t>รพ.เมดิคอล</t>
  </si>
  <si>
    <t>N2100NP00</t>
  </si>
  <si>
    <t>0072317</t>
  </si>
  <si>
    <t>บจก.ไอแอลเอ็มเอช</t>
  </si>
  <si>
    <t>0072328</t>
  </si>
  <si>
    <t>0072337</t>
  </si>
  <si>
    <t>0072351</t>
  </si>
  <si>
    <t>0072312</t>
  </si>
  <si>
    <t>0072322</t>
  </si>
  <si>
    <t>0072332</t>
  </si>
  <si>
    <t>0072342</t>
  </si>
  <si>
    <t>0072321</t>
  </si>
  <si>
    <t>0072330</t>
  </si>
  <si>
    <t>0072339</t>
  </si>
  <si>
    <t>0072347</t>
  </si>
  <si>
    <t>0072357</t>
  </si>
  <si>
    <t>0072303</t>
  </si>
  <si>
    <t>0072315</t>
  </si>
  <si>
    <t>0072325</t>
  </si>
  <si>
    <t>0072334</t>
  </si>
  <si>
    <t>0072338</t>
  </si>
  <si>
    <t>0072348</t>
  </si>
  <si>
    <t>0072358</t>
  </si>
  <si>
    <t>0072304</t>
  </si>
  <si>
    <t>0072316</t>
  </si>
  <si>
    <t>0072305</t>
  </si>
  <si>
    <t>0072326</t>
  </si>
  <si>
    <t>0072331</t>
  </si>
  <si>
    <t>0072341</t>
  </si>
  <si>
    <t>0072353</t>
  </si>
  <si>
    <t>0072314</t>
  </si>
  <si>
    <t>0072323</t>
  </si>
  <si>
    <t>0072333</t>
  </si>
  <si>
    <t>0072345</t>
  </si>
  <si>
    <t>0072355</t>
  </si>
  <si>
    <t>0072307</t>
  </si>
  <si>
    <t>0072319</t>
  </si>
  <si>
    <t>0072327</t>
  </si>
  <si>
    <t>0072346</t>
  </si>
  <si>
    <t>0072356</t>
  </si>
  <si>
    <t>0072313</t>
  </si>
  <si>
    <t>0072362</t>
  </si>
  <si>
    <t>0072376</t>
  </si>
  <si>
    <t>0072387</t>
  </si>
  <si>
    <t>0072399</t>
  </si>
  <si>
    <t>0072409</t>
  </si>
  <si>
    <t>0072417</t>
  </si>
  <si>
    <t>บจก.จงยี่</t>
  </si>
  <si>
    <t>0072363</t>
  </si>
  <si>
    <t>0072378</t>
  </si>
  <si>
    <t>0072389</t>
  </si>
  <si>
    <t>0072413</t>
  </si>
  <si>
    <t>0072364</t>
  </si>
  <si>
    <t>0072380</t>
  </si>
  <si>
    <t>0072398</t>
  </si>
  <si>
    <t>0072408</t>
  </si>
  <si>
    <t>0072418</t>
  </si>
  <si>
    <t>ศุภชัย รอดทุกข์</t>
  </si>
  <si>
    <t>0072365</t>
  </si>
  <si>
    <t>0072373</t>
  </si>
  <si>
    <t>0072383</t>
  </si>
  <si>
    <t>0072394</t>
  </si>
  <si>
    <t>0072395</t>
  </si>
  <si>
    <t>0072396</t>
  </si>
  <si>
    <t>0072397</t>
  </si>
  <si>
    <t>0072404</t>
  </si>
  <si>
    <t>0072414</t>
  </si>
  <si>
    <t>0072366</t>
  </si>
  <si>
    <t>0072375</t>
  </si>
  <si>
    <t>0072392</t>
  </si>
  <si>
    <t>0072401</t>
  </si>
  <si>
    <t>0072412</t>
  </si>
  <si>
    <t>0072367</t>
  </si>
  <si>
    <t>0072377</t>
  </si>
  <si>
    <t>0072386</t>
  </si>
  <si>
    <t>0072406</t>
  </si>
  <si>
    <t>0072416</t>
  </si>
  <si>
    <t>0072368</t>
  </si>
  <si>
    <t>0072381</t>
  </si>
  <si>
    <t>0072390</t>
  </si>
  <si>
    <t>0072400</t>
  </si>
  <si>
    <t>0072410</t>
  </si>
  <si>
    <t>0072359</t>
  </si>
  <si>
    <t>0072374</t>
  </si>
  <si>
    <t>0072384</t>
  </si>
  <si>
    <t>0072393</t>
  </si>
  <si>
    <t>0072403</t>
  </si>
  <si>
    <t>0072360</t>
  </si>
  <si>
    <t>0072371</t>
  </si>
  <si>
    <t>0072388</t>
  </si>
  <si>
    <t>0072407</t>
  </si>
  <si>
    <t>0072361</t>
  </si>
  <si>
    <t>0072372</t>
  </si>
  <si>
    <t>0072382</t>
  </si>
  <si>
    <t>0072405</t>
  </si>
  <si>
    <t>0072415</t>
  </si>
  <si>
    <t>0072370</t>
  </si>
  <si>
    <t>0072385</t>
  </si>
  <si>
    <t>0072434</t>
  </si>
  <si>
    <t>0072457</t>
  </si>
  <si>
    <t>0072465</t>
  </si>
  <si>
    <t>0072478</t>
  </si>
  <si>
    <t>0072423</t>
  </si>
  <si>
    <t>0072430</t>
  </si>
  <si>
    <t>0072444</t>
  </si>
  <si>
    <t>0072472</t>
  </si>
  <si>
    <t>0072424</t>
  </si>
  <si>
    <t>0072432</t>
  </si>
  <si>
    <t>0072448</t>
  </si>
  <si>
    <t>0072468</t>
  </si>
  <si>
    <t>0072479</t>
  </si>
  <si>
    <t>0072431</t>
  </si>
  <si>
    <t>0072433</t>
  </si>
  <si>
    <t>0072435</t>
  </si>
  <si>
    <t>0072436</t>
  </si>
  <si>
    <t>0072437</t>
  </si>
  <si>
    <t>0072438</t>
  </si>
  <si>
    <t>0072446</t>
  </si>
  <si>
    <t>0072458</t>
  </si>
  <si>
    <t>0072467</t>
  </si>
  <si>
    <t>0072476</t>
  </si>
  <si>
    <t>0072456</t>
  </si>
  <si>
    <t>0072469</t>
  </si>
  <si>
    <t>0072480</t>
  </si>
  <si>
    <t>0072425</t>
  </si>
  <si>
    <t>0072445</t>
  </si>
  <si>
    <t>0072452</t>
  </si>
  <si>
    <t>0072464</t>
  </si>
  <si>
    <t>0072475</t>
  </si>
  <si>
    <t>0072427</t>
  </si>
  <si>
    <t>0072447</t>
  </si>
  <si>
    <t>0072455</t>
  </si>
  <si>
    <t>0072466</t>
  </si>
  <si>
    <t>0072477</t>
  </si>
  <si>
    <t>0072419</t>
  </si>
  <si>
    <t>0072429</t>
  </si>
  <si>
    <t>0072449</t>
  </si>
  <si>
    <t>0072459</t>
  </si>
  <si>
    <t>0072428</t>
  </si>
  <si>
    <t>0072451</t>
  </si>
  <si>
    <t>0072462</t>
  </si>
  <si>
    <t>0072471</t>
  </si>
  <si>
    <t>0072420</t>
  </si>
  <si>
    <t>0072443</t>
  </si>
  <si>
    <t>0072474</t>
  </si>
  <si>
    <t>0072421</t>
  </si>
  <si>
    <t>0072422</t>
  </si>
  <si>
    <t>0072440</t>
  </si>
  <si>
    <t>0072450</t>
  </si>
  <si>
    <t>0072463</t>
  </si>
  <si>
    <t>0072473</t>
  </si>
  <si>
    <t>0072441</t>
  </si>
  <si>
    <t>0072460</t>
  </si>
  <si>
    <t>0072470</t>
  </si>
  <si>
    <t>0072492</t>
  </si>
  <si>
    <t>0072503</t>
  </si>
  <si>
    <t>0072515</t>
  </si>
  <si>
    <t>0072485</t>
  </si>
  <si>
    <t>0072497</t>
  </si>
  <si>
    <t>0072506</t>
  </si>
  <si>
    <t>0072517</t>
  </si>
  <si>
    <t>0072486</t>
  </si>
  <si>
    <t>0072498</t>
  </si>
  <si>
    <t>0072511</t>
  </si>
  <si>
    <t>0072522</t>
  </si>
  <si>
    <t>0072487</t>
  </si>
  <si>
    <t>0072499</t>
  </si>
  <si>
    <t>0072510</t>
  </si>
  <si>
    <t>0072520</t>
  </si>
  <si>
    <t>0072488</t>
  </si>
  <si>
    <t>0072500</t>
  </si>
  <si>
    <t>0072513</t>
  </si>
  <si>
    <t>0072514</t>
  </si>
  <si>
    <t>0072516</t>
  </si>
  <si>
    <t>0072518</t>
  </si>
  <si>
    <t>0072525</t>
  </si>
  <si>
    <t>0072489</t>
  </si>
  <si>
    <t>0072501</t>
  </si>
  <si>
    <t>0072512</t>
  </si>
  <si>
    <t>0072524</t>
  </si>
  <si>
    <t>0072526</t>
  </si>
  <si>
    <t>0072490</t>
  </si>
  <si>
    <t>0072502</t>
  </si>
  <si>
    <t>0072481</t>
  </si>
  <si>
    <t>0072482</t>
  </si>
  <si>
    <t>0072483</t>
  </si>
  <si>
    <t>0072484</t>
  </si>
  <si>
    <t>0072493</t>
  </si>
  <si>
    <t>0072504</t>
  </si>
  <si>
    <t>0072494</t>
  </si>
  <si>
    <t>0072505</t>
  </si>
  <si>
    <t>0072521</t>
  </si>
  <si>
    <t>0072495</t>
  </si>
  <si>
    <t>0072508</t>
  </si>
  <si>
    <t>0072496</t>
  </si>
  <si>
    <t>0072509</t>
  </si>
  <si>
    <t>0072519</t>
  </si>
  <si>
    <t>0072527</t>
  </si>
  <si>
    <t>0072528</t>
  </si>
  <si>
    <t>0072537</t>
  </si>
  <si>
    <t>0072538</t>
  </si>
  <si>
    <t>0072529</t>
  </si>
  <si>
    <t>0072539</t>
  </si>
  <si>
    <t>0072530</t>
  </si>
  <si>
    <t>0072531</t>
  </si>
  <si>
    <t>0072533</t>
  </si>
  <si>
    <t>0072534</t>
  </si>
  <si>
    <t>0072535</t>
  </si>
  <si>
    <t>0072536</t>
  </si>
  <si>
    <t>0072540</t>
  </si>
  <si>
    <t>0072532</t>
  </si>
  <si>
    <t>N3201WP00</t>
  </si>
  <si>
    <t>0072541</t>
  </si>
  <si>
    <t>0072549</t>
  </si>
  <si>
    <t>0072561</t>
  </si>
  <si>
    <t>0072573</t>
  </si>
  <si>
    <t>0072579</t>
  </si>
  <si>
    <t>0072583</t>
  </si>
  <si>
    <t>0072591</t>
  </si>
  <si>
    <t>0072595</t>
  </si>
  <si>
    <t>0072600</t>
  </si>
  <si>
    <t>0072606</t>
  </si>
  <si>
    <t>0072550</t>
  </si>
  <si>
    <t>0072562</t>
  </si>
  <si>
    <t>0072571</t>
  </si>
  <si>
    <t>0072588</t>
  </si>
  <si>
    <t>0072599</t>
  </si>
  <si>
    <t>0072604</t>
  </si>
  <si>
    <t>0072612</t>
  </si>
  <si>
    <t>0072551</t>
  </si>
  <si>
    <t>0072559</t>
  </si>
  <si>
    <t>0072572</t>
  </si>
  <si>
    <t>0072581</t>
  </si>
  <si>
    <t>0072589</t>
  </si>
  <si>
    <t>0072596</t>
  </si>
  <si>
    <t>0072609</t>
  </si>
  <si>
    <t>0072542</t>
  </si>
  <si>
    <t>0072556</t>
  </si>
  <si>
    <t>0072568</t>
  </si>
  <si>
    <t>0072577</t>
  </si>
  <si>
    <t>0072586</t>
  </si>
  <si>
    <t>0072592</t>
  </si>
  <si>
    <t>0072598</t>
  </si>
  <si>
    <t>0072607</t>
  </si>
  <si>
    <t>0072615</t>
  </si>
  <si>
    <t>0072543</t>
  </si>
  <si>
    <t>0072552</t>
  </si>
  <si>
    <t>0072564</t>
  </si>
  <si>
    <t>0072574</t>
  </si>
  <si>
    <t>0072590</t>
  </si>
  <si>
    <t>0072594</t>
  </si>
  <si>
    <t>0072601</t>
  </si>
  <si>
    <t>0072610</t>
  </si>
  <si>
    <t>0072544</t>
  </si>
  <si>
    <t>0072560</t>
  </si>
  <si>
    <t>0072569</t>
  </si>
  <si>
    <t>0072582</t>
  </si>
  <si>
    <t>0072605</t>
  </si>
  <si>
    <t>0072608</t>
  </si>
  <si>
    <t>0072611</t>
  </si>
  <si>
    <t>0072545</t>
  </si>
  <si>
    <t>0072554</t>
  </si>
  <si>
    <t>0072566</t>
  </si>
  <si>
    <t>0072575</t>
  </si>
  <si>
    <t>0072584</t>
  </si>
  <si>
    <t>0072546</t>
  </si>
  <si>
    <t>0072555</t>
  </si>
  <si>
    <t>0072565</t>
  </si>
  <si>
    <t>0072576</t>
  </si>
  <si>
    <t>0072585</t>
  </si>
  <si>
    <t>0072613</t>
  </si>
  <si>
    <t>0072547</t>
  </si>
  <si>
    <t>0072557</t>
  </si>
  <si>
    <t>0072567</t>
  </si>
  <si>
    <t>0072580</t>
  </si>
  <si>
    <t>0072614</t>
  </si>
  <si>
    <t>0072548</t>
  </si>
  <si>
    <t>0072558</t>
  </si>
  <si>
    <t>0072570</t>
  </si>
  <si>
    <t>0072578</t>
  </si>
  <si>
    <t>0072587</t>
  </si>
  <si>
    <t>0072593</t>
  </si>
  <si>
    <t>0072553</t>
  </si>
  <si>
    <t>0072563</t>
  </si>
  <si>
    <t>0072597</t>
  </si>
  <si>
    <t>0072603</t>
  </si>
  <si>
    <t>0072626</t>
  </si>
  <si>
    <t>อนันต์ คงเจริญ</t>
  </si>
  <si>
    <t>0072634</t>
  </si>
  <si>
    <t>0072646</t>
  </si>
  <si>
    <t>0072658</t>
  </si>
  <si>
    <t>0072671</t>
  </si>
  <si>
    <t>0072685</t>
  </si>
  <si>
    <t>0072697</t>
  </si>
  <si>
    <t>0072708</t>
  </si>
  <si>
    <t>0072627</t>
  </si>
  <si>
    <t>0072644</t>
  </si>
  <si>
    <t>0072656</t>
  </si>
  <si>
    <t>0072669</t>
  </si>
  <si>
    <t>0072681</t>
  </si>
  <si>
    <t>0072694</t>
  </si>
  <si>
    <t>0072705</t>
  </si>
  <si>
    <t>0072628</t>
  </si>
  <si>
    <t>0072640</t>
  </si>
  <si>
    <t>0072653</t>
  </si>
  <si>
    <t>0072666</t>
  </si>
  <si>
    <t>0072688</t>
  </si>
  <si>
    <t>0072700</t>
  </si>
  <si>
    <t>0072616</t>
  </si>
  <si>
    <t>0072686</t>
  </si>
  <si>
    <t>0072631</t>
  </si>
  <si>
    <t>0072649</t>
  </si>
  <si>
    <t>0072661</t>
  </si>
  <si>
    <t>0072674</t>
  </si>
  <si>
    <t>0072699</t>
  </si>
  <si>
    <t>0072617</t>
  </si>
  <si>
    <t>0072657</t>
  </si>
  <si>
    <t>บริษัท ฮงฮุย</t>
  </si>
  <si>
    <t>0072629</t>
  </si>
  <si>
    <t>0072642</t>
  </si>
  <si>
    <t>0072662</t>
  </si>
  <si>
    <t>0072675</t>
  </si>
  <si>
    <t>0072687</t>
  </si>
  <si>
    <t>0072701</t>
  </si>
  <si>
    <t>0072618</t>
  </si>
  <si>
    <t>0072630</t>
  </si>
  <si>
    <t>0072645</t>
  </si>
  <si>
    <t>0072670</t>
  </si>
  <si>
    <t>0072682</t>
  </si>
  <si>
    <t>0072706</t>
  </si>
  <si>
    <t>0072619</t>
  </si>
  <si>
    <t>0072639</t>
  </si>
  <si>
    <t>0072659</t>
  </si>
  <si>
    <t>0072679</t>
  </si>
  <si>
    <t>0072643</t>
  </si>
  <si>
    <t>0072655</t>
  </si>
  <si>
    <t>0072668</t>
  </si>
  <si>
    <t>0072680</t>
  </si>
  <si>
    <t>0072698</t>
  </si>
  <si>
    <t>0072709</t>
  </si>
  <si>
    <t>0072620</t>
  </si>
  <si>
    <t>0072632</t>
  </si>
  <si>
    <t>0072652</t>
  </si>
  <si>
    <t>0072665</t>
  </si>
  <si>
    <t>0072678</t>
  </si>
  <si>
    <t>0072691</t>
  </si>
  <si>
    <t>0072702</t>
  </si>
  <si>
    <t>0072621</t>
  </si>
  <si>
    <t>0072624</t>
  </si>
  <si>
    <t>0072633</t>
  </si>
  <si>
    <t>0072641</t>
  </si>
  <si>
    <t>0072654</t>
  </si>
  <si>
    <t>0072667</t>
  </si>
  <si>
    <t>0072692</t>
  </si>
  <si>
    <t>0072703</t>
  </si>
  <si>
    <t>0072622</t>
  </si>
  <si>
    <t>0072635</t>
  </si>
  <si>
    <t>0072647</t>
  </si>
  <si>
    <t>0072673</t>
  </si>
  <si>
    <t>0072684</t>
  </si>
  <si>
    <t>0072695</t>
  </si>
  <si>
    <t>0072707</t>
  </si>
  <si>
    <t>0072636</t>
  </si>
  <si>
    <t>0072648</t>
  </si>
  <si>
    <t>0072660</t>
  </si>
  <si>
    <t>0072672</t>
  </si>
  <si>
    <t>0072683</t>
  </si>
  <si>
    <t>0072693</t>
  </si>
  <si>
    <t>0072704</t>
  </si>
  <si>
    <t>0072719</t>
  </si>
  <si>
    <t>0072731</t>
  </si>
  <si>
    <t>0072740</t>
  </si>
  <si>
    <t>0072752</t>
  </si>
  <si>
    <t>0072720</t>
  </si>
  <si>
    <t>0072737</t>
  </si>
  <si>
    <t>0072747</t>
  </si>
  <si>
    <t>0072760</t>
  </si>
  <si>
    <t>0072721</t>
  </si>
  <si>
    <t>0072732</t>
  </si>
  <si>
    <t>0072741</t>
  </si>
  <si>
    <t>0072753</t>
  </si>
  <si>
    <t>0072710</t>
  </si>
  <si>
    <t>0072730</t>
  </si>
  <si>
    <t>0072723</t>
  </si>
  <si>
    <t>0072734</t>
  </si>
  <si>
    <t>0072744</t>
  </si>
  <si>
    <t>0072754</t>
  </si>
  <si>
    <t>0072743</t>
  </si>
  <si>
    <t>0072711</t>
  </si>
  <si>
    <t>0072722</t>
  </si>
  <si>
    <t>0072733</t>
  </si>
  <si>
    <t>0072755</t>
  </si>
  <si>
    <t>0072756</t>
  </si>
  <si>
    <t>0072712</t>
  </si>
  <si>
    <t>0072742</t>
  </si>
  <si>
    <t>0072713</t>
  </si>
  <si>
    <t>0072724</t>
  </si>
  <si>
    <t>0072739</t>
  </si>
  <si>
    <t>0072749</t>
  </si>
  <si>
    <t>0072714</t>
  </si>
  <si>
    <t>0072726</t>
  </si>
  <si>
    <t>0072736</t>
  </si>
  <si>
    <t>0072746</t>
  </si>
  <si>
    <t>0072745</t>
  </si>
  <si>
    <t>0072757</t>
  </si>
  <si>
    <t>0072715</t>
  </si>
  <si>
    <t>0072725</t>
  </si>
  <si>
    <t>0072735</t>
  </si>
  <si>
    <t>0072758</t>
  </si>
  <si>
    <t>0072716</t>
  </si>
  <si>
    <t>0072728</t>
  </si>
  <si>
    <t>0072738</t>
  </si>
  <si>
    <t>0072748</t>
  </si>
  <si>
    <t>0072761</t>
  </si>
  <si>
    <t xml:space="preserve">บจก.พีทีที </t>
  </si>
  <si>
    <t>0072718</t>
  </si>
  <si>
    <t>0072727</t>
  </si>
  <si>
    <t>0072767</t>
  </si>
  <si>
    <t>บจก.13 เครน</t>
  </si>
  <si>
    <t>0072788</t>
  </si>
  <si>
    <t>0072803</t>
  </si>
  <si>
    <t>0072805</t>
  </si>
  <si>
    <t>0072806</t>
  </si>
  <si>
    <t>0072807</t>
  </si>
  <si>
    <t>0072808</t>
  </si>
  <si>
    <t>0072809</t>
  </si>
  <si>
    <t>0072814</t>
  </si>
  <si>
    <t>0072815</t>
  </si>
  <si>
    <t>0072816</t>
  </si>
  <si>
    <t>0072818</t>
  </si>
  <si>
    <t>0072819</t>
  </si>
  <si>
    <t>0072827</t>
  </si>
  <si>
    <t>0072840</t>
  </si>
  <si>
    <t>0072768</t>
  </si>
  <si>
    <t>0072781</t>
  </si>
  <si>
    <t>0072793</t>
  </si>
  <si>
    <t>0072794</t>
  </si>
  <si>
    <t>0072795</t>
  </si>
  <si>
    <t>0072797</t>
  </si>
  <si>
    <t>0072798</t>
  </si>
  <si>
    <t>0072799</t>
  </si>
  <si>
    <t>0072836</t>
  </si>
  <si>
    <t>0072845</t>
  </si>
  <si>
    <t>0072769</t>
  </si>
  <si>
    <t>0072828</t>
  </si>
  <si>
    <t>0072838</t>
  </si>
  <si>
    <t>0072770</t>
  </si>
  <si>
    <t>0072782</t>
  </si>
  <si>
    <t>0072832</t>
  </si>
  <si>
    <t>0072842</t>
  </si>
  <si>
    <t>0072771</t>
  </si>
  <si>
    <t>0072773</t>
  </si>
  <si>
    <t>0072775</t>
  </si>
  <si>
    <t>0072785</t>
  </si>
  <si>
    <t>0072812</t>
  </si>
  <si>
    <t>0072821</t>
  </si>
  <si>
    <t>0072844</t>
  </si>
  <si>
    <t>0072784</t>
  </si>
  <si>
    <t>0072831</t>
  </si>
  <si>
    <t>0072762</t>
  </si>
  <si>
    <t>บริษัท หงเซิง</t>
  </si>
  <si>
    <t>0072787</t>
  </si>
  <si>
    <t>0072824</t>
  </si>
  <si>
    <t>0072847</t>
  </si>
  <si>
    <t>0072763</t>
  </si>
  <si>
    <t>0072778</t>
  </si>
  <si>
    <t>0072789</t>
  </si>
  <si>
    <t>0072825</t>
  </si>
  <si>
    <t>0072837</t>
  </si>
  <si>
    <t>0072846</t>
  </si>
  <si>
    <t>0072764</t>
  </si>
  <si>
    <t>0072777</t>
  </si>
  <si>
    <t>0072796</t>
  </si>
  <si>
    <t>0072804</t>
  </si>
  <si>
    <t>0072817</t>
  </si>
  <si>
    <t>0072829</t>
  </si>
  <si>
    <t>0072841</t>
  </si>
  <si>
    <t>0072765</t>
  </si>
  <si>
    <t>0072779</t>
  </si>
  <si>
    <t>0072790</t>
  </si>
  <si>
    <t>0072802</t>
  </si>
  <si>
    <t>0072826</t>
  </si>
  <si>
    <t>0072839</t>
  </si>
  <si>
    <t>0072766</t>
  </si>
  <si>
    <t>0072780</t>
  </si>
  <si>
    <t>0072792</t>
  </si>
  <si>
    <t>0072813</t>
  </si>
  <si>
    <t>0072822</t>
  </si>
  <si>
    <t>0072833</t>
  </si>
  <si>
    <t>0072843</t>
  </si>
  <si>
    <t>0072776</t>
  </si>
  <si>
    <t>PPI</t>
  </si>
  <si>
    <t>0072857</t>
  </si>
  <si>
    <t>0072867</t>
  </si>
  <si>
    <t>0072878</t>
  </si>
  <si>
    <t>0072889</t>
  </si>
  <si>
    <t>0072904</t>
  </si>
  <si>
    <t>0072914</t>
  </si>
  <si>
    <t>0072922</t>
  </si>
  <si>
    <t>0072858</t>
  </si>
  <si>
    <t>0072868</t>
  </si>
  <si>
    <t>0072879</t>
  </si>
  <si>
    <t>0072890</t>
  </si>
  <si>
    <t>0072900</t>
  </si>
  <si>
    <t>0072908</t>
  </si>
  <si>
    <t>0072920</t>
  </si>
  <si>
    <t>0072848</t>
  </si>
  <si>
    <t>0072860</t>
  </si>
  <si>
    <t>0072870</t>
  </si>
  <si>
    <t>0072880</t>
  </si>
  <si>
    <t>0072891</t>
  </si>
  <si>
    <t>0072901</t>
  </si>
  <si>
    <t>0072911</t>
  </si>
  <si>
    <t>0072918</t>
  </si>
  <si>
    <t>0072849</t>
  </si>
  <si>
    <t>0072861</t>
  </si>
  <si>
    <t>0072871</t>
  </si>
  <si>
    <t>0072881</t>
  </si>
  <si>
    <t>0072892</t>
  </si>
  <si>
    <t>0072902</t>
  </si>
  <si>
    <t>0072909</t>
  </si>
  <si>
    <t>0072852</t>
  </si>
  <si>
    <t>0072862</t>
  </si>
  <si>
    <t>0072872</t>
  </si>
  <si>
    <t>0072882</t>
  </si>
  <si>
    <t>0072893</t>
  </si>
  <si>
    <t>0072905</t>
  </si>
  <si>
    <t>0072913</t>
  </si>
  <si>
    <t>0072919</t>
  </si>
  <si>
    <t>0072850</t>
  </si>
  <si>
    <t>0072873</t>
  </si>
  <si>
    <t>0072883</t>
  </si>
  <si>
    <t>0072884</t>
  </si>
  <si>
    <t>0072885</t>
  </si>
  <si>
    <t>0072886</t>
  </si>
  <si>
    <t>0072887</t>
  </si>
  <si>
    <t>0072888</t>
  </si>
  <si>
    <t>0072894</t>
  </si>
  <si>
    <t>0072895</t>
  </si>
  <si>
    <t>0072896</t>
  </si>
  <si>
    <t>0072897</t>
  </si>
  <si>
    <t>0072898</t>
  </si>
  <si>
    <t>0072903</t>
  </si>
  <si>
    <t>0072912</t>
  </si>
  <si>
    <t>0072921</t>
  </si>
  <si>
    <t>0072853</t>
  </si>
  <si>
    <t>0072863</t>
  </si>
  <si>
    <t>0072874</t>
  </si>
  <si>
    <t>0072906</t>
  </si>
  <si>
    <t>0072907</t>
  </si>
  <si>
    <t>0072915</t>
  </si>
  <si>
    <t>0072854</t>
  </si>
  <si>
    <t>0072864</t>
  </si>
  <si>
    <t>0072875</t>
  </si>
  <si>
    <t>0072917</t>
  </si>
  <si>
    <t>0072855</t>
  </si>
  <si>
    <t>0072865</t>
  </si>
  <si>
    <t>0072876</t>
  </si>
  <si>
    <t>0072916</t>
  </si>
  <si>
    <t>0072856</t>
  </si>
  <si>
    <t>0072866</t>
  </si>
  <si>
    <t>0072877</t>
  </si>
  <si>
    <t>0072851</t>
  </si>
  <si>
    <t>รายงานการสรุปยอดขายของพนักงานขายประจำเดือน เมษายน ปี 2569</t>
  </si>
  <si>
    <t>บจก.หู่เฟิง เอ็นจิเนียริ่ง</t>
  </si>
  <si>
    <t xml:space="preserve"> โครงการ Joinehands 4 ซอย 6 สาย 11</t>
  </si>
  <si>
    <t>N3200NP00A</t>
  </si>
  <si>
    <t>คุณธนกร ศรีพุทธา</t>
  </si>
  <si>
    <t xml:space="preserve"> ซอย 14 สาย 15 </t>
  </si>
  <si>
    <t>N3000NP00A</t>
  </si>
  <si>
    <t>บจก จิงกง คอนสตรัคชั่น (ประเทศไทย) จำกัด</t>
  </si>
  <si>
    <t>Thaiya</t>
  </si>
  <si>
    <t>N1800NP00A</t>
  </si>
  <si>
    <t>N2800NP00A</t>
  </si>
  <si>
    <t>บจก.เอ็นที พร็อพเพอร์ตี้ 2021</t>
  </si>
  <si>
    <t>โครงการ ซอย 12 สาย 15 (ร้านกาแฟ)</t>
  </si>
  <si>
    <t>N2400NP00A</t>
  </si>
  <si>
    <t>คุณกวิน อ้นขวัญเมือง</t>
  </si>
  <si>
    <t>ซอย 8 สาย 15</t>
  </si>
  <si>
    <t>บริษัท โหลงไท่อินเตอร์เนชั่นแนล จำกัด</t>
  </si>
  <si>
    <t xml:space="preserve">โรงงาน FIN เฟส 2 </t>
  </si>
  <si>
    <t>บจก.เอ็นวี นิว วิชั่น</t>
  </si>
  <si>
    <t>สร้างโรงงานซอย 13</t>
  </si>
  <si>
    <t>บจก.หอพักสาย19 เพลส</t>
  </si>
  <si>
    <t>อพาร์ทเม้นท์ซอย 13 สาย 19</t>
  </si>
  <si>
    <t>N3201NP01A</t>
  </si>
  <si>
    <t>บจก.เซล คอนสตรัคชั่น แอนด์ ดีเวลลอปเมนท์ กรุ๊ป</t>
  </si>
  <si>
    <t>โครงการ TECHSTRONG ซอย 7</t>
  </si>
  <si>
    <t>บจก.ชัชนา พร็อพเพอร์ตี้</t>
  </si>
  <si>
    <t>โครงการซอย 13 สาย 11</t>
  </si>
  <si>
    <t xml:space="preserve">โครงการนิวเทรนด์ ฟู๊ด เฟส 2 </t>
  </si>
  <si>
    <t>บจก สุขนภา 2025</t>
  </si>
  <si>
    <t xml:space="preserve">ซอย 14 สาย 13 </t>
  </si>
  <si>
    <t>หจก.นัชชา คอนสตรัคชั่น</t>
  </si>
  <si>
    <t>สร้างห้องเช่า ซอย 13 สาย 19</t>
  </si>
  <si>
    <t>บจก.ช.วิรัตน์ รุ่งเรืองก่อสร้าง</t>
  </si>
  <si>
    <t>โครงการ ซอย 12 สาย 15 (หมู่บ้านอุดมสุข)</t>
  </si>
  <si>
    <t>โครงการวาเลย์ เฮาส์</t>
  </si>
  <si>
    <t xml:space="preserve">ตลาดเช้าซอย 13 สาย 13 </t>
  </si>
  <si>
    <t>บจก.หลู่ไท่ คอนสตรั๊คชั่น</t>
  </si>
  <si>
    <t>โรงงาน คิวไทย CPGC</t>
  </si>
  <si>
    <t xml:space="preserve">โรงงานเกมบอลอมตะซิตี้  </t>
  </si>
  <si>
    <t>บจก.ปิยะมณี แลนด์แอนด์เฮ้าส์</t>
  </si>
  <si>
    <t xml:space="preserve">สร้างโกดังซอย 6 สาย 13 </t>
  </si>
  <si>
    <t>บจก.ไทย สตีล คอนสตรัคเจอร์ คอนสตรัคชั่น</t>
  </si>
  <si>
    <t>สร้างออฟฟิศแคมป์คนงานซอย 13 สาย 19</t>
  </si>
  <si>
    <t xml:space="preserve">ซอย 12 สาย 15 </t>
  </si>
  <si>
    <t>คุณสุมาลี ปัญญาคำ</t>
  </si>
  <si>
    <t>ซอย 12 สาย 19 (คุณสุมาลี)</t>
  </si>
  <si>
    <t>คุณวสันต์ สันลี</t>
  </si>
  <si>
    <t>ซอย 3</t>
  </si>
  <si>
    <t>บจก.หงส์อัน เอ็นจิเนียริ่ง</t>
  </si>
  <si>
    <t xml:space="preserve">โรงงานอะซิมโคนิคมอมตะซิตี้ </t>
  </si>
  <si>
    <t>บจก.เฟยจิน (อินเตอร์เนชั่นแนล)</t>
  </si>
  <si>
    <t xml:space="preserve"> YUBO ELECTRONICS ซอย 10</t>
  </si>
  <si>
    <t>บจก.มั่นคงไพศาลสิน</t>
  </si>
  <si>
    <t>โครงการเนเชอรัล</t>
  </si>
  <si>
    <t>โครงการบ้านเอ็นทีวิลล์ซอย11สาย13</t>
  </si>
  <si>
    <t>N2400WP00A</t>
  </si>
  <si>
    <t>ซอย 14 สาย 13</t>
  </si>
  <si>
    <t xml:space="preserve">สร้างห้องเช่า ซอย 13 สาย 19 </t>
  </si>
  <si>
    <t xml:space="preserve">คอนโดไลฟ์อัพ อมตะซิตี้ </t>
  </si>
  <si>
    <t>โครงการ BAOFENG</t>
  </si>
  <si>
    <t>โครงการนิวเทรนด์ ฟู๊ด</t>
  </si>
  <si>
    <t>บจก.เฮลซิงกิ เพลส</t>
  </si>
  <si>
    <t>N3200WP00A</t>
  </si>
  <si>
    <t>บจก.เอสดีเอ็น เอ็นไวรอนเมนทอล โปรเทคชั่น</t>
  </si>
  <si>
    <t>โรงงานกังเยน ไดมอนด์</t>
  </si>
  <si>
    <t xml:space="preserve">โครงการ ITC นิคม WHA 36 ซอย 9 </t>
  </si>
  <si>
    <t>โครงการ KKE WHA 36</t>
  </si>
  <si>
    <t>บริษัท ธนกฤต เติมทรัพย์ แอนด์ พร็อพเพอร์ตี้ จำกัด</t>
  </si>
  <si>
    <t xml:space="preserve">โครงการซอย 8 สาย 13 </t>
  </si>
  <si>
    <t>คุณ ภูดิส งิมขุนทด</t>
  </si>
  <si>
    <t>ซอย 13</t>
  </si>
  <si>
    <t>คุณวันเพ็ญ ปัสสา</t>
  </si>
  <si>
    <t xml:space="preserve">ซอย 4 สาย 15 </t>
  </si>
  <si>
    <t>หจก. ช.ธนทรัพย์ ซัพพลาย</t>
  </si>
  <si>
    <t xml:space="preserve">ซอย 8 สาย 19 </t>
  </si>
  <si>
    <t>บจก.กันไท เอ็นจิเนียริ่ง (ไทยเเลนด์)</t>
  </si>
  <si>
    <t>แค้มป์คนงาน ตรงข้ามอมตะ</t>
  </si>
  <si>
    <t>คุณราชัน  อยู่ดี</t>
  </si>
  <si>
    <t xml:space="preserve">ซอย 12 สาย 11 </t>
  </si>
  <si>
    <t xml:space="preserve"> โรงงานฮัดสัน 2 เฟส 3 </t>
  </si>
  <si>
    <t>ซอย 14</t>
  </si>
  <si>
    <t xml:space="preserve">ซอย 8 สาย 15 </t>
  </si>
  <si>
    <t>โครงการซอย 9 สาย 11</t>
  </si>
  <si>
    <t>ซอย 12 สาย 15 (ร้านกาแฟบ้านสวนอริยา)</t>
  </si>
  <si>
    <t>ซอย 12 สาย 19</t>
  </si>
  <si>
    <t>รพ.เมดิคอล ซัพพอร์ท กรุ๊ป จำกัด</t>
  </si>
  <si>
    <t xml:space="preserve">ซอย 14 </t>
  </si>
  <si>
    <t>N2100NP00A</t>
  </si>
  <si>
    <t>Taijing</t>
  </si>
  <si>
    <t>คุณศุภชัย รอดทุกข์</t>
  </si>
  <si>
    <t xml:space="preserve">ซอย 7 สาย 19 </t>
  </si>
  <si>
    <t>บจก.จงยี่ เว่ยเย่ คอนสตรัคชั่น กรุ๊ป</t>
  </si>
  <si>
    <t>โรงงานวิด</t>
  </si>
  <si>
    <t xml:space="preserve">โครงการ ซอย 4 </t>
  </si>
  <si>
    <t>คุณอนันต์  คงเจริญ</t>
  </si>
  <si>
    <t>ซ.13</t>
  </si>
  <si>
    <t xml:space="preserve">ซอย 11 สาย 15 </t>
  </si>
  <si>
    <t xml:space="preserve">ซอย 13 สาย 11 </t>
  </si>
  <si>
    <t>บจก.พีทีที บิช</t>
  </si>
  <si>
    <t>สร้างศูนย์การเรียนรู้ซอย 3</t>
  </si>
  <si>
    <t xml:space="preserve"> ปรับปรุงโรงจอดรถ 13 เครน ซอย 12 สาย 11</t>
  </si>
  <si>
    <t>บริษัท หงเซิง เอ็นจิเนียริ่ง (ไทยแลนด์) จำกัด</t>
  </si>
  <si>
    <t>โครงการศักดิ์สิริวาเลย์ซอย 4</t>
  </si>
  <si>
    <t xml:space="preserve">โครงการ ซอย 12 </t>
  </si>
  <si>
    <t>55-0544</t>
  </si>
  <si>
    <t>รายงานการวิ่งรถประจำเดือน เมษายน ปี 69</t>
  </si>
  <si>
    <t>26/03/69 - 24/04/69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</si>
</sst>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87" formatCode="[$-1070000]d/m/yy;@"/>
    <numFmt numFmtId="188" formatCode="[$-1070000]d/mm/yyyy;@"/>
    <numFmt numFmtId="189" formatCode="&quot;คิวละ&quot;\7\5&quot;บาท&quot;"/>
    <numFmt numFmtId="190" formatCode="&quot;เที่ยวละ&quot;\ 00\ &quot;บาท&quot;"/>
    <numFmt numFmtId="191" formatCode="&quot;คิวละ&quot;\ 0.0\ &quot;บาท&quot;"/>
    <numFmt numFmtId="192" formatCode="0\ &quot;บาท&quot;"/>
    <numFmt numFmtId="193" formatCode="0.0\ &quot;บาท&quot;"/>
  </numFmts>
  <fonts count="48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b/>
      <sz val="18"/>
      <color theme="1"/>
      <name val="Browallia New"/>
      <family val="2"/>
    </font>
    <font>
      <sz val="12"/>
      <color theme="1"/>
      <name val="Browallia New"/>
      <family val="2"/>
    </font>
    <font>
      <b/>
      <sz val="16"/>
      <color theme="1"/>
      <name val="Browallia New"/>
      <family val="2"/>
    </font>
    <font>
      <sz val="11"/>
      <color theme="1"/>
      <name val="Browallia New"/>
      <family val="2"/>
    </font>
    <font>
      <b/>
      <sz val="20"/>
      <color theme="1"/>
      <name val="Browallia New"/>
      <family val="2"/>
    </font>
    <font>
      <b/>
      <sz val="11"/>
      <color theme="1"/>
      <name val="Browallia New"/>
      <family val="2"/>
    </font>
    <font>
      <sz val="14"/>
      <color theme="1"/>
      <name val="Browallia New"/>
      <family val="2"/>
    </font>
    <font>
      <b/>
      <sz val="14"/>
      <color theme="1"/>
      <name val="Browallia New"/>
      <family val="2"/>
    </font>
    <font>
      <sz val="9"/>
      <color theme="1"/>
      <name val="Browallia New"/>
      <family val="2"/>
    </font>
    <font>
      <sz val="12"/>
      <color rgb="FFFF0000"/>
      <name val="Browallia New"/>
      <family val="2"/>
    </font>
    <font>
      <b/>
      <sz val="12"/>
      <color theme="1"/>
      <name val="Browallia New"/>
      <family val="2"/>
    </font>
    <font>
      <b/>
      <sz val="12"/>
      <color indexed="8"/>
      <name val="Browallia New"/>
      <family val="2"/>
    </font>
    <font>
      <b/>
      <u/>
      <sz val="12"/>
      <color theme="1"/>
      <name val="Browallia New"/>
      <family val="2"/>
    </font>
    <font>
      <b/>
      <sz val="12"/>
      <color rgb="FF0000CC"/>
      <name val="Browallia New"/>
      <family val="2"/>
    </font>
    <font>
      <b/>
      <u/>
      <sz val="12"/>
      <color rgb="FF0000CC"/>
      <name val="Browallia New"/>
      <family val="2"/>
    </font>
    <font>
      <u/>
      <sz val="12"/>
      <color theme="1"/>
      <name val="Browallia New"/>
      <family val="2"/>
    </font>
    <font>
      <b/>
      <sz val="14"/>
      <color rgb="FF0000CC"/>
      <name val="Browallia New"/>
      <family val="2"/>
    </font>
    <font>
      <sz val="12"/>
      <name val="Browallia New"/>
      <family val="2"/>
    </font>
    <font>
      <b/>
      <sz val="12"/>
      <name val="Browallia New"/>
      <family val="2"/>
    </font>
    <font>
      <b/>
      <sz val="14"/>
      <name val="Browallia New"/>
      <family val="2"/>
    </font>
    <font>
      <sz val="14"/>
      <name val="Browallia New"/>
      <family val="2"/>
    </font>
    <font>
      <sz val="16"/>
      <color theme="1"/>
      <name val="Browallia New"/>
      <family val="2"/>
    </font>
    <font>
      <b/>
      <sz val="16"/>
      <color rgb="FFFF0000"/>
      <name val="Browallia New"/>
      <family val="2"/>
    </font>
    <font>
      <sz val="9"/>
      <name val="Browallia New"/>
      <family val="2"/>
    </font>
    <font>
      <sz val="8"/>
      <color theme="1"/>
      <name val="Browallia New"/>
      <family val="2"/>
    </font>
    <font>
      <sz val="8"/>
      <name val="Browallia New"/>
      <family val="2"/>
    </font>
    <font>
      <b/>
      <sz val="11"/>
      <name val="Browallia New"/>
      <family val="2"/>
    </font>
    <font>
      <b/>
      <sz val="14"/>
      <color rgb="FFFF0000"/>
      <name val="Browallia New"/>
      <family val="2"/>
    </font>
    <font>
      <sz val="11"/>
      <name val="Browallia New"/>
      <family val="2"/>
    </font>
    <font>
      <b/>
      <u val="double"/>
      <sz val="18"/>
      <color theme="1"/>
      <name val="Browallia New"/>
      <family val="2"/>
    </font>
    <font>
      <b/>
      <u/>
      <sz val="14"/>
      <color theme="1"/>
      <name val="Browallia New"/>
      <family val="2"/>
    </font>
    <font>
      <b/>
      <sz val="10"/>
      <color theme="1"/>
      <name val="Browallia New"/>
      <family val="2"/>
    </font>
    <font>
      <sz val="11"/>
      <color theme="1"/>
      <name val="Tahoma"/>
      <family val="2"/>
      <charset val="222"/>
      <scheme val="minor"/>
    </font>
    <font>
      <sz val="12"/>
      <color theme="1"/>
      <name val="BrowalliaUPC"/>
      <family val="2"/>
    </font>
    <font>
      <sz val="12"/>
      <name val="BrowalliaUPC"/>
      <family val="2"/>
    </font>
    <font>
      <sz val="9"/>
      <name val="BrowalliaUPC"/>
      <family val="2"/>
    </font>
    <font>
      <b/>
      <sz val="16"/>
      <color theme="1"/>
      <name val="BrowalliaUPC"/>
      <family val="2"/>
    </font>
    <font>
      <b/>
      <sz val="14"/>
      <color theme="1"/>
      <name val="BrowalliaUPC"/>
      <family val="2"/>
    </font>
    <font>
      <sz val="14"/>
      <color theme="1"/>
      <name val="BrowalliaUPC"/>
      <family val="2"/>
    </font>
    <font>
      <b/>
      <sz val="12"/>
      <color rgb="FF0000CC"/>
      <name val="BrowalliaUPC"/>
      <family val="2"/>
    </font>
    <font>
      <b/>
      <u/>
      <sz val="12"/>
      <color rgb="FF0000CC"/>
      <name val="BrowalliaUPC"/>
      <family val="2"/>
    </font>
    <font>
      <sz val="9"/>
      <color theme="1"/>
      <name val="BrowalliaUPC"/>
      <family val="2"/>
    </font>
    <font>
      <b/>
      <sz val="12"/>
      <color theme="1"/>
      <name val="BrowalliaUPC"/>
      <family val="2"/>
    </font>
    <font>
      <b/>
      <u/>
      <sz val="12"/>
      <color theme="1"/>
      <name val="BrowalliaUPC"/>
      <family val="2"/>
    </font>
    <font>
      <sz val="12"/>
      <color rgb="FF0000CC"/>
      <name val="BrowalliaUPC"/>
      <family val="2"/>
    </font>
    <font>
      <b/>
      <sz val="18"/>
      <color rgb="FFFF0000"/>
      <name val="Browallia New"/>
      <family val="2"/>
    </font>
  </fonts>
  <fills count="1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2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34" fillId="0" borderId="0" applyFont="0" applyFill="0" applyBorder="0" applyAlignment="0" applyProtection="0"/>
  </cellStyleXfs>
  <cellXfs count="485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87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87" fontId="3" fillId="0" borderId="0" xfId="0" applyNumberFormat="1" applyFont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87" fontId="3" fillId="3" borderId="3" xfId="0" applyNumberFormat="1" applyFont="1" applyFill="1" applyBorder="1" applyAlignment="1">
      <alignment horizontal="center" vertical="center"/>
    </xf>
    <xf numFmtId="1" fontId="3" fillId="3" borderId="3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87" fontId="3" fillId="3" borderId="4" xfId="0" applyNumberFormat="1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87" fontId="3" fillId="0" borderId="4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187" fontId="9" fillId="0" borderId="0" xfId="0" applyNumberFormat="1" applyFont="1" applyAlignment="1">
      <alignment horizontal="center" vertical="center"/>
    </xf>
    <xf numFmtId="0" fontId="12" fillId="0" borderId="0" xfId="0" quotePrefix="1" applyFont="1" applyAlignment="1">
      <alignment horizontal="center" vertical="center"/>
    </xf>
    <xf numFmtId="188" fontId="3" fillId="0" borderId="2" xfId="0" applyNumberFormat="1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188" fontId="15" fillId="0" borderId="2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7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187" fontId="9" fillId="0" borderId="0" xfId="0" applyNumberFormat="1" applyFont="1" applyAlignment="1">
      <alignment vertical="center"/>
    </xf>
    <xf numFmtId="187" fontId="18" fillId="0" borderId="0" xfId="0" quotePrefix="1" applyNumberFormat="1" applyFont="1" applyAlignment="1">
      <alignment horizontal="center" vertical="center"/>
    </xf>
    <xf numFmtId="187" fontId="18" fillId="0" borderId="0" xfId="0" applyNumberFormat="1" applyFont="1" applyAlignment="1">
      <alignment horizontal="center" vertical="center"/>
    </xf>
    <xf numFmtId="0" fontId="18" fillId="0" borderId="0" xfId="0" quotePrefix="1" applyFont="1" applyAlignment="1">
      <alignment horizontal="center" vertical="center"/>
    </xf>
    <xf numFmtId="0" fontId="19" fillId="0" borderId="0" xfId="0" applyFont="1"/>
    <xf numFmtId="0" fontId="19" fillId="0" borderId="2" xfId="0" applyFont="1" applyBorder="1" applyAlignment="1">
      <alignment horizontal="center" vertical="center"/>
    </xf>
    <xf numFmtId="188" fontId="20" fillId="0" borderId="2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187" fontId="21" fillId="0" borderId="0" xfId="0" applyNumberFormat="1" applyFont="1" applyAlignment="1">
      <alignment horizontal="center" vertical="center"/>
    </xf>
    <xf numFmtId="0" fontId="21" fillId="0" borderId="0" xfId="0" quotePrefix="1" applyFont="1" applyAlignment="1">
      <alignment horizontal="center" vertical="center"/>
    </xf>
    <xf numFmtId="187" fontId="21" fillId="0" borderId="0" xfId="0" applyNumberFormat="1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3" xfId="0" quotePrefix="1" applyFont="1" applyBorder="1" applyAlignment="1">
      <alignment horizontal="center" vertical="center"/>
    </xf>
    <xf numFmtId="0" fontId="5" fillId="0" borderId="31" xfId="0" quotePrefix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5" fillId="0" borderId="8" xfId="0" quotePrefix="1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5" fillId="0" borderId="12" xfId="0" quotePrefix="1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187" fontId="15" fillId="0" borderId="0" xfId="0" applyNumberFormat="1" applyFont="1" applyAlignment="1">
      <alignment horizontal="center" vertical="center"/>
    </xf>
    <xf numFmtId="4" fontId="5" fillId="0" borderId="11" xfId="0" applyNumberFormat="1" applyFont="1" applyBorder="1" applyAlignment="1">
      <alignment horizontal="center" vertical="center"/>
    </xf>
    <xf numFmtId="4" fontId="5" fillId="0" borderId="14" xfId="0" applyNumberFormat="1" applyFont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quotePrefix="1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1" fontId="10" fillId="0" borderId="5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3" borderId="2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87" fontId="19" fillId="0" borderId="1" xfId="0" applyNumberFormat="1" applyFont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3" fillId="3" borderId="24" xfId="0" applyNumberFormat="1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center"/>
    </xf>
    <xf numFmtId="0" fontId="19" fillId="0" borderId="1" xfId="0" quotePrefix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89" fontId="5" fillId="0" borderId="28" xfId="0" applyNumberFormat="1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4" fontId="26" fillId="0" borderId="3" xfId="0" applyNumberFormat="1" applyFont="1" applyBorder="1" applyAlignment="1">
      <alignment horizontal="center" vertical="center"/>
    </xf>
    <xf numFmtId="4" fontId="26" fillId="0" borderId="1" xfId="0" applyNumberFormat="1" applyFont="1" applyBorder="1" applyAlignment="1">
      <alignment horizontal="center" vertical="center"/>
    </xf>
    <xf numFmtId="4" fontId="26" fillId="0" borderId="13" xfId="0" applyNumberFormat="1" applyFont="1" applyBorder="1" applyAlignment="1">
      <alignment horizontal="center" vertical="center"/>
    </xf>
    <xf numFmtId="187" fontId="28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4" fontId="5" fillId="0" borderId="0" xfId="0" applyNumberFormat="1" applyFont="1" applyAlignment="1">
      <alignment horizontal="center" vertical="center"/>
    </xf>
    <xf numFmtId="0" fontId="1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3" fillId="0" borderId="52" xfId="0" applyFont="1" applyBorder="1" applyAlignment="1">
      <alignment vertical="center"/>
    </xf>
    <xf numFmtId="4" fontId="5" fillId="0" borderId="35" xfId="0" applyNumberFormat="1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35" xfId="0" applyFont="1" applyBorder="1" applyAlignment="1">
      <alignment horizontal="left" vertical="center"/>
    </xf>
    <xf numFmtId="4" fontId="8" fillId="0" borderId="0" xfId="0" applyNumberFormat="1" applyFont="1" applyAlignment="1">
      <alignment horizontal="center"/>
    </xf>
    <xf numFmtId="4" fontId="11" fillId="0" borderId="0" xfId="0" applyNumberFormat="1" applyFont="1" applyAlignment="1">
      <alignment horizontal="center" vertical="center"/>
    </xf>
    <xf numFmtId="1" fontId="25" fillId="0" borderId="5" xfId="0" applyNumberFormat="1" applyFont="1" applyBorder="1" applyAlignment="1">
      <alignment horizontal="center" vertical="center"/>
    </xf>
    <xf numFmtId="0" fontId="11" fillId="0" borderId="52" xfId="0" applyFont="1" applyBorder="1" applyAlignment="1">
      <alignment vertical="center"/>
    </xf>
    <xf numFmtId="0" fontId="3" fillId="0" borderId="48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23" fillId="0" borderId="0" xfId="0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23" fillId="0" borderId="0" xfId="0" applyFont="1" applyAlignment="1">
      <alignment horizontal="right"/>
    </xf>
    <xf numFmtId="4" fontId="27" fillId="0" borderId="1" xfId="0" applyNumberFormat="1" applyFont="1" applyBorder="1" applyAlignment="1">
      <alignment horizontal="center" vertical="center"/>
    </xf>
    <xf numFmtId="43" fontId="7" fillId="0" borderId="20" xfId="0" applyNumberFormat="1" applyFont="1" applyBorder="1" applyAlignment="1">
      <alignment vertical="center"/>
    </xf>
    <xf numFmtId="43" fontId="7" fillId="0" borderId="28" xfId="0" applyNumberFormat="1" applyFont="1" applyBorder="1" applyAlignment="1">
      <alignment vertical="center"/>
    </xf>
    <xf numFmtId="43" fontId="7" fillId="0" borderId="56" xfId="0" applyNumberFormat="1" applyFont="1" applyBorder="1" applyAlignment="1">
      <alignment vertical="center"/>
    </xf>
    <xf numFmtId="43" fontId="7" fillId="0" borderId="29" xfId="0" applyNumberFormat="1" applyFont="1" applyBorder="1" applyAlignment="1">
      <alignment vertical="center"/>
    </xf>
    <xf numFmtId="191" fontId="7" fillId="11" borderId="56" xfId="0" applyNumberFormat="1" applyFont="1" applyFill="1" applyBorder="1" applyAlignment="1">
      <alignment horizontal="center" vertical="center" wrapText="1"/>
    </xf>
    <xf numFmtId="191" fontId="7" fillId="11" borderId="2" xfId="0" applyNumberFormat="1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87" fontId="3" fillId="3" borderId="24" xfId="0" applyNumberFormat="1" applyFont="1" applyFill="1" applyBorder="1" applyAlignment="1">
      <alignment horizontal="center" vertical="center"/>
    </xf>
    <xf numFmtId="0" fontId="7" fillId="0" borderId="17" xfId="0" quotePrefix="1" applyFont="1" applyBorder="1" applyAlignment="1">
      <alignment horizontal="left" vertical="center"/>
    </xf>
    <xf numFmtId="0" fontId="7" fillId="0" borderId="32" xfId="0" quotePrefix="1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4" fontId="7" fillId="12" borderId="60" xfId="0" applyNumberFormat="1" applyFont="1" applyFill="1" applyBorder="1" applyAlignment="1">
      <alignment horizontal="center" vertical="center"/>
    </xf>
    <xf numFmtId="191" fontId="7" fillId="12" borderId="56" xfId="0" applyNumberFormat="1" applyFont="1" applyFill="1" applyBorder="1" applyAlignment="1">
      <alignment horizontal="center" vertical="center" wrapText="1"/>
    </xf>
    <xf numFmtId="0" fontId="7" fillId="12" borderId="56" xfId="0" applyFont="1" applyFill="1" applyBorder="1" applyAlignment="1">
      <alignment horizontal="center" vertical="center"/>
    </xf>
    <xf numFmtId="0" fontId="3" fillId="0" borderId="2" xfId="0" quotePrefix="1" applyFont="1" applyBorder="1" applyAlignment="1">
      <alignment horizontal="center"/>
    </xf>
    <xf numFmtId="0" fontId="3" fillId="0" borderId="2" xfId="0" quotePrefix="1" applyFont="1" applyBorder="1" applyAlignment="1">
      <alignment horizontal="center" vertical="center"/>
    </xf>
    <xf numFmtId="49" fontId="7" fillId="0" borderId="17" xfId="0" quotePrefix="1" applyNumberFormat="1" applyFont="1" applyBorder="1" applyAlignment="1">
      <alignment horizontal="left" vertical="center"/>
    </xf>
    <xf numFmtId="0" fontId="5" fillId="0" borderId="68" xfId="0" quotePrefix="1" applyFont="1" applyBorder="1" applyAlignment="1">
      <alignment horizontal="center" vertical="center"/>
    </xf>
    <xf numFmtId="0" fontId="28" fillId="0" borderId="9" xfId="0" applyFont="1" applyBorder="1" applyAlignment="1">
      <alignment horizontal="left" vertical="center"/>
    </xf>
    <xf numFmtId="0" fontId="30" fillId="0" borderId="68" xfId="0" quotePrefix="1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49" fontId="28" fillId="0" borderId="14" xfId="0" quotePrefix="1" applyNumberFormat="1" applyFont="1" applyBorder="1" applyAlignment="1">
      <alignment horizontal="left" vertical="center"/>
    </xf>
    <xf numFmtId="0" fontId="30" fillId="0" borderId="31" xfId="0" quotePrefix="1" applyFont="1" applyBorder="1" applyAlignment="1">
      <alignment horizontal="center" vertical="center"/>
    </xf>
    <xf numFmtId="0" fontId="28" fillId="0" borderId="41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49" fontId="7" fillId="0" borderId="14" xfId="0" quotePrefix="1" applyNumberFormat="1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43" fontId="7" fillId="0" borderId="26" xfId="0" applyNumberFormat="1" applyFont="1" applyBorder="1" applyAlignment="1">
      <alignment horizontal="center" vertical="center"/>
    </xf>
    <xf numFmtId="43" fontId="7" fillId="0" borderId="37" xfId="0" applyNumberFormat="1" applyFont="1" applyBorder="1" applyAlignment="1">
      <alignment horizontal="center" vertical="center"/>
    </xf>
    <xf numFmtId="43" fontId="7" fillId="0" borderId="34" xfId="0" applyNumberFormat="1" applyFont="1" applyBorder="1" applyAlignment="1">
      <alignment horizontal="center" vertical="center"/>
    </xf>
    <xf numFmtId="43" fontId="7" fillId="0" borderId="53" xfId="0" applyNumberFormat="1" applyFont="1" applyBorder="1" applyAlignment="1">
      <alignment horizontal="center" vertical="center"/>
    </xf>
    <xf numFmtId="43" fontId="7" fillId="0" borderId="33" xfId="0" applyNumberFormat="1" applyFont="1" applyBorder="1" applyAlignment="1">
      <alignment horizontal="center" vertical="center"/>
    </xf>
    <xf numFmtId="43" fontId="7" fillId="0" borderId="30" xfId="0" applyNumberFormat="1" applyFont="1" applyBorder="1" applyAlignment="1">
      <alignment horizontal="center" vertical="center"/>
    </xf>
    <xf numFmtId="43" fontId="28" fillId="0" borderId="26" xfId="0" applyNumberFormat="1" applyFont="1" applyBorder="1" applyAlignment="1">
      <alignment horizontal="center" vertical="center"/>
    </xf>
    <xf numFmtId="43" fontId="28" fillId="0" borderId="33" xfId="0" applyNumberFormat="1" applyFont="1" applyBorder="1" applyAlignment="1">
      <alignment horizontal="center" vertical="center"/>
    </xf>
    <xf numFmtId="43" fontId="28" fillId="0" borderId="30" xfId="0" applyNumberFormat="1" applyFont="1" applyBorder="1" applyAlignment="1">
      <alignment horizontal="center" vertical="center"/>
    </xf>
    <xf numFmtId="43" fontId="28" fillId="0" borderId="34" xfId="0" applyNumberFormat="1" applyFont="1" applyBorder="1" applyAlignment="1">
      <alignment horizontal="center" vertical="center"/>
    </xf>
    <xf numFmtId="43" fontId="12" fillId="14" borderId="43" xfId="0" applyNumberFormat="1" applyFont="1" applyFill="1" applyBorder="1" applyAlignment="1">
      <alignment vertical="center"/>
    </xf>
    <xf numFmtId="43" fontId="12" fillId="14" borderId="72" xfId="0" applyNumberFormat="1" applyFont="1" applyFill="1" applyBorder="1" applyAlignment="1">
      <alignment vertical="center"/>
    </xf>
    <xf numFmtId="0" fontId="28" fillId="0" borderId="16" xfId="0" applyFont="1" applyBorder="1" applyAlignment="1">
      <alignment horizontal="left" vertical="center"/>
    </xf>
    <xf numFmtId="0" fontId="30" fillId="0" borderId="36" xfId="0" applyFont="1" applyBorder="1" applyAlignment="1">
      <alignment horizontal="center" vertical="center"/>
    </xf>
    <xf numFmtId="0" fontId="30" fillId="0" borderId="69" xfId="0" applyFont="1" applyBorder="1" applyAlignment="1">
      <alignment horizontal="center" vertical="center"/>
    </xf>
    <xf numFmtId="49" fontId="28" fillId="0" borderId="17" xfId="0" quotePrefix="1" applyNumberFormat="1" applyFont="1" applyBorder="1" applyAlignment="1">
      <alignment horizontal="left" vertical="center"/>
    </xf>
    <xf numFmtId="0" fontId="30" fillId="0" borderId="13" xfId="0" applyFont="1" applyBorder="1" applyAlignment="1">
      <alignment horizontal="center" vertical="center"/>
    </xf>
    <xf numFmtId="43" fontId="12" fillId="7" borderId="56" xfId="0" applyNumberFormat="1" applyFont="1" applyFill="1" applyBorder="1" applyAlignment="1">
      <alignment vertical="center"/>
    </xf>
    <xf numFmtId="43" fontId="12" fillId="7" borderId="20" xfId="0" applyNumberFormat="1" applyFont="1" applyFill="1" applyBorder="1" applyAlignment="1">
      <alignment vertical="center"/>
    </xf>
    <xf numFmtId="43" fontId="7" fillId="0" borderId="25" xfId="0" applyNumberFormat="1" applyFont="1" applyBorder="1" applyAlignment="1">
      <alignment vertical="center"/>
    </xf>
    <xf numFmtId="43" fontId="7" fillId="0" borderId="34" xfId="0" applyNumberFormat="1" applyFont="1" applyBorder="1" applyAlignment="1">
      <alignment vertical="center"/>
    </xf>
    <xf numFmtId="43" fontId="32" fillId="14" borderId="43" xfId="0" applyNumberFormat="1" applyFont="1" applyFill="1" applyBorder="1" applyAlignment="1">
      <alignment horizontal="center" vertical="center"/>
    </xf>
    <xf numFmtId="0" fontId="7" fillId="11" borderId="60" xfId="0" applyFont="1" applyFill="1" applyBorder="1" applyAlignment="1">
      <alignment horizontal="center" vertical="center"/>
    </xf>
    <xf numFmtId="0" fontId="3" fillId="4" borderId="1" xfId="0" quotePrefix="1" applyFont="1" applyFill="1" applyBorder="1" applyAlignment="1">
      <alignment horizontal="center" vertical="center"/>
    </xf>
    <xf numFmtId="0" fontId="7" fillId="11" borderId="56" xfId="0" applyFont="1" applyFill="1" applyBorder="1" applyAlignment="1">
      <alignment horizontal="center" vertical="center"/>
    </xf>
    <xf numFmtId="43" fontId="7" fillId="0" borderId="55" xfId="0" applyNumberFormat="1" applyFont="1" applyBorder="1" applyAlignment="1">
      <alignment vertical="center"/>
    </xf>
    <xf numFmtId="1" fontId="5" fillId="0" borderId="3" xfId="0" applyNumberFormat="1" applyFont="1" applyBorder="1" applyAlignment="1">
      <alignment horizontal="center" vertical="center"/>
    </xf>
    <xf numFmtId="1" fontId="5" fillId="0" borderId="35" xfId="0" applyNumberFormat="1" applyFont="1" applyBorder="1" applyAlignment="1">
      <alignment horizontal="center" vertical="center"/>
    </xf>
    <xf numFmtId="43" fontId="5" fillId="0" borderId="29" xfId="0" applyNumberFormat="1" applyFont="1" applyBorder="1" applyAlignment="1">
      <alignment vertical="center"/>
    </xf>
    <xf numFmtId="43" fontId="3" fillId="14" borderId="71" xfId="0" applyNumberFormat="1" applyFont="1" applyFill="1" applyBorder="1" applyAlignment="1">
      <alignment vertical="center"/>
    </xf>
    <xf numFmtId="43" fontId="3" fillId="14" borderId="42" xfId="0" applyNumberFormat="1" applyFont="1" applyFill="1" applyBorder="1" applyAlignment="1">
      <alignment horizontal="center" vertical="center"/>
    </xf>
    <xf numFmtId="43" fontId="32" fillId="14" borderId="71" xfId="0" applyNumberFormat="1" applyFont="1" applyFill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2" fontId="26" fillId="0" borderId="3" xfId="0" applyNumberFormat="1" applyFont="1" applyBorder="1" applyAlignment="1">
      <alignment horizontal="center" vertical="center"/>
    </xf>
    <xf numFmtId="4" fontId="7" fillId="9" borderId="9" xfId="0" applyNumberFormat="1" applyFont="1" applyFill="1" applyBorder="1" applyAlignment="1">
      <alignment horizontal="center" vertical="center"/>
    </xf>
    <xf numFmtId="191" fontId="7" fillId="9" borderId="19" xfId="0" applyNumberFormat="1" applyFont="1" applyFill="1" applyBorder="1" applyAlignment="1">
      <alignment horizontal="center" vertical="center" wrapText="1"/>
    </xf>
    <xf numFmtId="191" fontId="7" fillId="9" borderId="18" xfId="0" applyNumberFormat="1" applyFont="1" applyFill="1" applyBorder="1" applyAlignment="1">
      <alignment horizontal="center" vertical="center" wrapText="1"/>
    </xf>
    <xf numFmtId="0" fontId="7" fillId="9" borderId="19" xfId="0" applyFont="1" applyFill="1" applyBorder="1" applyAlignment="1">
      <alignment horizontal="center" vertical="center"/>
    </xf>
    <xf numFmtId="0" fontId="7" fillId="10" borderId="9" xfId="0" applyFont="1" applyFill="1" applyBorder="1" applyAlignment="1">
      <alignment horizontal="center" vertical="center"/>
    </xf>
    <xf numFmtId="191" fontId="7" fillId="10" borderId="19" xfId="0" applyNumberFormat="1" applyFont="1" applyFill="1" applyBorder="1" applyAlignment="1">
      <alignment horizontal="center" vertical="center" wrapText="1"/>
    </xf>
    <xf numFmtId="191" fontId="7" fillId="10" borderId="18" xfId="0" applyNumberFormat="1" applyFont="1" applyFill="1" applyBorder="1" applyAlignment="1">
      <alignment horizontal="center" vertical="center" wrapText="1"/>
    </xf>
    <xf numFmtId="0" fontId="7" fillId="10" borderId="19" xfId="0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1" xfId="0" applyNumberFormat="1" applyFont="1" applyBorder="1" applyAlignment="1">
      <alignment horizontal="center" vertical="center"/>
    </xf>
    <xf numFmtId="43" fontId="5" fillId="0" borderId="20" xfId="0" applyNumberFormat="1" applyFont="1" applyBorder="1" applyAlignment="1">
      <alignment vertical="center"/>
    </xf>
    <xf numFmtId="189" fontId="7" fillId="13" borderId="28" xfId="0" applyNumberFormat="1" applyFont="1" applyFill="1" applyBorder="1" applyAlignment="1">
      <alignment horizontal="center" vertical="center" wrapText="1"/>
    </xf>
    <xf numFmtId="0" fontId="7" fillId="13" borderId="28" xfId="0" applyFont="1" applyFill="1" applyBorder="1" applyAlignment="1">
      <alignment horizontal="center" vertical="center"/>
    </xf>
    <xf numFmtId="43" fontId="3" fillId="14" borderId="59" xfId="0" applyNumberFormat="1" applyFont="1" applyFill="1" applyBorder="1" applyAlignment="1">
      <alignment vertical="center"/>
    </xf>
    <xf numFmtId="43" fontId="3" fillId="14" borderId="62" xfId="0" applyNumberFormat="1" applyFont="1" applyFill="1" applyBorder="1" applyAlignment="1">
      <alignment horizontal="center" vertical="center"/>
    </xf>
    <xf numFmtId="43" fontId="32" fillId="14" borderId="59" xfId="0" applyNumberFormat="1" applyFont="1" applyFill="1" applyBorder="1" applyAlignment="1">
      <alignment vertical="center"/>
    </xf>
    <xf numFmtId="190" fontId="33" fillId="13" borderId="43" xfId="0" applyNumberFormat="1" applyFont="1" applyFill="1" applyBorder="1" applyAlignment="1">
      <alignment horizontal="center" vertical="center" wrapText="1"/>
    </xf>
    <xf numFmtId="0" fontId="5" fillId="15" borderId="36" xfId="0" applyFont="1" applyFill="1" applyBorder="1" applyAlignment="1">
      <alignment horizontal="center" vertical="center"/>
    </xf>
    <xf numFmtId="0" fontId="5" fillId="15" borderId="13" xfId="0" applyFont="1" applyFill="1" applyBorder="1" applyAlignment="1">
      <alignment horizontal="center" vertical="center"/>
    </xf>
    <xf numFmtId="2" fontId="26" fillId="15" borderId="3" xfId="0" applyNumberFormat="1" applyFont="1" applyFill="1" applyBorder="1" applyAlignment="1">
      <alignment horizontal="center" vertical="center"/>
    </xf>
    <xf numFmtId="4" fontId="26" fillId="15" borderId="3" xfId="0" applyNumberFormat="1" applyFont="1" applyFill="1" applyBorder="1" applyAlignment="1">
      <alignment horizontal="center" vertical="center"/>
    </xf>
    <xf numFmtId="4" fontId="26" fillId="15" borderId="13" xfId="0" applyNumberFormat="1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1" fontId="5" fillId="15" borderId="1" xfId="0" applyNumberFormat="1" applyFont="1" applyFill="1" applyBorder="1" applyAlignment="1">
      <alignment horizontal="center" vertical="center"/>
    </xf>
    <xf numFmtId="4" fontId="26" fillId="15" borderId="1" xfId="0" applyNumberFormat="1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43" fontId="32" fillId="7" borderId="29" xfId="0" applyNumberFormat="1" applyFont="1" applyFill="1" applyBorder="1" applyAlignment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4" fontId="36" fillId="0" borderId="1" xfId="0" applyNumberFormat="1" applyFont="1" applyBorder="1" applyAlignment="1">
      <alignment horizontal="center" vertical="center"/>
    </xf>
    <xf numFmtId="0" fontId="36" fillId="6" borderId="1" xfId="0" applyFont="1" applyFill="1" applyBorder="1" applyAlignment="1">
      <alignment horizontal="center" vertical="center"/>
    </xf>
    <xf numFmtId="4" fontId="36" fillId="6" borderId="1" xfId="0" applyNumberFormat="1" applyFont="1" applyFill="1" applyBorder="1" applyAlignment="1">
      <alignment horizontal="center" vertical="center"/>
    </xf>
    <xf numFmtId="0" fontId="36" fillId="0" borderId="1" xfId="0" applyFont="1" applyBorder="1" applyAlignment="1">
      <alignment horizontal="left" vertical="center"/>
    </xf>
    <xf numFmtId="0" fontId="36" fillId="0" borderId="1" xfId="0" applyFont="1" applyFill="1" applyBorder="1" applyAlignment="1">
      <alignment horizontal="center" vertical="center"/>
    </xf>
    <xf numFmtId="4" fontId="36" fillId="0" borderId="1" xfId="0" applyNumberFormat="1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 wrapText="1"/>
    </xf>
    <xf numFmtId="1" fontId="36" fillId="0" borderId="1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5" fillId="0" borderId="0" xfId="0" applyFont="1"/>
    <xf numFmtId="0" fontId="35" fillId="0" borderId="0" xfId="0" applyFont="1" applyAlignment="1">
      <alignment horizontal="center"/>
    </xf>
    <xf numFmtId="4" fontId="35" fillId="0" borderId="0" xfId="0" applyNumberFormat="1" applyFont="1" applyAlignment="1">
      <alignment horizontal="right"/>
    </xf>
    <xf numFmtId="0" fontId="42" fillId="0" borderId="0" xfId="0" applyFont="1" applyAlignment="1">
      <alignment horizontal="left" vertical="center"/>
    </xf>
    <xf numFmtId="187" fontId="35" fillId="0" borderId="0" xfId="0" applyNumberFormat="1" applyFont="1" applyAlignment="1">
      <alignment horizontal="left"/>
    </xf>
    <xf numFmtId="188" fontId="41" fillId="0" borderId="2" xfId="0" applyNumberFormat="1" applyFont="1" applyBorder="1" applyAlignment="1">
      <alignment horizontal="center" vertical="center"/>
    </xf>
    <xf numFmtId="4" fontId="35" fillId="0" borderId="2" xfId="0" applyNumberFormat="1" applyFont="1" applyBorder="1" applyAlignment="1">
      <alignment horizontal="center"/>
    </xf>
    <xf numFmtId="0" fontId="35" fillId="3" borderId="3" xfId="0" applyFont="1" applyFill="1" applyBorder="1" applyAlignment="1">
      <alignment horizontal="center" vertical="center"/>
    </xf>
    <xf numFmtId="187" fontId="35" fillId="3" borderId="3" xfId="0" applyNumberFormat="1" applyFont="1" applyFill="1" applyBorder="1" applyAlignment="1">
      <alignment horizontal="center" vertical="center"/>
    </xf>
    <xf numFmtId="1" fontId="35" fillId="3" borderId="3" xfId="0" applyNumberFormat="1" applyFont="1" applyFill="1" applyBorder="1" applyAlignment="1">
      <alignment horizontal="center" vertical="center"/>
    </xf>
    <xf numFmtId="4" fontId="35" fillId="3" borderId="3" xfId="0" applyNumberFormat="1" applyFont="1" applyFill="1" applyBorder="1" applyAlignment="1">
      <alignment horizontal="center" vertical="center"/>
    </xf>
    <xf numFmtId="0" fontId="35" fillId="3" borderId="4" xfId="0" applyFont="1" applyFill="1" applyBorder="1" applyAlignment="1">
      <alignment horizontal="center" vertical="center"/>
    </xf>
    <xf numFmtId="187" fontId="35" fillId="3" borderId="4" xfId="0" applyNumberFormat="1" applyFont="1" applyFill="1" applyBorder="1" applyAlignment="1">
      <alignment horizontal="center" vertical="center"/>
    </xf>
    <xf numFmtId="1" fontId="35" fillId="3" borderId="4" xfId="0" applyNumberFormat="1" applyFont="1" applyFill="1" applyBorder="1" applyAlignment="1">
      <alignment horizontal="center" vertical="center"/>
    </xf>
    <xf numFmtId="1" fontId="35" fillId="3" borderId="24" xfId="0" applyNumberFormat="1" applyFont="1" applyFill="1" applyBorder="1" applyAlignment="1">
      <alignment horizontal="center" vertical="center"/>
    </xf>
    <xf numFmtId="0" fontId="35" fillId="3" borderId="24" xfId="0" applyFont="1" applyFill="1" applyBorder="1" applyAlignment="1">
      <alignment horizontal="center" vertical="center"/>
    </xf>
    <xf numFmtId="4" fontId="35" fillId="3" borderId="24" xfId="0" applyNumberFormat="1" applyFont="1" applyFill="1" applyBorder="1" applyAlignment="1">
      <alignment horizontal="center" vertical="center"/>
    </xf>
    <xf numFmtId="0" fontId="35" fillId="0" borderId="1" xfId="0" quotePrefix="1" applyFont="1" applyBorder="1" applyAlignment="1">
      <alignment horizontal="center" vertical="center"/>
    </xf>
    <xf numFmtId="187" fontId="35" fillId="0" borderId="1" xfId="0" applyNumberFormat="1" applyFont="1" applyBorder="1" applyAlignment="1">
      <alignment horizontal="center" vertical="center"/>
    </xf>
    <xf numFmtId="1" fontId="35" fillId="0" borderId="5" xfId="0" applyNumberFormat="1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0" fontId="35" fillId="0" borderId="7" xfId="0" applyFont="1" applyBorder="1" applyAlignment="1">
      <alignment horizontal="left" vertical="center"/>
    </xf>
    <xf numFmtId="0" fontId="35" fillId="0" borderId="7" xfId="0" applyFont="1" applyBorder="1" applyAlignment="1">
      <alignment horizontal="center" vertical="center"/>
    </xf>
    <xf numFmtId="1" fontId="43" fillId="0" borderId="5" xfId="0" applyNumberFormat="1" applyFont="1" applyBorder="1" applyAlignment="1">
      <alignment horizontal="center" vertical="center"/>
    </xf>
    <xf numFmtId="4" fontId="35" fillId="2" borderId="3" xfId="0" applyNumberFormat="1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4" fontId="35" fillId="2" borderId="4" xfId="0" applyNumberFormat="1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36" fillId="0" borderId="7" xfId="0" applyFont="1" applyBorder="1" applyAlignment="1">
      <alignment horizontal="left" vertical="center"/>
    </xf>
    <xf numFmtId="0" fontId="36" fillId="0" borderId="4" xfId="0" applyFont="1" applyBorder="1" applyAlignment="1">
      <alignment horizontal="center" vertical="center"/>
    </xf>
    <xf numFmtId="4" fontId="36" fillId="0" borderId="4" xfId="0" applyNumberFormat="1" applyFont="1" applyBorder="1" applyAlignment="1">
      <alignment horizontal="center" vertical="center"/>
    </xf>
    <xf numFmtId="4" fontId="35" fillId="2" borderId="1" xfId="0" applyNumberFormat="1" applyFont="1" applyFill="1" applyBorder="1" applyAlignment="1">
      <alignment horizontal="center" vertical="center"/>
    </xf>
    <xf numFmtId="4" fontId="44" fillId="2" borderId="1" xfId="0" applyNumberFormat="1" applyFont="1" applyFill="1" applyBorder="1" applyAlignment="1">
      <alignment horizontal="center" vertical="center"/>
    </xf>
    <xf numFmtId="0" fontId="44" fillId="2" borderId="1" xfId="0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0" xfId="0" quotePrefix="1" applyFont="1" applyAlignment="1">
      <alignment horizontal="center" vertical="center"/>
    </xf>
    <xf numFmtId="4" fontId="44" fillId="0" borderId="0" xfId="0" applyNumberFormat="1" applyFont="1" applyAlignment="1">
      <alignment horizontal="center" vertical="center"/>
    </xf>
    <xf numFmtId="0" fontId="45" fillId="0" borderId="0" xfId="0" applyFont="1" applyAlignment="1">
      <alignment horizontal="left" vertical="center"/>
    </xf>
    <xf numFmtId="188" fontId="35" fillId="0" borderId="2" xfId="0" applyNumberFormat="1" applyFont="1" applyBorder="1" applyAlignment="1">
      <alignment horizontal="center" vertical="center"/>
    </xf>
    <xf numFmtId="187" fontId="36" fillId="0" borderId="1" xfId="0" applyNumberFormat="1" applyFont="1" applyBorder="1" applyAlignment="1">
      <alignment horizontal="center" vertical="center"/>
    </xf>
    <xf numFmtId="1" fontId="36" fillId="0" borderId="5" xfId="0" applyNumberFormat="1" applyFont="1" applyBorder="1" applyAlignment="1">
      <alignment horizontal="center" vertical="center"/>
    </xf>
    <xf numFmtId="4" fontId="35" fillId="2" borderId="24" xfId="0" applyNumberFormat="1" applyFont="1" applyFill="1" applyBorder="1" applyAlignment="1">
      <alignment horizontal="center" vertical="center"/>
    </xf>
    <xf numFmtId="0" fontId="35" fillId="2" borderId="3" xfId="0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left" vertical="center"/>
    </xf>
    <xf numFmtId="1" fontId="43" fillId="0" borderId="1" xfId="0" applyNumberFormat="1" applyFont="1" applyBorder="1" applyAlignment="1">
      <alignment horizontal="center" vertical="center"/>
    </xf>
    <xf numFmtId="4" fontId="46" fillId="0" borderId="1" xfId="0" applyNumberFormat="1" applyFont="1" applyBorder="1" applyAlignment="1">
      <alignment horizontal="center" vertical="center"/>
    </xf>
    <xf numFmtId="1" fontId="43" fillId="0" borderId="4" xfId="0" applyNumberFormat="1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4" fontId="35" fillId="0" borderId="4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4" fontId="35" fillId="0" borderId="1" xfId="0" applyNumberFormat="1" applyFont="1" applyBorder="1" applyAlignment="1">
      <alignment horizontal="center" vertical="center"/>
    </xf>
    <xf numFmtId="0" fontId="36" fillId="0" borderId="48" xfId="0" applyFont="1" applyBorder="1" applyAlignment="1">
      <alignment horizontal="center" vertical="center" wrapText="1"/>
    </xf>
    <xf numFmtId="4" fontId="35" fillId="3" borderId="4" xfId="0" applyNumberFormat="1" applyFont="1" applyFill="1" applyBorder="1" applyAlignment="1">
      <alignment horizontal="center" vertical="center"/>
    </xf>
    <xf numFmtId="4" fontId="46" fillId="0" borderId="4" xfId="0" applyNumberFormat="1" applyFont="1" applyBorder="1" applyAlignment="1">
      <alignment horizontal="center" vertical="center"/>
    </xf>
    <xf numFmtId="0" fontId="36" fillId="0" borderId="1" xfId="0" quotePrefix="1" applyFont="1" applyBorder="1" applyAlignment="1">
      <alignment horizontal="center" vertical="center"/>
    </xf>
    <xf numFmtId="1" fontId="37" fillId="0" borderId="5" xfId="0" applyNumberFormat="1" applyFont="1" applyBorder="1" applyAlignment="1">
      <alignment horizontal="center" vertical="center"/>
    </xf>
    <xf numFmtId="1" fontId="37" fillId="0" borderId="1" xfId="0" applyNumberFormat="1" applyFont="1" applyBorder="1" applyAlignment="1">
      <alignment horizontal="center" vertical="center"/>
    </xf>
    <xf numFmtId="0" fontId="35" fillId="2" borderId="4" xfId="0" applyFont="1" applyFill="1" applyBorder="1" applyAlignment="1">
      <alignment horizontal="center" vertical="center"/>
    </xf>
    <xf numFmtId="4" fontId="39" fillId="5" borderId="1" xfId="0" applyNumberFormat="1" applyFont="1" applyFill="1" applyBorder="1" applyAlignment="1">
      <alignment horizontal="center" vertical="center"/>
    </xf>
    <xf numFmtId="0" fontId="39" fillId="5" borderId="1" xfId="0" applyFont="1" applyFill="1" applyBorder="1" applyAlignment="1">
      <alignment horizontal="center" vertical="center"/>
    </xf>
    <xf numFmtId="187" fontId="35" fillId="0" borderId="0" xfId="0" applyNumberFormat="1" applyFont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4" fontId="35" fillId="0" borderId="0" xfId="0" applyNumberFormat="1" applyFont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4" fontId="36" fillId="2" borderId="1" xfId="0" applyNumberFormat="1" applyFont="1" applyFill="1" applyBorder="1" applyAlignment="1">
      <alignment horizontal="center" vertical="center"/>
    </xf>
    <xf numFmtId="0" fontId="36" fillId="0" borderId="7" xfId="0" applyFont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/>
    </xf>
    <xf numFmtId="43" fontId="47" fillId="15" borderId="0" xfId="0" applyNumberFormat="1" applyFont="1" applyFill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43" fontId="12" fillId="7" borderId="29" xfId="0" applyNumberFormat="1" applyFont="1" applyFill="1" applyBorder="1" applyAlignment="1">
      <alignment vertical="center"/>
    </xf>
    <xf numFmtId="43" fontId="5" fillId="0" borderId="35" xfId="1" applyFont="1" applyBorder="1" applyAlignment="1">
      <alignment horizontal="center" vertical="center"/>
    </xf>
    <xf numFmtId="188" fontId="3" fillId="0" borderId="2" xfId="0" applyNumberFormat="1" applyFont="1" applyBorder="1" applyAlignment="1">
      <alignment horizontal="center" vertical="center"/>
    </xf>
    <xf numFmtId="187" fontId="9" fillId="0" borderId="0" xfId="0" applyNumberFormat="1" applyFont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187" fontId="3" fillId="0" borderId="2" xfId="0" applyNumberFormat="1" applyFont="1" applyBorder="1" applyAlignment="1">
      <alignment horizontal="left"/>
    </xf>
    <xf numFmtId="0" fontId="3" fillId="2" borderId="5" xfId="0" quotePrefix="1" applyFont="1" applyFill="1" applyBorder="1" applyAlignment="1">
      <alignment horizontal="center" vertical="center"/>
    </xf>
    <xf numFmtId="0" fontId="3" fillId="2" borderId="6" xfId="0" quotePrefix="1" applyFont="1" applyFill="1" applyBorder="1" applyAlignment="1">
      <alignment horizontal="center" vertical="center"/>
    </xf>
    <xf numFmtId="0" fontId="3" fillId="2" borderId="7" xfId="0" quotePrefix="1" applyFont="1" applyFill="1" applyBorder="1" applyAlignment="1">
      <alignment horizontal="center" vertical="center"/>
    </xf>
    <xf numFmtId="0" fontId="12" fillId="2" borderId="5" xfId="0" quotePrefix="1" applyFont="1" applyFill="1" applyBorder="1" applyAlignment="1">
      <alignment horizontal="center" vertical="center"/>
    </xf>
    <xf numFmtId="0" fontId="12" fillId="2" borderId="6" xfId="0" quotePrefix="1" applyFont="1" applyFill="1" applyBorder="1" applyAlignment="1">
      <alignment horizontal="center" vertical="center"/>
    </xf>
    <xf numFmtId="0" fontId="12" fillId="2" borderId="7" xfId="0" quotePrefix="1" applyFont="1" applyFill="1" applyBorder="1" applyAlignment="1">
      <alignment horizontal="center" vertical="center"/>
    </xf>
    <xf numFmtId="187" fontId="3" fillId="0" borderId="0" xfId="0" applyNumberFormat="1" applyFont="1" applyAlignment="1">
      <alignment horizontal="left"/>
    </xf>
    <xf numFmtId="187" fontId="4" fillId="0" borderId="0" xfId="0" applyNumberFormat="1" applyFont="1" applyAlignment="1">
      <alignment horizontal="center" vertical="center"/>
    </xf>
    <xf numFmtId="187" fontId="15" fillId="0" borderId="0" xfId="0" applyNumberFormat="1" applyFont="1" applyAlignment="1">
      <alignment horizontal="left"/>
    </xf>
    <xf numFmtId="187" fontId="15" fillId="0" borderId="2" xfId="0" applyNumberFormat="1" applyFont="1" applyBorder="1" applyAlignment="1">
      <alignment horizontal="left"/>
    </xf>
    <xf numFmtId="188" fontId="15" fillId="0" borderId="2" xfId="0" applyNumberFormat="1" applyFont="1" applyBorder="1" applyAlignment="1">
      <alignment horizontal="center" vertical="center"/>
    </xf>
    <xf numFmtId="187" fontId="21" fillId="0" borderId="0" xfId="0" applyNumberFormat="1" applyFont="1" applyAlignment="1">
      <alignment horizontal="right" vertical="center"/>
    </xf>
    <xf numFmtId="0" fontId="13" fillId="2" borderId="5" xfId="0" quotePrefix="1" applyFont="1" applyFill="1" applyBorder="1" applyAlignment="1">
      <alignment horizontal="center" vertical="center"/>
    </xf>
    <xf numFmtId="0" fontId="13" fillId="2" borderId="6" xfId="0" quotePrefix="1" applyFont="1" applyFill="1" applyBorder="1" applyAlignment="1">
      <alignment horizontal="center" vertical="center"/>
    </xf>
    <xf numFmtId="0" fontId="13" fillId="2" borderId="7" xfId="0" quotePrefix="1" applyFont="1" applyFill="1" applyBorder="1" applyAlignment="1">
      <alignment horizontal="center" vertical="center"/>
    </xf>
    <xf numFmtId="187" fontId="19" fillId="0" borderId="2" xfId="0" applyNumberFormat="1" applyFont="1" applyBorder="1" applyAlignment="1">
      <alignment horizontal="left"/>
    </xf>
    <xf numFmtId="188" fontId="20" fillId="0" borderId="2" xfId="0" applyNumberFormat="1" applyFont="1" applyBorder="1" applyAlignment="1">
      <alignment horizontal="center" vertical="center"/>
    </xf>
    <xf numFmtId="187" fontId="5" fillId="0" borderId="0" xfId="0" applyNumberFormat="1" applyFont="1" applyAlignment="1">
      <alignment horizontal="left" vertical="center"/>
    </xf>
    <xf numFmtId="0" fontId="29" fillId="0" borderId="5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88" fontId="3" fillId="0" borderId="3" xfId="0" applyNumberFormat="1" applyFont="1" applyBorder="1" applyAlignment="1">
      <alignment horizontal="center" vertical="center"/>
    </xf>
    <xf numFmtId="188" fontId="3" fillId="0" borderId="4" xfId="0" applyNumberFormat="1" applyFont="1" applyBorder="1" applyAlignment="1">
      <alignment horizontal="center" vertical="center"/>
    </xf>
    <xf numFmtId="187" fontId="9" fillId="0" borderId="0" xfId="0" applyNumberFormat="1" applyFont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35" fillId="2" borderId="5" xfId="0" quotePrefix="1" applyFont="1" applyFill="1" applyBorder="1" applyAlignment="1">
      <alignment horizontal="center" vertical="center"/>
    </xf>
    <xf numFmtId="0" fontId="35" fillId="2" borderId="6" xfId="0" quotePrefix="1" applyFont="1" applyFill="1" applyBorder="1" applyAlignment="1">
      <alignment horizontal="center" vertical="center"/>
    </xf>
    <xf numFmtId="0" fontId="35" fillId="2" borderId="0" xfId="0" quotePrefix="1" applyFont="1" applyFill="1" applyAlignment="1">
      <alignment horizontal="center" vertical="center"/>
    </xf>
    <xf numFmtId="0" fontId="35" fillId="2" borderId="47" xfId="0" quotePrefix="1" applyFont="1" applyFill="1" applyBorder="1" applyAlignment="1">
      <alignment horizontal="center" vertical="center"/>
    </xf>
    <xf numFmtId="187" fontId="35" fillId="0" borderId="2" xfId="0" applyNumberFormat="1" applyFont="1" applyBorder="1" applyAlignment="1">
      <alignment horizontal="left"/>
    </xf>
    <xf numFmtId="187" fontId="38" fillId="0" borderId="0" xfId="0" applyNumberFormat="1" applyFont="1" applyAlignment="1">
      <alignment horizontal="center" vertical="center"/>
    </xf>
    <xf numFmtId="187" fontId="39" fillId="0" borderId="0" xfId="0" applyNumberFormat="1" applyFont="1" applyAlignment="1">
      <alignment horizontal="center" vertical="center"/>
    </xf>
    <xf numFmtId="0" fontId="35" fillId="2" borderId="46" xfId="0" quotePrefix="1" applyFont="1" applyFill="1" applyBorder="1" applyAlignment="1">
      <alignment horizontal="center" vertical="center"/>
    </xf>
    <xf numFmtId="0" fontId="35" fillId="2" borderId="39" xfId="0" quotePrefix="1" applyFont="1" applyFill="1" applyBorder="1" applyAlignment="1">
      <alignment horizontal="center" vertical="center"/>
    </xf>
    <xf numFmtId="0" fontId="35" fillId="2" borderId="2" xfId="0" quotePrefix="1" applyFont="1" applyFill="1" applyBorder="1" applyAlignment="1">
      <alignment horizontal="center" vertical="center"/>
    </xf>
    <xf numFmtId="0" fontId="35" fillId="2" borderId="48" xfId="0" quotePrefix="1" applyFont="1" applyFill="1" applyBorder="1" applyAlignment="1">
      <alignment horizontal="center" vertical="center"/>
    </xf>
    <xf numFmtId="0" fontId="44" fillId="2" borderId="5" xfId="0" quotePrefix="1" applyFont="1" applyFill="1" applyBorder="1" applyAlignment="1">
      <alignment horizontal="center" vertical="center"/>
    </xf>
    <xf numFmtId="0" fontId="44" fillId="2" borderId="6" xfId="0" quotePrefix="1" applyFont="1" applyFill="1" applyBorder="1" applyAlignment="1">
      <alignment horizontal="center" vertical="center"/>
    </xf>
    <xf numFmtId="0" fontId="44" fillId="2" borderId="7" xfId="0" quotePrefix="1" applyFont="1" applyFill="1" applyBorder="1" applyAlignment="1">
      <alignment horizontal="center" vertical="center"/>
    </xf>
    <xf numFmtId="0" fontId="35" fillId="2" borderId="7" xfId="0" quotePrefix="1" applyFont="1" applyFill="1" applyBorder="1" applyAlignment="1">
      <alignment horizontal="center" vertical="center"/>
    </xf>
    <xf numFmtId="187" fontId="41" fillId="0" borderId="0" xfId="0" applyNumberFormat="1" applyFont="1" applyAlignment="1">
      <alignment horizontal="left"/>
    </xf>
    <xf numFmtId="187" fontId="35" fillId="0" borderId="0" xfId="0" applyNumberFormat="1" applyFont="1" applyAlignment="1">
      <alignment horizontal="left"/>
    </xf>
    <xf numFmtId="0" fontId="35" fillId="2" borderId="1" xfId="0" quotePrefix="1" applyFont="1" applyFill="1" applyBorder="1" applyAlignment="1">
      <alignment horizontal="center" vertical="center"/>
    </xf>
    <xf numFmtId="0" fontId="35" fillId="2" borderId="3" xfId="0" quotePrefix="1" applyFont="1" applyFill="1" applyBorder="1" applyAlignment="1">
      <alignment horizontal="center" vertical="center"/>
    </xf>
    <xf numFmtId="0" fontId="35" fillId="2" borderId="32" xfId="0" quotePrefix="1" applyFont="1" applyFill="1" applyBorder="1" applyAlignment="1">
      <alignment horizontal="center" vertical="center"/>
    </xf>
    <xf numFmtId="0" fontId="35" fillId="2" borderId="49" xfId="0" quotePrefix="1" applyFont="1" applyFill="1" applyBorder="1" applyAlignment="1">
      <alignment horizontal="center" vertical="center"/>
    </xf>
    <xf numFmtId="0" fontId="39" fillId="5" borderId="1" xfId="0" quotePrefix="1" applyFont="1" applyFill="1" applyBorder="1" applyAlignment="1">
      <alignment horizontal="center" vertical="center"/>
    </xf>
    <xf numFmtId="0" fontId="35" fillId="2" borderId="0" xfId="0" quotePrefix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48" xfId="0" quotePrefix="1" applyFont="1" applyFill="1" applyBorder="1" applyAlignment="1">
      <alignment horizontal="center" vertical="center"/>
    </xf>
    <xf numFmtId="0" fontId="3" fillId="2" borderId="46" xfId="0" quotePrefix="1" applyFont="1" applyFill="1" applyBorder="1" applyAlignment="1">
      <alignment horizontal="center" vertical="center"/>
    </xf>
    <xf numFmtId="0" fontId="3" fillId="2" borderId="39" xfId="0" quotePrefix="1" applyFont="1" applyFill="1" applyBorder="1" applyAlignment="1">
      <alignment horizontal="center" vertical="center"/>
    </xf>
    <xf numFmtId="0" fontId="3" fillId="2" borderId="0" xfId="0" quotePrefix="1" applyFont="1" applyFill="1" applyAlignment="1">
      <alignment horizontal="center" vertical="center"/>
    </xf>
    <xf numFmtId="0" fontId="3" fillId="2" borderId="47" xfId="0" quotePrefix="1" applyFont="1" applyFill="1" applyBorder="1" applyAlignment="1">
      <alignment horizontal="center" vertical="center"/>
    </xf>
    <xf numFmtId="0" fontId="19" fillId="2" borderId="1" xfId="0" quotePrefix="1" applyFont="1" applyFill="1" applyBorder="1" applyAlignment="1">
      <alignment horizontal="center" vertical="center"/>
    </xf>
    <xf numFmtId="0" fontId="3" fillId="2" borderId="49" xfId="0" quotePrefix="1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  <xf numFmtId="0" fontId="3" fillId="2" borderId="3" xfId="0" quotePrefix="1" applyFont="1" applyFill="1" applyBorder="1" applyAlignment="1">
      <alignment horizontal="center" vertical="center"/>
    </xf>
    <xf numFmtId="0" fontId="3" fillId="2" borderId="32" xfId="0" quotePrefix="1" applyFont="1" applyFill="1" applyBorder="1" applyAlignment="1">
      <alignment horizontal="center" vertical="center"/>
    </xf>
    <xf numFmtId="0" fontId="9" fillId="5" borderId="1" xfId="0" quotePrefix="1" applyFont="1" applyFill="1" applyBorder="1" applyAlignment="1">
      <alignment horizontal="center" vertical="center"/>
    </xf>
    <xf numFmtId="192" fontId="7" fillId="0" borderId="29" xfId="0" applyNumberFormat="1" applyFont="1" applyBorder="1" applyAlignment="1">
      <alignment horizontal="center" vertical="center"/>
    </xf>
    <xf numFmtId="0" fontId="12" fillId="14" borderId="27" xfId="0" applyFont="1" applyFill="1" applyBorder="1" applyAlignment="1">
      <alignment horizontal="center" vertical="center"/>
    </xf>
    <xf numFmtId="0" fontId="12" fillId="14" borderId="42" xfId="0" applyFont="1" applyFill="1" applyBorder="1" applyAlignment="1">
      <alignment horizontal="center" vertical="center"/>
    </xf>
    <xf numFmtId="0" fontId="12" fillId="14" borderId="38" xfId="0" applyFont="1" applyFill="1" applyBorder="1" applyAlignment="1">
      <alignment horizontal="center" vertical="center"/>
    </xf>
    <xf numFmtId="43" fontId="20" fillId="7" borderId="19" xfId="0" applyNumberFormat="1" applyFont="1" applyFill="1" applyBorder="1" applyAlignment="1">
      <alignment vertical="center"/>
    </xf>
    <xf numFmtId="43" fontId="20" fillId="7" borderId="28" xfId="0" applyNumberFormat="1" applyFont="1" applyFill="1" applyBorder="1" applyAlignment="1">
      <alignment vertical="center"/>
    </xf>
    <xf numFmtId="0" fontId="4" fillId="8" borderId="27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3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12" fillId="14" borderId="61" xfId="0" applyFont="1" applyFill="1" applyBorder="1" applyAlignment="1">
      <alignment horizontal="center" vertical="center"/>
    </xf>
    <xf numFmtId="0" fontId="12" fillId="14" borderId="62" xfId="0" applyFont="1" applyFill="1" applyBorder="1" applyAlignment="1">
      <alignment horizontal="center" vertical="center"/>
    </xf>
    <xf numFmtId="0" fontId="12" fillId="14" borderId="63" xfId="0" applyFont="1" applyFill="1" applyBorder="1" applyAlignment="1">
      <alignment horizontal="center" vertical="center"/>
    </xf>
    <xf numFmtId="193" fontId="7" fillId="0" borderId="25" xfId="0" applyNumberFormat="1" applyFont="1" applyBorder="1" applyAlignment="1">
      <alignment horizontal="center" vertical="center" wrapText="1"/>
    </xf>
    <xf numFmtId="193" fontId="7" fillId="0" borderId="54" xfId="0" applyNumberFormat="1" applyFont="1" applyBorder="1" applyAlignment="1">
      <alignment horizontal="center" vertical="center" wrapText="1"/>
    </xf>
    <xf numFmtId="193" fontId="7" fillId="0" borderId="34" xfId="0" applyNumberFormat="1" applyFont="1" applyBorder="1" applyAlignment="1">
      <alignment horizontal="center" vertical="center" wrapText="1"/>
    </xf>
    <xf numFmtId="193" fontId="7" fillId="0" borderId="64" xfId="0" applyNumberFormat="1" applyFont="1" applyBorder="1" applyAlignment="1">
      <alignment horizontal="center" vertical="center" wrapText="1"/>
    </xf>
    <xf numFmtId="193" fontId="7" fillId="0" borderId="20" xfId="0" applyNumberFormat="1" applyFont="1" applyBorder="1" applyAlignment="1">
      <alignment horizontal="center" vertical="center" wrapText="1"/>
    </xf>
    <xf numFmtId="193" fontId="7" fillId="0" borderId="28" xfId="0" applyNumberFormat="1" applyFont="1" applyBorder="1" applyAlignment="1">
      <alignment horizontal="center" vertical="center" wrapText="1"/>
    </xf>
    <xf numFmtId="0" fontId="4" fillId="11" borderId="57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1" borderId="48" xfId="0" applyFont="1" applyFill="1" applyBorder="1" applyAlignment="1">
      <alignment horizontal="center" vertical="center"/>
    </xf>
    <xf numFmtId="0" fontId="4" fillId="9" borderId="26" xfId="0" applyFont="1" applyFill="1" applyBorder="1" applyAlignment="1">
      <alignment horizontal="center" vertical="center"/>
    </xf>
    <xf numFmtId="0" fontId="4" fillId="9" borderId="18" xfId="0" applyFont="1" applyFill="1" applyBorder="1" applyAlignment="1">
      <alignment horizontal="center" vertical="center"/>
    </xf>
    <xf numFmtId="0" fontId="4" fillId="9" borderId="68" xfId="0" applyFont="1" applyFill="1" applyBorder="1" applyAlignment="1">
      <alignment horizontal="center" vertical="center"/>
    </xf>
    <xf numFmtId="0" fontId="12" fillId="14" borderId="33" xfId="0" applyFont="1" applyFill="1" applyBorder="1" applyAlignment="1">
      <alignment horizontal="center" vertical="center"/>
    </xf>
    <xf numFmtId="0" fontId="12" fillId="14" borderId="72" xfId="0" applyFont="1" applyFill="1" applyBorder="1" applyAlignment="1">
      <alignment horizontal="center" vertical="center"/>
    </xf>
    <xf numFmtId="0" fontId="4" fillId="10" borderId="26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10" borderId="68" xfId="0" applyFont="1" applyFill="1" applyBorder="1" applyAlignment="1">
      <alignment horizontal="center" vertical="center"/>
    </xf>
    <xf numFmtId="0" fontId="12" fillId="7" borderId="19" xfId="0" applyFont="1" applyFill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29" xfId="0" applyFont="1" applyFill="1" applyBorder="1" applyAlignment="1">
      <alignment horizontal="center" vertical="center"/>
    </xf>
    <xf numFmtId="43" fontId="12" fillId="7" borderId="19" xfId="0" applyNumberFormat="1" applyFont="1" applyFill="1" applyBorder="1" applyAlignment="1">
      <alignment vertical="center"/>
    </xf>
    <xf numFmtId="43" fontId="12" fillId="7" borderId="28" xfId="0" applyNumberFormat="1" applyFont="1" applyFill="1" applyBorder="1" applyAlignment="1">
      <alignment vertical="center"/>
    </xf>
    <xf numFmtId="193" fontId="7" fillId="0" borderId="56" xfId="0" applyNumberFormat="1" applyFont="1" applyBorder="1" applyAlignment="1">
      <alignment horizontal="center" vertical="center" wrapText="1"/>
    </xf>
    <xf numFmtId="43" fontId="7" fillId="0" borderId="43" xfId="0" applyNumberFormat="1" applyFont="1" applyBorder="1" applyAlignment="1">
      <alignment vertical="center"/>
    </xf>
    <xf numFmtId="43" fontId="7" fillId="0" borderId="44" xfId="0" applyNumberFormat="1" applyFont="1" applyBorder="1" applyAlignment="1">
      <alignment vertical="center"/>
    </xf>
    <xf numFmtId="43" fontId="5" fillId="0" borderId="43" xfId="0" applyNumberFormat="1" applyFont="1" applyBorder="1" applyAlignment="1">
      <alignment vertical="center"/>
    </xf>
    <xf numFmtId="43" fontId="5" fillId="0" borderId="44" xfId="0" applyNumberFormat="1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55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right"/>
    </xf>
    <xf numFmtId="43" fontId="31" fillId="8" borderId="27" xfId="0" applyNumberFormat="1" applyFont="1" applyFill="1" applyBorder="1" applyAlignment="1">
      <alignment horizontal="center" vertical="center"/>
    </xf>
    <xf numFmtId="43" fontId="31" fillId="8" borderId="42" xfId="0" applyNumberFormat="1" applyFont="1" applyFill="1" applyBorder="1" applyAlignment="1">
      <alignment horizontal="center" vertical="center"/>
    </xf>
    <xf numFmtId="43" fontId="31" fillId="8" borderId="38" xfId="0" applyNumberFormat="1" applyFont="1" applyFill="1" applyBorder="1" applyAlignment="1">
      <alignment horizontal="center" vertical="center"/>
    </xf>
    <xf numFmtId="43" fontId="32" fillId="7" borderId="29" xfId="0" applyNumberFormat="1" applyFont="1" applyFill="1" applyBorder="1" applyAlignment="1">
      <alignment vertical="center"/>
    </xf>
    <xf numFmtId="43" fontId="32" fillId="7" borderId="44" xfId="0" applyNumberFormat="1" applyFont="1" applyFill="1" applyBorder="1" applyAlignment="1">
      <alignment vertical="center"/>
    </xf>
    <xf numFmtId="193" fontId="7" fillId="0" borderId="53" xfId="0" applyNumberFormat="1" applyFont="1" applyBorder="1" applyAlignment="1">
      <alignment horizontal="center" vertical="center" wrapText="1"/>
    </xf>
    <xf numFmtId="193" fontId="7" fillId="0" borderId="74" xfId="0" applyNumberFormat="1" applyFont="1" applyBorder="1" applyAlignment="1">
      <alignment horizontal="center" vertical="center" wrapText="1"/>
    </xf>
    <xf numFmtId="0" fontId="7" fillId="11" borderId="57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9" borderId="26" xfId="0" applyFont="1" applyFill="1" applyBorder="1" applyAlignment="1">
      <alignment horizontal="center" vertical="center"/>
    </xf>
    <xf numFmtId="0" fontId="7" fillId="9" borderId="18" xfId="0" applyFont="1" applyFill="1" applyBorder="1" applyAlignment="1">
      <alignment horizontal="center" vertical="center"/>
    </xf>
    <xf numFmtId="0" fontId="7" fillId="12" borderId="57" xfId="0" applyFont="1" applyFill="1" applyBorder="1" applyAlignment="1">
      <alignment horizontal="center" vertical="center"/>
    </xf>
    <xf numFmtId="0" fontId="7" fillId="12" borderId="58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10" borderId="26" xfId="0" applyFont="1" applyFill="1" applyBorder="1" applyAlignment="1">
      <alignment horizontal="center" vertical="center"/>
    </xf>
    <xf numFmtId="0" fontId="7" fillId="10" borderId="18" xfId="0" applyFont="1" applyFill="1" applyBorder="1" applyAlignment="1">
      <alignment horizontal="center" vertical="center"/>
    </xf>
    <xf numFmtId="192" fontId="7" fillId="0" borderId="20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190" fontId="5" fillId="0" borderId="21" xfId="0" applyNumberFormat="1" applyFont="1" applyBorder="1" applyAlignment="1">
      <alignment horizontal="center" vertical="center" wrapText="1"/>
    </xf>
    <xf numFmtId="190" fontId="5" fillId="0" borderId="22" xfId="0" applyNumberFormat="1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7" fillId="0" borderId="50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23" fillId="0" borderId="0" xfId="0" applyFont="1"/>
    <xf numFmtId="0" fontId="8" fillId="0" borderId="0" xfId="0" applyFont="1" applyAlignment="1">
      <alignment horizontal="right"/>
    </xf>
    <xf numFmtId="0" fontId="9" fillId="14" borderId="33" xfId="0" applyFont="1" applyFill="1" applyBorder="1" applyAlignment="1">
      <alignment horizontal="center" vertical="center"/>
    </xf>
    <xf numFmtId="0" fontId="9" fillId="14" borderId="72" xfId="0" applyFont="1" applyFill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4" fillId="12" borderId="65" xfId="0" applyFont="1" applyFill="1" applyBorder="1" applyAlignment="1">
      <alignment horizontal="center" vertical="center"/>
    </xf>
    <xf numFmtId="0" fontId="4" fillId="12" borderId="66" xfId="0" applyFont="1" applyFill="1" applyBorder="1" applyAlignment="1">
      <alignment horizontal="center" vertical="center"/>
    </xf>
    <xf numFmtId="0" fontId="4" fillId="12" borderId="67" xfId="0" applyFont="1" applyFill="1" applyBorder="1" applyAlignment="1">
      <alignment horizontal="center" vertical="center"/>
    </xf>
    <xf numFmtId="0" fontId="4" fillId="13" borderId="33" xfId="0" applyFont="1" applyFill="1" applyBorder="1" applyAlignment="1">
      <alignment horizontal="center" vertical="center"/>
    </xf>
    <xf numFmtId="0" fontId="4" fillId="13" borderId="72" xfId="0" applyFont="1" applyFill="1" applyBorder="1" applyAlignment="1">
      <alignment horizontal="center" vertical="center"/>
    </xf>
    <xf numFmtId="0" fontId="4" fillId="13" borderId="73" xfId="0" applyFont="1" applyFill="1" applyBorder="1" applyAlignment="1">
      <alignment horizontal="center" vertical="center"/>
    </xf>
    <xf numFmtId="0" fontId="4" fillId="13" borderId="37" xfId="0" applyFont="1" applyFill="1" applyBorder="1" applyAlignment="1">
      <alignment horizontal="center" vertical="center"/>
    </xf>
    <xf numFmtId="0" fontId="4" fillId="13" borderId="30" xfId="0" applyFont="1" applyFill="1" applyBorder="1" applyAlignment="1">
      <alignment horizontal="center" vertical="center"/>
    </xf>
    <xf numFmtId="0" fontId="4" fillId="13" borderId="70" xfId="0" applyFont="1" applyFill="1" applyBorder="1" applyAlignment="1">
      <alignment horizontal="center" vertical="center"/>
    </xf>
    <xf numFmtId="0" fontId="5" fillId="13" borderId="21" xfId="0" applyFont="1" applyFill="1" applyBorder="1" applyAlignment="1">
      <alignment horizontal="center" vertical="center"/>
    </xf>
    <xf numFmtId="0" fontId="5" fillId="13" borderId="23" xfId="0" applyFont="1" applyFill="1" applyBorder="1" applyAlignment="1">
      <alignment horizontal="center" vertical="center"/>
    </xf>
    <xf numFmtId="43" fontId="28" fillId="0" borderId="43" xfId="0" applyNumberFormat="1" applyFont="1" applyBorder="1" applyAlignment="1">
      <alignment vertical="center"/>
    </xf>
    <xf numFmtId="43" fontId="28" fillId="0" borderId="44" xfId="0" applyNumberFormat="1" applyFont="1" applyBorder="1" applyAlignment="1">
      <alignment vertical="center"/>
    </xf>
    <xf numFmtId="43" fontId="30" fillId="0" borderId="43" xfId="0" applyNumberFormat="1" applyFont="1" applyBorder="1" applyAlignment="1">
      <alignment vertical="center"/>
    </xf>
    <xf numFmtId="43" fontId="30" fillId="0" borderId="44" xfId="0" applyNumberFormat="1" applyFont="1" applyBorder="1" applyAlignment="1">
      <alignment vertical="center"/>
    </xf>
    <xf numFmtId="43" fontId="7" fillId="13" borderId="43" xfId="0" applyNumberFormat="1" applyFont="1" applyFill="1" applyBorder="1" applyAlignment="1">
      <alignment horizontal="center" vertical="center" wrapText="1"/>
    </xf>
    <xf numFmtId="43" fontId="7" fillId="13" borderId="44" xfId="0" applyNumberFormat="1" applyFont="1" applyFill="1" applyBorder="1" applyAlignment="1">
      <alignment horizontal="center" vertical="center" wrapText="1"/>
    </xf>
    <xf numFmtId="43" fontId="7" fillId="13" borderId="43" xfId="0" applyNumberFormat="1" applyFont="1" applyFill="1" applyBorder="1" applyAlignment="1">
      <alignment horizontal="center" vertical="center"/>
    </xf>
    <xf numFmtId="43" fontId="7" fillId="13" borderId="44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CCCCFF"/>
      <color rgb="FFFFCC99"/>
      <color rgb="FFFFD9FF"/>
      <color rgb="FFFFCCFF"/>
      <color rgb="FFCC99FF"/>
      <color rgb="FFFF9933"/>
      <color rgb="FF66FFFF"/>
      <color rgb="FFFFC285"/>
      <color rgb="FFA7FFFF"/>
      <color rgb="FFFFB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0"/>
  <sheetViews>
    <sheetView topLeftCell="A348" zoomScale="150" zoomScaleNormal="150" workbookViewId="0">
      <selection activeCell="H422" sqref="H422"/>
    </sheetView>
  </sheetViews>
  <sheetFormatPr defaultColWidth="9" defaultRowHeight="17.25" x14ac:dyDescent="0.2"/>
  <cols>
    <col min="1" max="1" width="4" style="1" bestFit="1" customWidth="1"/>
    <col min="2" max="2" width="10.625" style="7" customWidth="1"/>
    <col min="3" max="3" width="11.25" style="76" customWidth="1"/>
    <col min="4" max="4" width="17.75" style="1" customWidth="1"/>
    <col min="5" max="5" width="10.625" style="1" customWidth="1"/>
    <col min="6" max="8" width="7.625" style="1" customWidth="1"/>
    <col min="9" max="9" width="18" style="1" customWidth="1"/>
    <col min="10" max="16384" width="9" style="1"/>
  </cols>
  <sheetData>
    <row r="1" spans="1:9" ht="21.95" customHeight="1" x14ac:dyDescent="0.2">
      <c r="A1" s="319" t="s">
        <v>14</v>
      </c>
      <c r="B1" s="319"/>
      <c r="C1" s="319"/>
      <c r="D1" s="319"/>
      <c r="E1" s="319"/>
      <c r="F1" s="319"/>
      <c r="G1" s="319"/>
      <c r="H1" s="319"/>
      <c r="I1" s="319"/>
    </row>
    <row r="2" spans="1:9" s="9" customFormat="1" ht="20.100000000000001" customHeight="1" x14ac:dyDescent="0.2">
      <c r="A2" s="309" t="s">
        <v>86</v>
      </c>
      <c r="B2" s="309"/>
      <c r="C2" s="309"/>
      <c r="D2" s="309"/>
      <c r="E2" s="309"/>
      <c r="F2" s="69" t="s">
        <v>162</v>
      </c>
      <c r="G2" s="32" t="s">
        <v>87</v>
      </c>
      <c r="H2" s="45">
        <v>2569</v>
      </c>
      <c r="I2" s="42"/>
    </row>
    <row r="3" spans="1:9" s="3" customFormat="1" ht="20.100000000000001" customHeight="1" x14ac:dyDescent="0.4">
      <c r="A3" s="320" t="s">
        <v>30</v>
      </c>
      <c r="B3" s="320"/>
      <c r="C3" s="320"/>
      <c r="D3" s="2"/>
      <c r="F3" s="4"/>
      <c r="G3" s="4"/>
      <c r="H3" s="4" t="s">
        <v>21</v>
      </c>
      <c r="I3" s="41">
        <v>1</v>
      </c>
    </row>
    <row r="4" spans="1:9" s="3" customFormat="1" ht="20.100000000000001" customHeight="1" x14ac:dyDescent="0.4">
      <c r="A4" s="321" t="s">
        <v>59</v>
      </c>
      <c r="B4" s="321"/>
      <c r="C4" s="321"/>
      <c r="D4" s="2"/>
      <c r="E4" s="39" t="s">
        <v>81</v>
      </c>
      <c r="F4" s="322">
        <v>46107</v>
      </c>
      <c r="G4" s="322"/>
      <c r="H4" s="39" t="s">
        <v>82</v>
      </c>
      <c r="I4" s="36">
        <v>46136</v>
      </c>
    </row>
    <row r="5" spans="1:9" x14ac:dyDescent="0.2">
      <c r="A5" s="12" t="s">
        <v>23</v>
      </c>
      <c r="B5" s="13" t="s">
        <v>11</v>
      </c>
      <c r="C5" s="72" t="s">
        <v>26</v>
      </c>
      <c r="D5" s="12" t="s">
        <v>16</v>
      </c>
      <c r="E5" s="12" t="s">
        <v>17</v>
      </c>
      <c r="F5" s="310" t="s">
        <v>46</v>
      </c>
      <c r="G5" s="310"/>
      <c r="H5" s="310"/>
      <c r="I5" s="12" t="s">
        <v>19</v>
      </c>
    </row>
    <row r="6" spans="1:9" x14ac:dyDescent="0.2">
      <c r="A6" s="15"/>
      <c r="B6" s="16"/>
      <c r="C6" s="73"/>
      <c r="D6" s="15"/>
      <c r="E6" s="15"/>
      <c r="F6" s="21" t="s">
        <v>113</v>
      </c>
      <c r="G6" s="21" t="s">
        <v>114</v>
      </c>
      <c r="H6" s="21" t="s">
        <v>20</v>
      </c>
      <c r="I6" s="15"/>
    </row>
    <row r="7" spans="1:9" x14ac:dyDescent="0.2">
      <c r="A7" s="8" t="s">
        <v>0</v>
      </c>
      <c r="B7" s="5">
        <v>46107</v>
      </c>
      <c r="C7" s="74" t="s">
        <v>163</v>
      </c>
      <c r="D7" s="6" t="s">
        <v>164</v>
      </c>
      <c r="E7" s="6" t="s">
        <v>165</v>
      </c>
      <c r="F7" s="6">
        <v>1</v>
      </c>
      <c r="G7" s="6"/>
      <c r="H7" s="6">
        <v>6</v>
      </c>
      <c r="I7" s="6"/>
    </row>
    <row r="8" spans="1:9" x14ac:dyDescent="0.2">
      <c r="A8" s="8" t="s">
        <v>1</v>
      </c>
      <c r="B8" s="5"/>
      <c r="C8" s="74" t="s">
        <v>166</v>
      </c>
      <c r="D8" s="6" t="s">
        <v>167</v>
      </c>
      <c r="E8" s="6" t="s">
        <v>168</v>
      </c>
      <c r="F8" s="6">
        <v>1</v>
      </c>
      <c r="G8" s="6"/>
      <c r="H8" s="6">
        <v>4</v>
      </c>
      <c r="I8" s="6"/>
    </row>
    <row r="9" spans="1:9" x14ac:dyDescent="0.2">
      <c r="A9" s="8" t="s">
        <v>2</v>
      </c>
      <c r="B9" s="5"/>
      <c r="C9" s="74" t="s">
        <v>169</v>
      </c>
      <c r="D9" s="6" t="s">
        <v>170</v>
      </c>
      <c r="E9" s="6" t="s">
        <v>171</v>
      </c>
      <c r="F9" s="6">
        <v>1</v>
      </c>
      <c r="G9" s="6"/>
      <c r="H9" s="6">
        <v>6</v>
      </c>
      <c r="I9" s="6"/>
    </row>
    <row r="10" spans="1:9" x14ac:dyDescent="0.2">
      <c r="A10" s="8" t="s">
        <v>3</v>
      </c>
      <c r="B10" s="5"/>
      <c r="C10" s="74" t="s">
        <v>172</v>
      </c>
      <c r="D10" s="6" t="s">
        <v>173</v>
      </c>
      <c r="E10" s="6" t="s">
        <v>174</v>
      </c>
      <c r="F10" s="6">
        <v>1</v>
      </c>
      <c r="G10" s="6"/>
      <c r="H10" s="6">
        <v>5</v>
      </c>
      <c r="I10" s="6"/>
    </row>
    <row r="11" spans="1:9" x14ac:dyDescent="0.2">
      <c r="A11" s="8" t="s">
        <v>4</v>
      </c>
      <c r="B11" s="5"/>
      <c r="C11" s="74" t="s">
        <v>175</v>
      </c>
      <c r="D11" s="6" t="s">
        <v>170</v>
      </c>
      <c r="E11" s="6" t="s">
        <v>171</v>
      </c>
      <c r="F11" s="6">
        <v>1</v>
      </c>
      <c r="G11" s="6"/>
      <c r="H11" s="6">
        <v>6</v>
      </c>
      <c r="I11" s="6"/>
    </row>
    <row r="12" spans="1:9" x14ac:dyDescent="0.2">
      <c r="A12" s="8" t="s">
        <v>5</v>
      </c>
      <c r="B12" s="5"/>
      <c r="C12" s="74" t="s">
        <v>176</v>
      </c>
      <c r="D12" s="6" t="s">
        <v>170</v>
      </c>
      <c r="E12" s="6" t="s">
        <v>171</v>
      </c>
      <c r="F12" s="6"/>
      <c r="G12" s="6">
        <v>1</v>
      </c>
      <c r="H12" s="6">
        <v>2.5</v>
      </c>
      <c r="I12" s="6"/>
    </row>
    <row r="13" spans="1:9" hidden="1" x14ac:dyDescent="0.2">
      <c r="A13" s="8" t="s">
        <v>6</v>
      </c>
      <c r="B13" s="5"/>
      <c r="C13" s="74"/>
      <c r="D13" s="6"/>
      <c r="E13" s="6"/>
      <c r="F13" s="6"/>
      <c r="G13" s="6"/>
      <c r="H13" s="6"/>
      <c r="I13" s="6"/>
    </row>
    <row r="14" spans="1:9" hidden="1" x14ac:dyDescent="0.2">
      <c r="A14" s="8" t="s">
        <v>7</v>
      </c>
      <c r="B14" s="5"/>
      <c r="C14" s="74"/>
      <c r="D14" s="6"/>
      <c r="E14" s="6"/>
      <c r="F14" s="6"/>
      <c r="G14" s="6"/>
      <c r="H14" s="6"/>
      <c r="I14" s="6"/>
    </row>
    <row r="15" spans="1:9" hidden="1" x14ac:dyDescent="0.2">
      <c r="A15" s="8" t="s">
        <v>8</v>
      </c>
      <c r="B15" s="5"/>
      <c r="C15" s="74"/>
      <c r="D15" s="6"/>
      <c r="E15" s="6"/>
      <c r="F15" s="6"/>
      <c r="G15" s="6"/>
      <c r="H15" s="6"/>
      <c r="I15" s="6"/>
    </row>
    <row r="16" spans="1:9" hidden="1" x14ac:dyDescent="0.2">
      <c r="A16" s="8" t="s">
        <v>9</v>
      </c>
      <c r="B16" s="5"/>
      <c r="C16" s="74"/>
      <c r="D16" s="6"/>
      <c r="E16" s="6"/>
      <c r="F16" s="6"/>
      <c r="G16" s="6"/>
      <c r="H16" s="6"/>
      <c r="I16" s="6"/>
    </row>
    <row r="17" spans="1:9" x14ac:dyDescent="0.2">
      <c r="A17" s="312" t="s">
        <v>10</v>
      </c>
      <c r="B17" s="313"/>
      <c r="C17" s="313"/>
      <c r="D17" s="313"/>
      <c r="E17" s="314"/>
      <c r="F17" s="11">
        <f>SUM(F7:F16)</f>
        <v>5</v>
      </c>
      <c r="G17" s="11">
        <f>SUM(G7:G16)</f>
        <v>1</v>
      </c>
      <c r="H17" s="11">
        <f>SUM(H7:H16)</f>
        <v>29.5</v>
      </c>
      <c r="I17" s="11"/>
    </row>
    <row r="18" spans="1:9" x14ac:dyDescent="0.2">
      <c r="A18" s="8" t="s">
        <v>0</v>
      </c>
      <c r="B18" s="5">
        <f>B7+1</f>
        <v>46108</v>
      </c>
      <c r="C18" s="74" t="s">
        <v>240</v>
      </c>
      <c r="D18" s="6" t="s">
        <v>164</v>
      </c>
      <c r="E18" s="6" t="s">
        <v>168</v>
      </c>
      <c r="F18" s="6">
        <v>1</v>
      </c>
      <c r="G18" s="6"/>
      <c r="H18" s="6">
        <v>4</v>
      </c>
      <c r="I18" s="6"/>
    </row>
    <row r="19" spans="1:9" x14ac:dyDescent="0.2">
      <c r="A19" s="8" t="s">
        <v>1</v>
      </c>
      <c r="B19" s="5"/>
      <c r="C19" s="74" t="s">
        <v>241</v>
      </c>
      <c r="D19" s="6" t="s">
        <v>242</v>
      </c>
      <c r="E19" s="6" t="s">
        <v>171</v>
      </c>
      <c r="F19" s="6">
        <v>1</v>
      </c>
      <c r="G19" s="6"/>
      <c r="H19" s="6">
        <v>5</v>
      </c>
      <c r="I19" s="6"/>
    </row>
    <row r="20" spans="1:9" x14ac:dyDescent="0.2">
      <c r="A20" s="8" t="s">
        <v>2</v>
      </c>
      <c r="B20" s="5"/>
      <c r="C20" s="74" t="s">
        <v>243</v>
      </c>
      <c r="D20" s="6" t="s">
        <v>170</v>
      </c>
      <c r="E20" s="6" t="s">
        <v>171</v>
      </c>
      <c r="F20" s="6">
        <v>1</v>
      </c>
      <c r="G20" s="6"/>
      <c r="H20" s="6">
        <v>6</v>
      </c>
      <c r="I20" s="6"/>
    </row>
    <row r="21" spans="1:9" x14ac:dyDescent="0.2">
      <c r="A21" s="8" t="s">
        <v>3</v>
      </c>
      <c r="B21" s="5"/>
      <c r="C21" s="74" t="s">
        <v>244</v>
      </c>
      <c r="D21" s="6" t="s">
        <v>170</v>
      </c>
      <c r="E21" s="6" t="s">
        <v>171</v>
      </c>
      <c r="F21" s="6">
        <v>1</v>
      </c>
      <c r="G21" s="6"/>
      <c r="H21" s="6">
        <v>6</v>
      </c>
      <c r="I21" s="6"/>
    </row>
    <row r="22" spans="1:9" x14ac:dyDescent="0.2">
      <c r="A22" s="8" t="s">
        <v>4</v>
      </c>
      <c r="B22" s="5"/>
      <c r="C22" s="74" t="s">
        <v>245</v>
      </c>
      <c r="D22" s="6" t="s">
        <v>170</v>
      </c>
      <c r="E22" s="6" t="s">
        <v>171</v>
      </c>
      <c r="F22" s="6">
        <v>1</v>
      </c>
      <c r="G22" s="6"/>
      <c r="H22" s="6">
        <v>6</v>
      </c>
      <c r="I22" s="6"/>
    </row>
    <row r="23" spans="1:9" x14ac:dyDescent="0.2">
      <c r="A23" s="8" t="s">
        <v>5</v>
      </c>
      <c r="B23" s="5"/>
      <c r="C23" s="74" t="s">
        <v>246</v>
      </c>
      <c r="D23" s="6" t="s">
        <v>242</v>
      </c>
      <c r="E23" s="6" t="s">
        <v>171</v>
      </c>
      <c r="F23" s="6"/>
      <c r="G23" s="6">
        <v>1</v>
      </c>
      <c r="H23" s="6">
        <v>6</v>
      </c>
      <c r="I23" s="6"/>
    </row>
    <row r="24" spans="1:9" x14ac:dyDescent="0.2">
      <c r="A24" s="8" t="s">
        <v>6</v>
      </c>
      <c r="B24" s="5"/>
      <c r="C24" s="74" t="s">
        <v>247</v>
      </c>
      <c r="D24" s="6" t="s">
        <v>170</v>
      </c>
      <c r="E24" s="6" t="s">
        <v>171</v>
      </c>
      <c r="F24" s="6"/>
      <c r="G24" s="6">
        <v>1</v>
      </c>
      <c r="H24" s="6">
        <v>6</v>
      </c>
      <c r="I24" s="6"/>
    </row>
    <row r="25" spans="1:9" x14ac:dyDescent="0.2">
      <c r="A25" s="8" t="s">
        <v>7</v>
      </c>
      <c r="B25" s="5"/>
      <c r="C25" s="74" t="s">
        <v>248</v>
      </c>
      <c r="D25" s="6" t="s">
        <v>170</v>
      </c>
      <c r="E25" s="6" t="s">
        <v>171</v>
      </c>
      <c r="F25" s="6"/>
      <c r="G25" s="6">
        <v>1</v>
      </c>
      <c r="H25" s="6">
        <v>6</v>
      </c>
      <c r="I25" s="6"/>
    </row>
    <row r="26" spans="1:9" hidden="1" x14ac:dyDescent="0.2">
      <c r="A26" s="8" t="s">
        <v>8</v>
      </c>
      <c r="B26" s="5"/>
      <c r="C26" s="74"/>
      <c r="D26" s="6"/>
      <c r="E26" s="6"/>
      <c r="F26" s="6"/>
      <c r="G26" s="6"/>
      <c r="H26" s="6"/>
      <c r="I26" s="6"/>
    </row>
    <row r="27" spans="1:9" hidden="1" x14ac:dyDescent="0.2">
      <c r="A27" s="8" t="s">
        <v>9</v>
      </c>
      <c r="B27" s="5"/>
      <c r="C27" s="74"/>
      <c r="D27" s="6"/>
      <c r="E27" s="6"/>
      <c r="F27" s="6"/>
      <c r="G27" s="6"/>
      <c r="H27" s="6"/>
      <c r="I27" s="6"/>
    </row>
    <row r="28" spans="1:9" x14ac:dyDescent="0.2">
      <c r="A28" s="312" t="s">
        <v>10</v>
      </c>
      <c r="B28" s="313"/>
      <c r="C28" s="313"/>
      <c r="D28" s="313"/>
      <c r="E28" s="314"/>
      <c r="F28" s="11">
        <f>SUM(F18:F27)</f>
        <v>5</v>
      </c>
      <c r="G28" s="11">
        <f>SUM(G18:G27)</f>
        <v>3</v>
      </c>
      <c r="H28" s="11">
        <f>SUM(H18:H27)</f>
        <v>45</v>
      </c>
      <c r="I28" s="11"/>
    </row>
    <row r="29" spans="1:9" x14ac:dyDescent="0.2">
      <c r="A29" s="8" t="s">
        <v>0</v>
      </c>
      <c r="B29" s="5">
        <f>B18+1</f>
        <v>46109</v>
      </c>
      <c r="C29" s="74" t="s">
        <v>331</v>
      </c>
      <c r="D29" s="6" t="s">
        <v>332</v>
      </c>
      <c r="E29" s="6" t="s">
        <v>216</v>
      </c>
      <c r="F29" s="6">
        <v>1</v>
      </c>
      <c r="G29" s="6"/>
      <c r="H29" s="6">
        <v>4.5</v>
      </c>
      <c r="I29" s="6"/>
    </row>
    <row r="30" spans="1:9" x14ac:dyDescent="0.2">
      <c r="A30" s="8" t="s">
        <v>1</v>
      </c>
      <c r="B30" s="5"/>
      <c r="C30" s="74" t="s">
        <v>333</v>
      </c>
      <c r="D30" s="6" t="s">
        <v>334</v>
      </c>
      <c r="E30" s="6" t="s">
        <v>168</v>
      </c>
      <c r="F30" s="6">
        <v>1</v>
      </c>
      <c r="G30" s="6"/>
      <c r="H30" s="6">
        <v>2</v>
      </c>
      <c r="I30" s="6"/>
    </row>
    <row r="31" spans="1:9" x14ac:dyDescent="0.2">
      <c r="A31" s="8" t="s">
        <v>2</v>
      </c>
      <c r="B31" s="5"/>
      <c r="C31" s="74" t="s">
        <v>335</v>
      </c>
      <c r="D31" s="6" t="s">
        <v>334</v>
      </c>
      <c r="E31" s="6" t="s">
        <v>168</v>
      </c>
      <c r="F31" s="6">
        <v>1</v>
      </c>
      <c r="G31" s="6"/>
      <c r="H31" s="6">
        <v>2</v>
      </c>
      <c r="I31" s="6"/>
    </row>
    <row r="32" spans="1:9" x14ac:dyDescent="0.2">
      <c r="A32" s="8" t="s">
        <v>3</v>
      </c>
      <c r="B32" s="5"/>
      <c r="C32" s="74" t="s">
        <v>341</v>
      </c>
      <c r="D32" s="6" t="s">
        <v>342</v>
      </c>
      <c r="E32" s="6" t="s">
        <v>165</v>
      </c>
      <c r="F32" s="6">
        <v>1</v>
      </c>
      <c r="G32" s="6"/>
      <c r="H32" s="6">
        <v>5</v>
      </c>
      <c r="I32" s="6"/>
    </row>
    <row r="33" spans="1:9" hidden="1" x14ac:dyDescent="0.2">
      <c r="A33" s="8" t="s">
        <v>4</v>
      </c>
      <c r="B33" s="5"/>
      <c r="C33" s="74"/>
      <c r="D33" s="6"/>
      <c r="E33" s="6"/>
      <c r="F33" s="6"/>
      <c r="G33" s="6"/>
      <c r="H33" s="6"/>
      <c r="I33" s="6"/>
    </row>
    <row r="34" spans="1:9" hidden="1" x14ac:dyDescent="0.2">
      <c r="A34" s="8" t="s">
        <v>5</v>
      </c>
      <c r="B34" s="5"/>
      <c r="C34" s="74"/>
      <c r="D34" s="6"/>
      <c r="E34" s="6"/>
      <c r="F34" s="6"/>
      <c r="G34" s="6"/>
      <c r="H34" s="6"/>
      <c r="I34" s="6"/>
    </row>
    <row r="35" spans="1:9" hidden="1" x14ac:dyDescent="0.2">
      <c r="A35" s="8" t="s">
        <v>6</v>
      </c>
      <c r="B35" s="5"/>
      <c r="C35" s="74"/>
      <c r="D35" s="6"/>
      <c r="E35" s="6"/>
      <c r="F35" s="6"/>
      <c r="G35" s="6"/>
      <c r="H35" s="6"/>
      <c r="I35" s="6"/>
    </row>
    <row r="36" spans="1:9" hidden="1" x14ac:dyDescent="0.2">
      <c r="A36" s="8" t="s">
        <v>7</v>
      </c>
      <c r="B36" s="5"/>
      <c r="C36" s="74"/>
      <c r="D36" s="6"/>
      <c r="E36" s="6"/>
      <c r="F36" s="6"/>
      <c r="G36" s="6"/>
      <c r="H36" s="6"/>
      <c r="I36" s="6"/>
    </row>
    <row r="37" spans="1:9" hidden="1" x14ac:dyDescent="0.2">
      <c r="A37" s="8" t="s">
        <v>8</v>
      </c>
      <c r="B37" s="5"/>
      <c r="C37" s="74"/>
      <c r="D37" s="6"/>
      <c r="E37" s="6"/>
      <c r="F37" s="6"/>
      <c r="G37" s="6"/>
      <c r="H37" s="6"/>
      <c r="I37" s="6"/>
    </row>
    <row r="38" spans="1:9" hidden="1" x14ac:dyDescent="0.2">
      <c r="A38" s="8" t="s">
        <v>9</v>
      </c>
      <c r="B38" s="5"/>
      <c r="C38" s="74"/>
      <c r="D38" s="6"/>
      <c r="E38" s="6"/>
      <c r="F38" s="6"/>
      <c r="G38" s="6"/>
      <c r="H38" s="6"/>
      <c r="I38" s="6"/>
    </row>
    <row r="39" spans="1:9" x14ac:dyDescent="0.2">
      <c r="A39" s="312" t="s">
        <v>10</v>
      </c>
      <c r="B39" s="313"/>
      <c r="C39" s="313"/>
      <c r="D39" s="313"/>
      <c r="E39" s="314"/>
      <c r="F39" s="11">
        <f>SUM(F29:F38)</f>
        <v>4</v>
      </c>
      <c r="G39" s="11">
        <f>SUM(G29:G38)</f>
        <v>0</v>
      </c>
      <c r="H39" s="11">
        <f>SUM(H29:H38)</f>
        <v>13.5</v>
      </c>
      <c r="I39" s="11"/>
    </row>
    <row r="40" spans="1:9" hidden="1" x14ac:dyDescent="0.2">
      <c r="A40" s="8" t="s">
        <v>0</v>
      </c>
      <c r="B40" s="5">
        <f>B29+1</f>
        <v>46110</v>
      </c>
      <c r="C40" s="75"/>
      <c r="D40" s="6"/>
      <c r="E40" s="6"/>
      <c r="F40" s="6"/>
      <c r="G40" s="6"/>
      <c r="H40" s="6"/>
      <c r="I40" s="6"/>
    </row>
    <row r="41" spans="1:9" hidden="1" x14ac:dyDescent="0.2">
      <c r="A41" s="8" t="s">
        <v>1</v>
      </c>
      <c r="B41" s="5"/>
      <c r="C41" s="75"/>
      <c r="D41" s="6"/>
      <c r="E41" s="6"/>
      <c r="F41" s="6"/>
      <c r="G41" s="6"/>
      <c r="H41" s="6"/>
      <c r="I41" s="6"/>
    </row>
    <row r="42" spans="1:9" hidden="1" x14ac:dyDescent="0.2">
      <c r="A42" s="8" t="s">
        <v>2</v>
      </c>
      <c r="B42" s="5"/>
      <c r="C42" s="74"/>
      <c r="D42" s="6"/>
      <c r="E42" s="6"/>
      <c r="F42" s="6"/>
      <c r="G42" s="6"/>
      <c r="H42" s="6"/>
      <c r="I42" s="6"/>
    </row>
    <row r="43" spans="1:9" hidden="1" x14ac:dyDescent="0.2">
      <c r="A43" s="8" t="s">
        <v>3</v>
      </c>
      <c r="B43" s="5"/>
      <c r="C43" s="74"/>
      <c r="D43" s="6"/>
      <c r="E43" s="6"/>
      <c r="F43" s="6"/>
      <c r="G43" s="6"/>
      <c r="H43" s="6"/>
      <c r="I43" s="6"/>
    </row>
    <row r="44" spans="1:9" hidden="1" x14ac:dyDescent="0.2">
      <c r="A44" s="8" t="s">
        <v>4</v>
      </c>
      <c r="B44" s="5"/>
      <c r="C44" s="74"/>
      <c r="D44" s="6"/>
      <c r="E44" s="6"/>
      <c r="F44" s="6"/>
      <c r="G44" s="6"/>
      <c r="H44" s="6"/>
      <c r="I44" s="6"/>
    </row>
    <row r="45" spans="1:9" hidden="1" x14ac:dyDescent="0.2">
      <c r="A45" s="8" t="s">
        <v>5</v>
      </c>
      <c r="B45" s="5"/>
      <c r="C45" s="74"/>
      <c r="D45" s="6"/>
      <c r="E45" s="6"/>
      <c r="F45" s="6"/>
      <c r="G45" s="6"/>
      <c r="H45" s="6"/>
      <c r="I45" s="6"/>
    </row>
    <row r="46" spans="1:9" hidden="1" x14ac:dyDescent="0.2">
      <c r="A46" s="8" t="s">
        <v>6</v>
      </c>
      <c r="B46" s="5"/>
      <c r="C46" s="74"/>
      <c r="D46" s="6"/>
      <c r="E46" s="6"/>
      <c r="F46" s="6"/>
      <c r="G46" s="6"/>
      <c r="H46" s="6"/>
      <c r="I46" s="6"/>
    </row>
    <row r="47" spans="1:9" hidden="1" x14ac:dyDescent="0.2">
      <c r="A47" s="8" t="s">
        <v>7</v>
      </c>
      <c r="B47" s="5"/>
      <c r="C47" s="74"/>
      <c r="D47" s="6"/>
      <c r="E47" s="6"/>
      <c r="F47" s="6"/>
      <c r="G47" s="6"/>
      <c r="H47" s="6"/>
      <c r="I47" s="6"/>
    </row>
    <row r="48" spans="1:9" hidden="1" x14ac:dyDescent="0.2">
      <c r="A48" s="8" t="s">
        <v>8</v>
      </c>
      <c r="B48" s="5"/>
      <c r="C48" s="74"/>
      <c r="D48" s="6"/>
      <c r="E48" s="6"/>
      <c r="F48" s="6"/>
      <c r="G48" s="6"/>
      <c r="H48" s="6"/>
      <c r="I48" s="6"/>
    </row>
    <row r="49" spans="1:9" hidden="1" x14ac:dyDescent="0.2">
      <c r="A49" s="8" t="s">
        <v>9</v>
      </c>
      <c r="B49" s="5"/>
      <c r="C49" s="74"/>
      <c r="D49" s="6"/>
      <c r="E49" s="6"/>
      <c r="F49" s="6"/>
      <c r="G49" s="6"/>
      <c r="H49" s="6"/>
      <c r="I49" s="6"/>
    </row>
    <row r="50" spans="1:9" hidden="1" x14ac:dyDescent="0.2">
      <c r="A50" s="312" t="s">
        <v>10</v>
      </c>
      <c r="B50" s="313"/>
      <c r="C50" s="313"/>
      <c r="D50" s="313"/>
      <c r="E50" s="314"/>
      <c r="F50" s="11">
        <f>SUM(F40:F49)</f>
        <v>0</v>
      </c>
      <c r="G50" s="11">
        <f>SUM(G40:G49)</f>
        <v>0</v>
      </c>
      <c r="H50" s="11">
        <f>SUM(H40:H49)</f>
        <v>0</v>
      </c>
      <c r="I50" s="11"/>
    </row>
    <row r="51" spans="1:9" x14ac:dyDescent="0.2">
      <c r="A51" s="8" t="s">
        <v>0</v>
      </c>
      <c r="B51" s="5">
        <f>B40+1</f>
        <v>46111</v>
      </c>
      <c r="C51" s="74" t="s">
        <v>439</v>
      </c>
      <c r="D51" s="6" t="s">
        <v>250</v>
      </c>
      <c r="E51" s="6" t="s">
        <v>168</v>
      </c>
      <c r="F51" s="6">
        <v>1</v>
      </c>
      <c r="G51" s="6"/>
      <c r="H51" s="6">
        <v>5</v>
      </c>
      <c r="I51" s="6"/>
    </row>
    <row r="52" spans="1:9" x14ac:dyDescent="0.2">
      <c r="A52" s="8" t="s">
        <v>1</v>
      </c>
      <c r="B52" s="5"/>
      <c r="C52" s="74" t="s">
        <v>440</v>
      </c>
      <c r="D52" s="6" t="s">
        <v>347</v>
      </c>
      <c r="E52" s="6" t="s">
        <v>441</v>
      </c>
      <c r="F52" s="6">
        <v>1</v>
      </c>
      <c r="G52" s="6"/>
      <c r="H52" s="6">
        <v>6</v>
      </c>
      <c r="I52" s="6"/>
    </row>
    <row r="53" spans="1:9" x14ac:dyDescent="0.2">
      <c r="A53" s="8" t="s">
        <v>2</v>
      </c>
      <c r="B53" s="5"/>
      <c r="C53" s="74" t="s">
        <v>442</v>
      </c>
      <c r="D53" s="6" t="s">
        <v>170</v>
      </c>
      <c r="E53" s="6" t="s">
        <v>171</v>
      </c>
      <c r="F53" s="6">
        <v>1</v>
      </c>
      <c r="G53" s="6"/>
      <c r="H53" s="6">
        <v>6</v>
      </c>
      <c r="I53" s="6"/>
    </row>
    <row r="54" spans="1:9" x14ac:dyDescent="0.2">
      <c r="A54" s="8" t="s">
        <v>3</v>
      </c>
      <c r="B54" s="5"/>
      <c r="C54" s="74" t="s">
        <v>443</v>
      </c>
      <c r="D54" s="6" t="s">
        <v>334</v>
      </c>
      <c r="E54" s="6" t="s">
        <v>168</v>
      </c>
      <c r="F54" s="6">
        <v>1</v>
      </c>
      <c r="G54" s="6"/>
      <c r="H54" s="6">
        <v>4</v>
      </c>
      <c r="I54" s="6"/>
    </row>
    <row r="55" spans="1:9" x14ac:dyDescent="0.2">
      <c r="A55" s="8" t="s">
        <v>4</v>
      </c>
      <c r="B55" s="5"/>
      <c r="C55" s="74" t="s">
        <v>444</v>
      </c>
      <c r="D55" s="6" t="s">
        <v>170</v>
      </c>
      <c r="E55" s="6" t="s">
        <v>171</v>
      </c>
      <c r="F55" s="6">
        <v>1</v>
      </c>
      <c r="G55" s="6"/>
      <c r="H55" s="6">
        <v>6</v>
      </c>
      <c r="I55" s="6"/>
    </row>
    <row r="56" spans="1:9" x14ac:dyDescent="0.2">
      <c r="A56" s="8" t="s">
        <v>5</v>
      </c>
      <c r="B56" s="5"/>
      <c r="C56" s="74" t="s">
        <v>445</v>
      </c>
      <c r="D56" s="6" t="s">
        <v>446</v>
      </c>
      <c r="E56" s="6" t="s">
        <v>168</v>
      </c>
      <c r="F56" s="6">
        <v>1</v>
      </c>
      <c r="G56" s="6"/>
      <c r="H56" s="6">
        <v>3.5</v>
      </c>
      <c r="I56" s="6"/>
    </row>
    <row r="57" spans="1:9" x14ac:dyDescent="0.2">
      <c r="A57" s="8" t="s">
        <v>6</v>
      </c>
      <c r="B57" s="5"/>
      <c r="C57" s="74" t="s">
        <v>447</v>
      </c>
      <c r="D57" s="6" t="s">
        <v>448</v>
      </c>
      <c r="E57" s="6" t="s">
        <v>165</v>
      </c>
      <c r="F57" s="6"/>
      <c r="G57" s="6">
        <v>1</v>
      </c>
      <c r="H57" s="6">
        <v>6</v>
      </c>
      <c r="I57" s="6"/>
    </row>
    <row r="58" spans="1:9" hidden="1" x14ac:dyDescent="0.2">
      <c r="A58" s="8" t="s">
        <v>7</v>
      </c>
      <c r="B58" s="5"/>
      <c r="C58" s="74"/>
      <c r="D58" s="6"/>
      <c r="E58" s="6"/>
      <c r="F58" s="6"/>
      <c r="G58" s="6"/>
      <c r="H58" s="6"/>
      <c r="I58" s="6"/>
    </row>
    <row r="59" spans="1:9" hidden="1" x14ac:dyDescent="0.2">
      <c r="A59" s="8" t="s">
        <v>8</v>
      </c>
      <c r="B59" s="5"/>
      <c r="C59" s="74"/>
      <c r="D59" s="6"/>
      <c r="E59" s="6"/>
      <c r="F59" s="6"/>
      <c r="G59" s="6"/>
      <c r="H59" s="6"/>
      <c r="I59" s="6"/>
    </row>
    <row r="60" spans="1:9" hidden="1" x14ac:dyDescent="0.2">
      <c r="A60" s="8" t="s">
        <v>9</v>
      </c>
      <c r="B60" s="5"/>
      <c r="C60" s="74"/>
      <c r="D60" s="6"/>
      <c r="E60" s="6"/>
      <c r="F60" s="6"/>
      <c r="G60" s="6"/>
      <c r="H60" s="6"/>
      <c r="I60" s="6"/>
    </row>
    <row r="61" spans="1:9" x14ac:dyDescent="0.2">
      <c r="A61" s="312" t="s">
        <v>10</v>
      </c>
      <c r="B61" s="313"/>
      <c r="C61" s="313"/>
      <c r="D61" s="313"/>
      <c r="E61" s="314"/>
      <c r="F61" s="11">
        <f>SUM(F51:F60)</f>
        <v>6</v>
      </c>
      <c r="G61" s="11">
        <f>SUM(G51:G60)</f>
        <v>1</v>
      </c>
      <c r="H61" s="11">
        <f>SUM(H51:H60)</f>
        <v>36.5</v>
      </c>
      <c r="I61" s="11"/>
    </row>
    <row r="62" spans="1:9" x14ac:dyDescent="0.2">
      <c r="A62" s="8" t="s">
        <v>0</v>
      </c>
      <c r="B62" s="5">
        <f>B51+1</f>
        <v>46112</v>
      </c>
      <c r="C62" s="74" t="s">
        <v>514</v>
      </c>
      <c r="D62" s="6" t="s">
        <v>342</v>
      </c>
      <c r="E62" s="6" t="s">
        <v>165</v>
      </c>
      <c r="F62" s="6">
        <v>1</v>
      </c>
      <c r="G62" s="6"/>
      <c r="H62" s="6">
        <v>6</v>
      </c>
      <c r="I62" s="6"/>
    </row>
    <row r="63" spans="1:9" x14ac:dyDescent="0.2">
      <c r="A63" s="8" t="s">
        <v>1</v>
      </c>
      <c r="B63" s="5"/>
      <c r="C63" s="74" t="s">
        <v>515</v>
      </c>
      <c r="D63" s="6" t="s">
        <v>342</v>
      </c>
      <c r="E63" s="6" t="s">
        <v>165</v>
      </c>
      <c r="F63" s="6">
        <v>1</v>
      </c>
      <c r="G63" s="6"/>
      <c r="H63" s="6">
        <v>6</v>
      </c>
      <c r="I63" s="6"/>
    </row>
    <row r="64" spans="1:9" x14ac:dyDescent="0.2">
      <c r="A64" s="8" t="s">
        <v>2</v>
      </c>
      <c r="B64" s="5"/>
      <c r="C64" s="74" t="s">
        <v>517</v>
      </c>
      <c r="D64" s="6" t="s">
        <v>342</v>
      </c>
      <c r="E64" s="6" t="s">
        <v>165</v>
      </c>
      <c r="F64" s="6">
        <v>1</v>
      </c>
      <c r="G64" s="6"/>
      <c r="H64" s="6">
        <v>4</v>
      </c>
      <c r="I64" s="6"/>
    </row>
    <row r="65" spans="1:9" x14ac:dyDescent="0.2">
      <c r="A65" s="8" t="s">
        <v>3</v>
      </c>
      <c r="B65" s="5"/>
      <c r="C65" s="74" t="s">
        <v>520</v>
      </c>
      <c r="D65" s="6" t="s">
        <v>173</v>
      </c>
      <c r="E65" s="6" t="s">
        <v>441</v>
      </c>
      <c r="F65" s="6">
        <v>1</v>
      </c>
      <c r="G65" s="6"/>
      <c r="H65" s="6">
        <v>6</v>
      </c>
      <c r="I65" s="6"/>
    </row>
    <row r="66" spans="1:9" x14ac:dyDescent="0.2">
      <c r="A66" s="8" t="s">
        <v>4</v>
      </c>
      <c r="B66" s="5"/>
      <c r="C66" s="74" t="s">
        <v>521</v>
      </c>
      <c r="D66" s="6" t="s">
        <v>170</v>
      </c>
      <c r="E66" s="6" t="s">
        <v>171</v>
      </c>
      <c r="F66" s="6">
        <v>1</v>
      </c>
      <c r="G66" s="6"/>
      <c r="H66" s="6">
        <v>6</v>
      </c>
      <c r="I66" s="6"/>
    </row>
    <row r="67" spans="1:9" x14ac:dyDescent="0.2">
      <c r="A67" s="8" t="s">
        <v>5</v>
      </c>
      <c r="B67" s="5"/>
      <c r="C67" s="74" t="s">
        <v>522</v>
      </c>
      <c r="D67" s="6" t="s">
        <v>170</v>
      </c>
      <c r="E67" s="6" t="s">
        <v>171</v>
      </c>
      <c r="F67" s="6">
        <v>1</v>
      </c>
      <c r="G67" s="6"/>
      <c r="H67" s="6">
        <v>6</v>
      </c>
      <c r="I67" s="6"/>
    </row>
    <row r="68" spans="1:9" x14ac:dyDescent="0.2">
      <c r="A68" s="8" t="s">
        <v>6</v>
      </c>
      <c r="B68" s="5"/>
      <c r="C68" s="74" t="s">
        <v>523</v>
      </c>
      <c r="D68" s="6" t="s">
        <v>170</v>
      </c>
      <c r="E68" s="6" t="s">
        <v>171</v>
      </c>
      <c r="F68" s="6"/>
      <c r="G68" s="6">
        <v>1</v>
      </c>
      <c r="H68" s="6">
        <v>6</v>
      </c>
      <c r="I68" s="6"/>
    </row>
    <row r="69" spans="1:9" hidden="1" x14ac:dyDescent="0.2">
      <c r="A69" s="8" t="s">
        <v>7</v>
      </c>
      <c r="B69" s="5"/>
      <c r="C69" s="74"/>
      <c r="D69" s="6"/>
      <c r="E69" s="6"/>
      <c r="F69" s="6"/>
      <c r="G69" s="6"/>
      <c r="H69" s="6"/>
      <c r="I69" s="6"/>
    </row>
    <row r="70" spans="1:9" hidden="1" x14ac:dyDescent="0.2">
      <c r="A70" s="8" t="s">
        <v>8</v>
      </c>
      <c r="B70" s="5"/>
      <c r="C70" s="74"/>
      <c r="D70" s="6"/>
      <c r="E70" s="6"/>
      <c r="F70" s="6"/>
      <c r="G70" s="6"/>
      <c r="H70" s="6"/>
      <c r="I70" s="6"/>
    </row>
    <row r="71" spans="1:9" hidden="1" x14ac:dyDescent="0.2">
      <c r="A71" s="8" t="s">
        <v>9</v>
      </c>
      <c r="B71" s="5"/>
      <c r="C71" s="74"/>
      <c r="D71" s="6"/>
      <c r="E71" s="6"/>
      <c r="F71" s="6"/>
      <c r="G71" s="6"/>
      <c r="H71" s="6"/>
      <c r="I71" s="6"/>
    </row>
    <row r="72" spans="1:9" x14ac:dyDescent="0.2">
      <c r="A72" s="312" t="s">
        <v>10</v>
      </c>
      <c r="B72" s="313"/>
      <c r="C72" s="313"/>
      <c r="D72" s="313"/>
      <c r="E72" s="314"/>
      <c r="F72" s="11">
        <f>SUM(F62:F71)</f>
        <v>6</v>
      </c>
      <c r="G72" s="11">
        <f>SUM(G62:G71)</f>
        <v>1</v>
      </c>
      <c r="H72" s="11">
        <f>SUM(H62:H71)</f>
        <v>40</v>
      </c>
      <c r="I72" s="11"/>
    </row>
    <row r="73" spans="1:9" x14ac:dyDescent="0.2">
      <c r="A73" s="8" t="s">
        <v>0</v>
      </c>
      <c r="B73" s="5">
        <f>B62+1</f>
        <v>46113</v>
      </c>
      <c r="C73" s="74" t="s">
        <v>587</v>
      </c>
      <c r="D73" s="6" t="s">
        <v>188</v>
      </c>
      <c r="E73" s="6" t="s">
        <v>165</v>
      </c>
      <c r="F73" s="6">
        <v>1</v>
      </c>
      <c r="G73" s="6"/>
      <c r="H73" s="6">
        <v>6</v>
      </c>
      <c r="I73" s="6"/>
    </row>
    <row r="74" spans="1:9" x14ac:dyDescent="0.2">
      <c r="A74" s="8" t="s">
        <v>1</v>
      </c>
      <c r="B74" s="5"/>
      <c r="C74" s="74" t="s">
        <v>588</v>
      </c>
      <c r="D74" s="6" t="s">
        <v>188</v>
      </c>
      <c r="E74" s="6" t="s">
        <v>165</v>
      </c>
      <c r="F74" s="6">
        <v>1</v>
      </c>
      <c r="G74" s="6"/>
      <c r="H74" s="6">
        <v>6</v>
      </c>
      <c r="I74" s="6"/>
    </row>
    <row r="75" spans="1:9" x14ac:dyDescent="0.2">
      <c r="A75" s="8" t="s">
        <v>2</v>
      </c>
      <c r="B75" s="5"/>
      <c r="C75" s="74" t="s">
        <v>589</v>
      </c>
      <c r="D75" s="6" t="s">
        <v>188</v>
      </c>
      <c r="E75" s="6" t="s">
        <v>165</v>
      </c>
      <c r="F75" s="6">
        <v>1</v>
      </c>
      <c r="G75" s="6"/>
      <c r="H75" s="6">
        <v>6</v>
      </c>
      <c r="I75" s="6"/>
    </row>
    <row r="76" spans="1:9" x14ac:dyDescent="0.2">
      <c r="A76" s="8" t="s">
        <v>3</v>
      </c>
      <c r="B76" s="5"/>
      <c r="C76" s="74" t="s">
        <v>590</v>
      </c>
      <c r="D76" s="6" t="s">
        <v>173</v>
      </c>
      <c r="E76" s="6" t="s">
        <v>441</v>
      </c>
      <c r="F76" s="6">
        <v>1</v>
      </c>
      <c r="G76" s="6"/>
      <c r="H76" s="6">
        <v>6</v>
      </c>
      <c r="I76" s="6"/>
    </row>
    <row r="77" spans="1:9" x14ac:dyDescent="0.2">
      <c r="A77" s="8" t="s">
        <v>4</v>
      </c>
      <c r="B77" s="5"/>
      <c r="C77" s="74" t="s">
        <v>591</v>
      </c>
      <c r="D77" s="6" t="s">
        <v>202</v>
      </c>
      <c r="E77" s="6" t="s">
        <v>165</v>
      </c>
      <c r="F77" s="6"/>
      <c r="G77" s="6">
        <v>1</v>
      </c>
      <c r="H77" s="6">
        <v>3.5</v>
      </c>
      <c r="I77" s="6"/>
    </row>
    <row r="78" spans="1:9" hidden="1" x14ac:dyDescent="0.2">
      <c r="A78" s="8" t="s">
        <v>5</v>
      </c>
      <c r="B78" s="5"/>
      <c r="C78" s="74"/>
      <c r="D78" s="6"/>
      <c r="E78" s="6"/>
      <c r="F78" s="6"/>
      <c r="G78" s="6"/>
      <c r="H78" s="6"/>
      <c r="I78" s="6"/>
    </row>
    <row r="79" spans="1:9" hidden="1" x14ac:dyDescent="0.2">
      <c r="A79" s="8" t="s">
        <v>6</v>
      </c>
      <c r="B79" s="5"/>
      <c r="C79" s="74"/>
      <c r="D79" s="6"/>
      <c r="E79" s="6"/>
      <c r="F79" s="6"/>
      <c r="G79" s="6"/>
      <c r="H79" s="6"/>
      <c r="I79" s="6"/>
    </row>
    <row r="80" spans="1:9" hidden="1" x14ac:dyDescent="0.2">
      <c r="A80" s="8" t="s">
        <v>7</v>
      </c>
      <c r="B80" s="5"/>
      <c r="C80" s="74"/>
      <c r="D80" s="6"/>
      <c r="E80" s="6"/>
      <c r="F80" s="6"/>
      <c r="G80" s="6"/>
      <c r="H80" s="6"/>
      <c r="I80" s="6"/>
    </row>
    <row r="81" spans="1:9" hidden="1" x14ac:dyDescent="0.2">
      <c r="A81" s="8" t="s">
        <v>8</v>
      </c>
      <c r="B81" s="5"/>
      <c r="C81" s="74"/>
      <c r="D81" s="6"/>
      <c r="E81" s="6"/>
      <c r="F81" s="6"/>
      <c r="G81" s="6"/>
      <c r="H81" s="6"/>
      <c r="I81" s="6"/>
    </row>
    <row r="82" spans="1:9" hidden="1" x14ac:dyDescent="0.2">
      <c r="A82" s="8" t="s">
        <v>9</v>
      </c>
      <c r="B82" s="5"/>
      <c r="C82" s="74"/>
      <c r="D82" s="6"/>
      <c r="E82" s="6"/>
      <c r="F82" s="6"/>
      <c r="G82" s="6"/>
      <c r="H82" s="6"/>
      <c r="I82" s="6"/>
    </row>
    <row r="83" spans="1:9" x14ac:dyDescent="0.2">
      <c r="A83" s="312" t="s">
        <v>10</v>
      </c>
      <c r="B83" s="313"/>
      <c r="C83" s="313"/>
      <c r="D83" s="313"/>
      <c r="E83" s="314"/>
      <c r="F83" s="11">
        <f>SUM(F73:F82)</f>
        <v>4</v>
      </c>
      <c r="G83" s="11">
        <f>SUM(G73:G82)</f>
        <v>1</v>
      </c>
      <c r="H83" s="11">
        <f>SUM(H73:H82)</f>
        <v>27.5</v>
      </c>
      <c r="I83" s="11"/>
    </row>
    <row r="84" spans="1:9" s="23" customFormat="1" ht="18" x14ac:dyDescent="0.2">
      <c r="A84" s="315" t="s">
        <v>39</v>
      </c>
      <c r="B84" s="316"/>
      <c r="C84" s="316"/>
      <c r="D84" s="316"/>
      <c r="E84" s="317"/>
      <c r="F84" s="22">
        <f>F17+F28+F39+F50+F61+F72+F83</f>
        <v>30</v>
      </c>
      <c r="G84" s="22">
        <f>G17+G28+G39+G50+G61+G72+G83</f>
        <v>7</v>
      </c>
      <c r="H84" s="22">
        <f>H17+H28+H39+H50+H61+H72+H83</f>
        <v>192</v>
      </c>
      <c r="I84" s="22"/>
    </row>
    <row r="85" spans="1:9" ht="21.95" customHeight="1" x14ac:dyDescent="0.2">
      <c r="A85" s="319" t="s">
        <v>14</v>
      </c>
      <c r="B85" s="319"/>
      <c r="C85" s="319"/>
      <c r="D85" s="319"/>
      <c r="E85" s="319"/>
      <c r="F85" s="319"/>
      <c r="G85" s="319"/>
      <c r="H85" s="319"/>
      <c r="I85" s="319"/>
    </row>
    <row r="86" spans="1:9" s="9" customFormat="1" ht="20.100000000000001" customHeight="1" x14ac:dyDescent="0.2">
      <c r="A86" s="309" t="s">
        <v>86</v>
      </c>
      <c r="B86" s="309"/>
      <c r="C86" s="309"/>
      <c r="D86" s="309"/>
      <c r="E86" s="309"/>
      <c r="F86" s="44" t="str">
        <f>F2</f>
        <v>เมษายน</v>
      </c>
      <c r="G86" s="32" t="s">
        <v>87</v>
      </c>
      <c r="H86" s="43">
        <f>H2</f>
        <v>2569</v>
      </c>
      <c r="I86" s="42"/>
    </row>
    <row r="87" spans="1:9" s="3" customFormat="1" ht="20.100000000000001" customHeight="1" x14ac:dyDescent="0.35">
      <c r="A87" s="318" t="str">
        <f>$A$3</f>
        <v>เบอร์รถ….1.....</v>
      </c>
      <c r="B87" s="318"/>
      <c r="C87" s="318"/>
      <c r="D87" s="2"/>
      <c r="F87" s="4"/>
      <c r="G87" s="4"/>
      <c r="H87" s="4" t="s">
        <v>21</v>
      </c>
      <c r="I87" s="40">
        <f>I3+1</f>
        <v>2</v>
      </c>
    </row>
    <row r="88" spans="1:9" s="3" customFormat="1" ht="20.100000000000001" customHeight="1" x14ac:dyDescent="0.35">
      <c r="A88" s="311" t="str">
        <f>$A$4</f>
        <v>ทะเบียนรถ …6001....</v>
      </c>
      <c r="B88" s="311"/>
      <c r="C88" s="311"/>
      <c r="D88" s="2"/>
      <c r="E88" s="39" t="s">
        <v>81</v>
      </c>
      <c r="F88" s="308">
        <f>$F$4</f>
        <v>46107</v>
      </c>
      <c r="G88" s="308"/>
      <c r="H88" s="39" t="s">
        <v>82</v>
      </c>
      <c r="I88" s="34">
        <f>$I$4</f>
        <v>46136</v>
      </c>
    </row>
    <row r="89" spans="1:9" x14ac:dyDescent="0.2">
      <c r="A89" s="12" t="s">
        <v>23</v>
      </c>
      <c r="B89" s="13" t="s">
        <v>11</v>
      </c>
      <c r="C89" s="72" t="s">
        <v>26</v>
      </c>
      <c r="D89" s="12" t="s">
        <v>16</v>
      </c>
      <c r="E89" s="12" t="s">
        <v>17</v>
      </c>
      <c r="F89" s="310" t="s">
        <v>46</v>
      </c>
      <c r="G89" s="310"/>
      <c r="H89" s="310"/>
      <c r="I89" s="12" t="s">
        <v>19</v>
      </c>
    </row>
    <row r="90" spans="1:9" x14ac:dyDescent="0.2">
      <c r="A90" s="15"/>
      <c r="B90" s="16"/>
      <c r="C90" s="73"/>
      <c r="D90" s="15"/>
      <c r="E90" s="15"/>
      <c r="F90" s="21" t="s">
        <v>113</v>
      </c>
      <c r="G90" s="21" t="s">
        <v>114</v>
      </c>
      <c r="H90" s="21" t="s">
        <v>20</v>
      </c>
      <c r="I90" s="15"/>
    </row>
    <row r="91" spans="1:9" x14ac:dyDescent="0.2">
      <c r="A91" s="8" t="s">
        <v>0</v>
      </c>
      <c r="B91" s="5">
        <f>B73+1</f>
        <v>46114</v>
      </c>
      <c r="C91" s="74" t="s">
        <v>631</v>
      </c>
      <c r="D91" s="6" t="s">
        <v>206</v>
      </c>
      <c r="E91" s="6" t="s">
        <v>632</v>
      </c>
      <c r="F91" s="6">
        <v>1</v>
      </c>
      <c r="G91" s="6"/>
      <c r="H91" s="6">
        <v>6</v>
      </c>
      <c r="I91" s="6"/>
    </row>
    <row r="92" spans="1:9" x14ac:dyDescent="0.2">
      <c r="A92" s="8" t="s">
        <v>1</v>
      </c>
      <c r="B92" s="5"/>
      <c r="C92" s="74" t="s">
        <v>633</v>
      </c>
      <c r="D92" s="6" t="s">
        <v>206</v>
      </c>
      <c r="E92" s="6" t="s">
        <v>632</v>
      </c>
      <c r="F92" s="6">
        <v>1</v>
      </c>
      <c r="G92" s="6"/>
      <c r="H92" s="6">
        <v>6</v>
      </c>
      <c r="I92" s="6"/>
    </row>
    <row r="93" spans="1:9" x14ac:dyDescent="0.2">
      <c r="A93" s="8" t="s">
        <v>2</v>
      </c>
      <c r="B93" s="5"/>
      <c r="C93" s="74" t="s">
        <v>634</v>
      </c>
      <c r="D93" s="6" t="s">
        <v>188</v>
      </c>
      <c r="E93" s="6" t="s">
        <v>165</v>
      </c>
      <c r="F93" s="6">
        <v>1</v>
      </c>
      <c r="G93" s="6"/>
      <c r="H93" s="6">
        <v>6</v>
      </c>
      <c r="I93" s="6"/>
    </row>
    <row r="94" spans="1:9" x14ac:dyDescent="0.2">
      <c r="A94" s="8" t="s">
        <v>3</v>
      </c>
      <c r="B94" s="5"/>
      <c r="C94" s="74" t="s">
        <v>635</v>
      </c>
      <c r="D94" s="6" t="s">
        <v>170</v>
      </c>
      <c r="E94" s="6" t="s">
        <v>171</v>
      </c>
      <c r="F94" s="6">
        <v>1</v>
      </c>
      <c r="G94" s="6"/>
      <c r="H94" s="6">
        <v>6</v>
      </c>
      <c r="I94" s="6"/>
    </row>
    <row r="95" spans="1:9" x14ac:dyDescent="0.2">
      <c r="A95" s="8" t="s">
        <v>4</v>
      </c>
      <c r="B95" s="5"/>
      <c r="C95" s="74" t="s">
        <v>636</v>
      </c>
      <c r="D95" s="6" t="s">
        <v>170</v>
      </c>
      <c r="E95" s="6" t="s">
        <v>171</v>
      </c>
      <c r="F95" s="6">
        <v>1</v>
      </c>
      <c r="G95" s="6"/>
      <c r="H95" s="6">
        <v>6</v>
      </c>
      <c r="I95" s="6"/>
    </row>
    <row r="96" spans="1:9" x14ac:dyDescent="0.2">
      <c r="A96" s="8" t="s">
        <v>5</v>
      </c>
      <c r="B96" s="5"/>
      <c r="C96" s="74" t="s">
        <v>637</v>
      </c>
      <c r="D96" s="6" t="s">
        <v>170</v>
      </c>
      <c r="E96" s="6" t="s">
        <v>171</v>
      </c>
      <c r="F96" s="6">
        <v>1</v>
      </c>
      <c r="G96" s="6"/>
      <c r="H96" s="6">
        <v>6</v>
      </c>
      <c r="I96" s="6"/>
    </row>
    <row r="97" spans="1:9" x14ac:dyDescent="0.2">
      <c r="A97" s="8" t="s">
        <v>6</v>
      </c>
      <c r="B97" s="5"/>
      <c r="C97" s="74" t="s">
        <v>638</v>
      </c>
      <c r="D97" s="6" t="s">
        <v>170</v>
      </c>
      <c r="E97" s="6" t="s">
        <v>171</v>
      </c>
      <c r="F97" s="6">
        <v>1</v>
      </c>
      <c r="G97" s="6"/>
      <c r="H97" s="6">
        <v>6</v>
      </c>
      <c r="I97" s="6"/>
    </row>
    <row r="98" spans="1:9" x14ac:dyDescent="0.2">
      <c r="A98" s="8" t="s">
        <v>7</v>
      </c>
      <c r="B98" s="5"/>
      <c r="C98" s="74" t="s">
        <v>639</v>
      </c>
      <c r="D98" s="6" t="s">
        <v>170</v>
      </c>
      <c r="E98" s="6" t="s">
        <v>171</v>
      </c>
      <c r="F98" s="6"/>
      <c r="G98" s="6">
        <v>1</v>
      </c>
      <c r="H98" s="6">
        <v>6</v>
      </c>
      <c r="I98" s="6"/>
    </row>
    <row r="99" spans="1:9" x14ac:dyDescent="0.2">
      <c r="A99" s="8" t="s">
        <v>8</v>
      </c>
      <c r="B99" s="5"/>
      <c r="C99" s="74" t="s">
        <v>640</v>
      </c>
      <c r="D99" s="6" t="s">
        <v>276</v>
      </c>
      <c r="E99" s="6" t="s">
        <v>168</v>
      </c>
      <c r="F99" s="6"/>
      <c r="G99" s="6">
        <v>1</v>
      </c>
      <c r="H99" s="6">
        <v>3.5</v>
      </c>
      <c r="I99" s="6"/>
    </row>
    <row r="100" spans="1:9" hidden="1" x14ac:dyDescent="0.2">
      <c r="A100" s="8" t="s">
        <v>9</v>
      </c>
      <c r="B100" s="5"/>
      <c r="C100" s="74"/>
      <c r="D100" s="6"/>
      <c r="E100" s="6"/>
      <c r="F100" s="6"/>
      <c r="G100" s="6"/>
      <c r="H100" s="6"/>
      <c r="I100" s="6"/>
    </row>
    <row r="101" spans="1:9" x14ac:dyDescent="0.2">
      <c r="A101" s="312" t="s">
        <v>10</v>
      </c>
      <c r="B101" s="313"/>
      <c r="C101" s="313"/>
      <c r="D101" s="313"/>
      <c r="E101" s="314"/>
      <c r="F101" s="11">
        <f>SUM(F91:F100)</f>
        <v>7</v>
      </c>
      <c r="G101" s="11">
        <f>SUM(G91:G100)</f>
        <v>2</v>
      </c>
      <c r="H101" s="11">
        <f>SUM(H91:H100)</f>
        <v>51.5</v>
      </c>
      <c r="I101" s="11"/>
    </row>
    <row r="102" spans="1:9" x14ac:dyDescent="0.2">
      <c r="A102" s="8" t="s">
        <v>0</v>
      </c>
      <c r="B102" s="5">
        <f>B91+1</f>
        <v>46115</v>
      </c>
      <c r="C102" s="74" t="s">
        <v>715</v>
      </c>
      <c r="D102" s="6" t="s">
        <v>342</v>
      </c>
      <c r="E102" s="6" t="s">
        <v>165</v>
      </c>
      <c r="F102" s="6">
        <v>1</v>
      </c>
      <c r="G102" s="6"/>
      <c r="H102" s="6">
        <v>6</v>
      </c>
      <c r="I102" s="6"/>
    </row>
    <row r="103" spans="1:9" x14ac:dyDescent="0.2">
      <c r="A103" s="8" t="s">
        <v>1</v>
      </c>
      <c r="B103" s="5"/>
      <c r="C103" s="74" t="s">
        <v>716</v>
      </c>
      <c r="D103" s="6" t="s">
        <v>342</v>
      </c>
      <c r="E103" s="6" t="s">
        <v>165</v>
      </c>
      <c r="F103" s="6">
        <v>1</v>
      </c>
      <c r="G103" s="6"/>
      <c r="H103" s="6">
        <v>6</v>
      </c>
      <c r="I103" s="6"/>
    </row>
    <row r="104" spans="1:9" x14ac:dyDescent="0.2">
      <c r="A104" s="8" t="s">
        <v>2</v>
      </c>
      <c r="B104" s="5"/>
      <c r="C104" s="74" t="s">
        <v>717</v>
      </c>
      <c r="D104" s="6" t="s">
        <v>170</v>
      </c>
      <c r="E104" s="6" t="s">
        <v>184</v>
      </c>
      <c r="F104" s="6">
        <v>1</v>
      </c>
      <c r="G104" s="6"/>
      <c r="H104" s="6">
        <v>1</v>
      </c>
      <c r="I104" s="6"/>
    </row>
    <row r="105" spans="1:9" x14ac:dyDescent="0.2">
      <c r="A105" s="8" t="s">
        <v>3</v>
      </c>
      <c r="B105" s="5"/>
      <c r="C105" s="74" t="s">
        <v>718</v>
      </c>
      <c r="D105" s="6" t="s">
        <v>173</v>
      </c>
      <c r="E105" s="6" t="s">
        <v>544</v>
      </c>
      <c r="F105" s="6">
        <v>1</v>
      </c>
      <c r="G105" s="6"/>
      <c r="H105" s="6">
        <v>4</v>
      </c>
      <c r="I105" s="6"/>
    </row>
    <row r="106" spans="1:9" x14ac:dyDescent="0.2">
      <c r="A106" s="8" t="s">
        <v>4</v>
      </c>
      <c r="B106" s="5"/>
      <c r="C106" s="74" t="s">
        <v>719</v>
      </c>
      <c r="D106" s="6" t="s">
        <v>170</v>
      </c>
      <c r="E106" s="6" t="s">
        <v>171</v>
      </c>
      <c r="F106" s="6">
        <v>1</v>
      </c>
      <c r="G106" s="6"/>
      <c r="H106" s="6">
        <v>6</v>
      </c>
      <c r="I106" s="6"/>
    </row>
    <row r="107" spans="1:9" x14ac:dyDescent="0.2">
      <c r="A107" s="8" t="s">
        <v>5</v>
      </c>
      <c r="B107" s="5"/>
      <c r="C107" s="74" t="s">
        <v>720</v>
      </c>
      <c r="D107" s="6" t="s">
        <v>170</v>
      </c>
      <c r="E107" s="6" t="s">
        <v>171</v>
      </c>
      <c r="F107" s="6">
        <v>1</v>
      </c>
      <c r="G107" s="6"/>
      <c r="H107" s="6">
        <v>6</v>
      </c>
      <c r="I107" s="6"/>
    </row>
    <row r="108" spans="1:9" x14ac:dyDescent="0.2">
      <c r="A108" s="8" t="s">
        <v>6</v>
      </c>
      <c r="B108" s="5"/>
      <c r="C108" s="74" t="s">
        <v>721</v>
      </c>
      <c r="D108" s="6" t="s">
        <v>170</v>
      </c>
      <c r="E108" s="6" t="s">
        <v>171</v>
      </c>
      <c r="F108" s="6"/>
      <c r="G108" s="6">
        <v>1</v>
      </c>
      <c r="H108" s="6">
        <v>6</v>
      </c>
      <c r="I108" s="6"/>
    </row>
    <row r="109" spans="1:9" x14ac:dyDescent="0.2">
      <c r="A109" s="8" t="s">
        <v>7</v>
      </c>
      <c r="B109" s="5"/>
      <c r="C109" s="74" t="s">
        <v>722</v>
      </c>
      <c r="D109" s="6" t="s">
        <v>170</v>
      </c>
      <c r="E109" s="6" t="s">
        <v>171</v>
      </c>
      <c r="F109" s="6"/>
      <c r="G109" s="6">
        <v>1</v>
      </c>
      <c r="H109" s="6">
        <v>6</v>
      </c>
      <c r="I109" s="6"/>
    </row>
    <row r="110" spans="1:9" x14ac:dyDescent="0.2">
      <c r="A110" s="8" t="s">
        <v>8</v>
      </c>
      <c r="B110" s="5"/>
      <c r="C110" s="74" t="s">
        <v>723</v>
      </c>
      <c r="D110" s="6" t="s">
        <v>170</v>
      </c>
      <c r="E110" s="6" t="s">
        <v>171</v>
      </c>
      <c r="F110" s="6"/>
      <c r="G110" s="6">
        <v>1</v>
      </c>
      <c r="H110" s="6">
        <v>6</v>
      </c>
      <c r="I110" s="6"/>
    </row>
    <row r="111" spans="1:9" hidden="1" x14ac:dyDescent="0.2">
      <c r="A111" s="8" t="s">
        <v>9</v>
      </c>
      <c r="B111" s="5"/>
      <c r="C111" s="74"/>
      <c r="D111" s="6"/>
      <c r="E111" s="6"/>
      <c r="F111" s="6"/>
      <c r="G111" s="6"/>
      <c r="H111" s="6"/>
      <c r="I111" s="6"/>
    </row>
    <row r="112" spans="1:9" x14ac:dyDescent="0.2">
      <c r="A112" s="312" t="s">
        <v>10</v>
      </c>
      <c r="B112" s="313"/>
      <c r="C112" s="313"/>
      <c r="D112" s="313"/>
      <c r="E112" s="314"/>
      <c r="F112" s="11">
        <f>SUM(F102:F111)</f>
        <v>6</v>
      </c>
      <c r="G112" s="11">
        <f>SUM(G102:G111)</f>
        <v>3</v>
      </c>
      <c r="H112" s="11">
        <f>SUM(H102:H111)</f>
        <v>47</v>
      </c>
      <c r="I112" s="11"/>
    </row>
    <row r="113" spans="1:9" x14ac:dyDescent="0.2">
      <c r="A113" s="8" t="s">
        <v>0</v>
      </c>
      <c r="B113" s="5">
        <f>B102+1</f>
        <v>46116</v>
      </c>
      <c r="C113" s="74" t="s">
        <v>810</v>
      </c>
      <c r="D113" s="6" t="s">
        <v>202</v>
      </c>
      <c r="E113" s="6" t="s">
        <v>222</v>
      </c>
      <c r="F113" s="6">
        <v>1</v>
      </c>
      <c r="G113" s="6"/>
      <c r="H113" s="6">
        <v>5</v>
      </c>
      <c r="I113" s="6"/>
    </row>
    <row r="114" spans="1:9" x14ac:dyDescent="0.2">
      <c r="A114" s="8" t="s">
        <v>1</v>
      </c>
      <c r="B114" s="5"/>
      <c r="C114" s="74" t="s">
        <v>811</v>
      </c>
      <c r="D114" s="6" t="s">
        <v>276</v>
      </c>
      <c r="E114" s="6" t="s">
        <v>168</v>
      </c>
      <c r="F114" s="6">
        <v>1</v>
      </c>
      <c r="G114" s="6"/>
      <c r="H114" s="6">
        <v>3.5</v>
      </c>
      <c r="I114" s="6"/>
    </row>
    <row r="115" spans="1:9" x14ac:dyDescent="0.2">
      <c r="A115" s="8" t="s">
        <v>2</v>
      </c>
      <c r="B115" s="5"/>
      <c r="C115" s="74" t="s">
        <v>812</v>
      </c>
      <c r="D115" s="6" t="s">
        <v>170</v>
      </c>
      <c r="E115" s="6" t="s">
        <v>165</v>
      </c>
      <c r="F115" s="6">
        <v>1</v>
      </c>
      <c r="G115" s="6"/>
      <c r="H115" s="6">
        <v>4</v>
      </c>
      <c r="I115" s="6"/>
    </row>
    <row r="116" spans="1:9" x14ac:dyDescent="0.2">
      <c r="A116" s="8" t="s">
        <v>3</v>
      </c>
      <c r="B116" s="5"/>
      <c r="C116" s="74" t="s">
        <v>813</v>
      </c>
      <c r="D116" s="6" t="s">
        <v>817</v>
      </c>
      <c r="E116" s="6" t="s">
        <v>190</v>
      </c>
      <c r="F116" s="6">
        <v>1</v>
      </c>
      <c r="G116" s="6"/>
      <c r="H116" s="6">
        <v>6</v>
      </c>
      <c r="I116" s="6"/>
    </row>
    <row r="117" spans="1:9" hidden="1" x14ac:dyDescent="0.2">
      <c r="A117" s="8" t="s">
        <v>4</v>
      </c>
      <c r="B117" s="5"/>
      <c r="C117" s="74"/>
      <c r="D117" s="6"/>
      <c r="E117" s="6"/>
      <c r="F117" s="6"/>
      <c r="G117" s="6"/>
      <c r="H117" s="6"/>
      <c r="I117" s="6"/>
    </row>
    <row r="118" spans="1:9" hidden="1" x14ac:dyDescent="0.2">
      <c r="A118" s="8" t="s">
        <v>5</v>
      </c>
      <c r="B118" s="5"/>
      <c r="C118" s="74"/>
      <c r="D118" s="6"/>
      <c r="E118" s="6"/>
      <c r="F118" s="6"/>
      <c r="G118" s="6"/>
      <c r="H118" s="6"/>
      <c r="I118" s="6"/>
    </row>
    <row r="119" spans="1:9" hidden="1" x14ac:dyDescent="0.2">
      <c r="A119" s="8" t="s">
        <v>6</v>
      </c>
      <c r="B119" s="5"/>
      <c r="C119" s="74"/>
      <c r="D119" s="6"/>
      <c r="E119" s="6"/>
      <c r="F119" s="6"/>
      <c r="G119" s="6"/>
      <c r="H119" s="6"/>
      <c r="I119" s="6"/>
    </row>
    <row r="120" spans="1:9" hidden="1" x14ac:dyDescent="0.2">
      <c r="A120" s="8" t="s">
        <v>7</v>
      </c>
      <c r="B120" s="5"/>
      <c r="C120" s="74"/>
      <c r="D120" s="6"/>
      <c r="E120" s="6"/>
      <c r="F120" s="6"/>
      <c r="G120" s="6"/>
      <c r="H120" s="6"/>
      <c r="I120" s="6"/>
    </row>
    <row r="121" spans="1:9" hidden="1" x14ac:dyDescent="0.2">
      <c r="A121" s="8" t="s">
        <v>8</v>
      </c>
      <c r="B121" s="5"/>
      <c r="C121" s="74"/>
      <c r="D121" s="6"/>
      <c r="E121" s="6"/>
      <c r="F121" s="6"/>
      <c r="G121" s="6"/>
      <c r="H121" s="6"/>
      <c r="I121" s="6"/>
    </row>
    <row r="122" spans="1:9" hidden="1" x14ac:dyDescent="0.2">
      <c r="A122" s="8" t="s">
        <v>9</v>
      </c>
      <c r="B122" s="5"/>
      <c r="C122" s="74"/>
      <c r="D122" s="6"/>
      <c r="E122" s="6"/>
      <c r="F122" s="6"/>
      <c r="G122" s="6"/>
      <c r="H122" s="6"/>
      <c r="I122" s="6"/>
    </row>
    <row r="123" spans="1:9" x14ac:dyDescent="0.2">
      <c r="A123" s="312" t="s">
        <v>10</v>
      </c>
      <c r="B123" s="313"/>
      <c r="C123" s="313"/>
      <c r="D123" s="313"/>
      <c r="E123" s="314"/>
      <c r="F123" s="11">
        <f>SUM(F113:F122)</f>
        <v>4</v>
      </c>
      <c r="G123" s="11">
        <f>SUM(G113:G122)</f>
        <v>0</v>
      </c>
      <c r="H123" s="11">
        <f>SUM(H113:H122)</f>
        <v>18.5</v>
      </c>
      <c r="I123" s="11"/>
    </row>
    <row r="124" spans="1:9" x14ac:dyDescent="0.2">
      <c r="A124" s="8" t="s">
        <v>0</v>
      </c>
      <c r="B124" s="5">
        <f>B113+1</f>
        <v>46117</v>
      </c>
      <c r="C124" s="74" t="s">
        <v>860</v>
      </c>
      <c r="D124" s="6" t="s">
        <v>342</v>
      </c>
      <c r="E124" s="6" t="s">
        <v>165</v>
      </c>
      <c r="F124" s="6">
        <v>1</v>
      </c>
      <c r="G124" s="6"/>
      <c r="H124" s="6">
        <v>6</v>
      </c>
      <c r="I124" s="6"/>
    </row>
    <row r="125" spans="1:9" x14ac:dyDescent="0.2">
      <c r="A125" s="8" t="s">
        <v>1</v>
      </c>
      <c r="B125" s="5"/>
      <c r="C125" s="74" t="s">
        <v>861</v>
      </c>
      <c r="D125" s="6" t="s">
        <v>188</v>
      </c>
      <c r="E125" s="6" t="s">
        <v>165</v>
      </c>
      <c r="F125" s="6">
        <v>1</v>
      </c>
      <c r="G125" s="6"/>
      <c r="H125" s="6">
        <v>6</v>
      </c>
      <c r="I125" s="6"/>
    </row>
    <row r="126" spans="1:9" x14ac:dyDescent="0.2">
      <c r="A126" s="8" t="s">
        <v>2</v>
      </c>
      <c r="B126" s="5"/>
      <c r="C126" s="74" t="s">
        <v>862</v>
      </c>
      <c r="D126" s="6" t="s">
        <v>170</v>
      </c>
      <c r="E126" s="6" t="s">
        <v>171</v>
      </c>
      <c r="F126" s="6">
        <v>1</v>
      </c>
      <c r="G126" s="6"/>
      <c r="H126" s="6">
        <v>6</v>
      </c>
      <c r="I126" s="6"/>
    </row>
    <row r="127" spans="1:9" x14ac:dyDescent="0.2">
      <c r="A127" s="8" t="s">
        <v>3</v>
      </c>
      <c r="B127" s="5"/>
      <c r="C127" s="74" t="s">
        <v>863</v>
      </c>
      <c r="D127" s="6" t="s">
        <v>170</v>
      </c>
      <c r="E127" s="6" t="s">
        <v>171</v>
      </c>
      <c r="F127" s="6">
        <v>1</v>
      </c>
      <c r="G127" s="6"/>
      <c r="H127" s="6">
        <v>6</v>
      </c>
      <c r="I127" s="6"/>
    </row>
    <row r="128" spans="1:9" x14ac:dyDescent="0.2">
      <c r="A128" s="8" t="s">
        <v>4</v>
      </c>
      <c r="B128" s="5"/>
      <c r="C128" s="74" t="s">
        <v>864</v>
      </c>
      <c r="D128" s="6" t="s">
        <v>170</v>
      </c>
      <c r="E128" s="6" t="s">
        <v>171</v>
      </c>
      <c r="F128" s="6">
        <v>1</v>
      </c>
      <c r="G128" s="6"/>
      <c r="H128" s="6">
        <v>6</v>
      </c>
      <c r="I128" s="6"/>
    </row>
    <row r="129" spans="1:9" x14ac:dyDescent="0.2">
      <c r="A129" s="8" t="s">
        <v>5</v>
      </c>
      <c r="B129" s="5"/>
      <c r="C129" s="74" t="s">
        <v>865</v>
      </c>
      <c r="D129" s="6" t="s">
        <v>170</v>
      </c>
      <c r="E129" s="6" t="s">
        <v>171</v>
      </c>
      <c r="F129" s="6"/>
      <c r="G129" s="6">
        <v>1</v>
      </c>
      <c r="H129" s="6">
        <v>6</v>
      </c>
      <c r="I129" s="6"/>
    </row>
    <row r="130" spans="1:9" hidden="1" x14ac:dyDescent="0.2">
      <c r="A130" s="8" t="s">
        <v>6</v>
      </c>
      <c r="B130" s="5"/>
      <c r="C130" s="74"/>
      <c r="D130" s="6"/>
      <c r="E130" s="6"/>
      <c r="F130" s="6"/>
      <c r="G130" s="6"/>
      <c r="H130" s="6"/>
      <c r="I130" s="6"/>
    </row>
    <row r="131" spans="1:9" hidden="1" x14ac:dyDescent="0.2">
      <c r="A131" s="8" t="s">
        <v>7</v>
      </c>
      <c r="B131" s="5"/>
      <c r="C131" s="74"/>
      <c r="D131" s="6"/>
      <c r="E131" s="6"/>
      <c r="F131" s="6"/>
      <c r="G131" s="6"/>
      <c r="H131" s="6"/>
      <c r="I131" s="6"/>
    </row>
    <row r="132" spans="1:9" hidden="1" x14ac:dyDescent="0.2">
      <c r="A132" s="8" t="s">
        <v>8</v>
      </c>
      <c r="B132" s="5"/>
      <c r="C132" s="74"/>
      <c r="D132" s="6"/>
      <c r="E132" s="6"/>
      <c r="F132" s="6"/>
      <c r="G132" s="6"/>
      <c r="H132" s="6"/>
      <c r="I132" s="6"/>
    </row>
    <row r="133" spans="1:9" hidden="1" x14ac:dyDescent="0.2">
      <c r="A133" s="8" t="s">
        <v>9</v>
      </c>
      <c r="B133" s="5"/>
      <c r="C133" s="74"/>
      <c r="D133" s="6"/>
      <c r="E133" s="6"/>
      <c r="F133" s="6"/>
      <c r="G133" s="6"/>
      <c r="H133" s="6"/>
      <c r="I133" s="6"/>
    </row>
    <row r="134" spans="1:9" x14ac:dyDescent="0.2">
      <c r="A134" s="312" t="s">
        <v>10</v>
      </c>
      <c r="B134" s="313"/>
      <c r="C134" s="313"/>
      <c r="D134" s="313"/>
      <c r="E134" s="314"/>
      <c r="F134" s="11">
        <f>SUM(F124:F133)</f>
        <v>5</v>
      </c>
      <c r="G134" s="11">
        <f>SUM(G124:G133)</f>
        <v>1</v>
      </c>
      <c r="H134" s="11">
        <f>SUM(H124:H133)</f>
        <v>36</v>
      </c>
      <c r="I134" s="11"/>
    </row>
    <row r="135" spans="1:9" x14ac:dyDescent="0.2">
      <c r="A135" s="8" t="s">
        <v>0</v>
      </c>
      <c r="B135" s="5">
        <f>B124+1</f>
        <v>46118</v>
      </c>
      <c r="C135" s="75" t="s">
        <v>921</v>
      </c>
      <c r="D135" s="6" t="s">
        <v>242</v>
      </c>
      <c r="E135" s="6" t="s">
        <v>171</v>
      </c>
      <c r="F135" s="6">
        <v>1</v>
      </c>
      <c r="G135" s="6"/>
      <c r="H135" s="6">
        <v>5.5</v>
      </c>
      <c r="I135" s="6"/>
    </row>
    <row r="136" spans="1:9" x14ac:dyDescent="0.2">
      <c r="A136" s="8" t="s">
        <v>1</v>
      </c>
      <c r="B136" s="5"/>
      <c r="C136" s="75" t="s">
        <v>922</v>
      </c>
      <c r="D136" s="6" t="s">
        <v>242</v>
      </c>
      <c r="E136" s="6" t="s">
        <v>171</v>
      </c>
      <c r="F136" s="6">
        <v>1</v>
      </c>
      <c r="G136" s="6"/>
      <c r="H136" s="6">
        <v>5.5</v>
      </c>
      <c r="I136" s="6"/>
    </row>
    <row r="137" spans="1:9" x14ac:dyDescent="0.2">
      <c r="A137" s="8" t="s">
        <v>2</v>
      </c>
      <c r="B137" s="5"/>
      <c r="C137" s="75" t="s">
        <v>923</v>
      </c>
      <c r="D137" s="6" t="s">
        <v>211</v>
      </c>
      <c r="E137" s="6" t="s">
        <v>165</v>
      </c>
      <c r="F137" s="6">
        <v>1</v>
      </c>
      <c r="G137" s="6"/>
      <c r="H137" s="6">
        <v>6</v>
      </c>
      <c r="I137" s="6"/>
    </row>
    <row r="138" spans="1:9" x14ac:dyDescent="0.2">
      <c r="A138" s="8" t="s">
        <v>3</v>
      </c>
      <c r="B138" s="5"/>
      <c r="C138" s="75" t="s">
        <v>924</v>
      </c>
      <c r="D138" s="6" t="s">
        <v>242</v>
      </c>
      <c r="E138" s="6" t="s">
        <v>171</v>
      </c>
      <c r="F138" s="6">
        <v>1</v>
      </c>
      <c r="G138" s="6"/>
      <c r="H138" s="6">
        <v>6</v>
      </c>
      <c r="I138" s="6"/>
    </row>
    <row r="139" spans="1:9" x14ac:dyDescent="0.2">
      <c r="A139" s="8" t="s">
        <v>4</v>
      </c>
      <c r="B139" s="5"/>
      <c r="C139" s="75" t="s">
        <v>925</v>
      </c>
      <c r="D139" s="6" t="s">
        <v>170</v>
      </c>
      <c r="E139" s="6" t="s">
        <v>171</v>
      </c>
      <c r="F139" s="6"/>
      <c r="G139" s="6">
        <v>1</v>
      </c>
      <c r="H139" s="6">
        <v>6</v>
      </c>
      <c r="I139" s="6"/>
    </row>
    <row r="140" spans="1:9" x14ac:dyDescent="0.2">
      <c r="A140" s="8" t="s">
        <v>5</v>
      </c>
      <c r="B140" s="5"/>
      <c r="C140" s="75" t="s">
        <v>926</v>
      </c>
      <c r="D140" s="6" t="s">
        <v>170</v>
      </c>
      <c r="E140" s="6" t="s">
        <v>171</v>
      </c>
      <c r="F140" s="6"/>
      <c r="G140" s="6">
        <v>1</v>
      </c>
      <c r="H140" s="6">
        <v>6</v>
      </c>
      <c r="I140" s="6"/>
    </row>
    <row r="141" spans="1:9" x14ac:dyDescent="0.2">
      <c r="A141" s="8" t="s">
        <v>6</v>
      </c>
      <c r="B141" s="5"/>
      <c r="C141" s="74" t="s">
        <v>927</v>
      </c>
      <c r="D141" s="6" t="s">
        <v>170</v>
      </c>
      <c r="E141" s="6" t="s">
        <v>171</v>
      </c>
      <c r="F141" s="6"/>
      <c r="G141" s="6">
        <v>1</v>
      </c>
      <c r="H141" s="6">
        <v>6</v>
      </c>
      <c r="I141" s="6"/>
    </row>
    <row r="142" spans="1:9" x14ac:dyDescent="0.2">
      <c r="A142" s="8" t="s">
        <v>7</v>
      </c>
      <c r="B142" s="5"/>
      <c r="C142" s="74" t="s">
        <v>928</v>
      </c>
      <c r="D142" s="6" t="s">
        <v>170</v>
      </c>
      <c r="E142" s="6" t="s">
        <v>171</v>
      </c>
      <c r="F142" s="6"/>
      <c r="G142" s="6">
        <v>1</v>
      </c>
      <c r="H142" s="6">
        <v>6</v>
      </c>
      <c r="I142" s="6"/>
    </row>
    <row r="143" spans="1:9" hidden="1" x14ac:dyDescent="0.2">
      <c r="A143" s="8" t="s">
        <v>8</v>
      </c>
      <c r="B143" s="5"/>
      <c r="C143" s="74"/>
      <c r="D143" s="6"/>
      <c r="E143" s="6"/>
      <c r="F143" s="6"/>
      <c r="G143" s="6"/>
      <c r="H143" s="6"/>
      <c r="I143" s="6"/>
    </row>
    <row r="144" spans="1:9" hidden="1" x14ac:dyDescent="0.2">
      <c r="A144" s="8" t="s">
        <v>9</v>
      </c>
      <c r="B144" s="5"/>
      <c r="C144" s="74"/>
      <c r="D144" s="6"/>
      <c r="E144" s="6"/>
      <c r="F144" s="6"/>
      <c r="G144" s="6"/>
      <c r="H144" s="6"/>
      <c r="I144" s="6"/>
    </row>
    <row r="145" spans="1:9" x14ac:dyDescent="0.2">
      <c r="A145" s="312" t="s">
        <v>10</v>
      </c>
      <c r="B145" s="313"/>
      <c r="C145" s="313"/>
      <c r="D145" s="313"/>
      <c r="E145" s="314"/>
      <c r="F145" s="11">
        <f>SUM(F135:F144)</f>
        <v>4</v>
      </c>
      <c r="G145" s="11">
        <f>SUM(G135:G144)</f>
        <v>4</v>
      </c>
      <c r="H145" s="11">
        <f>SUM(H135:H144)</f>
        <v>47</v>
      </c>
      <c r="I145" s="11"/>
    </row>
    <row r="146" spans="1:9" x14ac:dyDescent="0.2">
      <c r="A146" s="8" t="s">
        <v>0</v>
      </c>
      <c r="B146" s="5">
        <f>B135+1</f>
        <v>46119</v>
      </c>
      <c r="C146" s="74" t="s">
        <v>1001</v>
      </c>
      <c r="D146" s="6" t="s">
        <v>250</v>
      </c>
      <c r="E146" s="6" t="s">
        <v>168</v>
      </c>
      <c r="F146" s="6">
        <v>1</v>
      </c>
      <c r="G146" s="6"/>
      <c r="H146" s="6">
        <v>5</v>
      </c>
      <c r="I146" s="6"/>
    </row>
    <row r="147" spans="1:9" x14ac:dyDescent="0.2">
      <c r="A147" s="8" t="s">
        <v>1</v>
      </c>
      <c r="B147" s="5"/>
      <c r="C147" s="74" t="s">
        <v>1002</v>
      </c>
      <c r="D147" s="6" t="s">
        <v>173</v>
      </c>
      <c r="E147" s="6" t="s">
        <v>441</v>
      </c>
      <c r="F147" s="6">
        <v>1</v>
      </c>
      <c r="G147" s="6"/>
      <c r="H147" s="6">
        <v>6</v>
      </c>
      <c r="I147" s="6"/>
    </row>
    <row r="148" spans="1:9" x14ac:dyDescent="0.2">
      <c r="A148" s="8" t="s">
        <v>2</v>
      </c>
      <c r="B148" s="5"/>
      <c r="C148" s="74" t="s">
        <v>1003</v>
      </c>
      <c r="D148" s="6" t="s">
        <v>211</v>
      </c>
      <c r="E148" s="6" t="s">
        <v>165</v>
      </c>
      <c r="F148" s="6">
        <v>1</v>
      </c>
      <c r="G148" s="6"/>
      <c r="H148" s="6">
        <v>6</v>
      </c>
      <c r="I148" s="6"/>
    </row>
    <row r="149" spans="1:9" x14ac:dyDescent="0.2">
      <c r="A149" s="8" t="s">
        <v>3</v>
      </c>
      <c r="B149" s="5"/>
      <c r="C149" s="74" t="s">
        <v>1004</v>
      </c>
      <c r="D149" s="6" t="s">
        <v>211</v>
      </c>
      <c r="E149" s="6" t="s">
        <v>171</v>
      </c>
      <c r="F149" s="6">
        <v>1</v>
      </c>
      <c r="G149" s="6"/>
      <c r="H149" s="6">
        <v>6</v>
      </c>
      <c r="I149" s="6"/>
    </row>
    <row r="150" spans="1:9" x14ac:dyDescent="0.2">
      <c r="A150" s="8" t="s">
        <v>4</v>
      </c>
      <c r="B150" s="5"/>
      <c r="C150" s="74" t="s">
        <v>1005</v>
      </c>
      <c r="D150" s="6" t="s">
        <v>342</v>
      </c>
      <c r="E150" s="6" t="s">
        <v>165</v>
      </c>
      <c r="F150" s="6">
        <v>1</v>
      </c>
      <c r="G150" s="6"/>
      <c r="H150" s="6">
        <v>6</v>
      </c>
      <c r="I150" s="6"/>
    </row>
    <row r="151" spans="1:9" x14ac:dyDescent="0.2">
      <c r="A151" s="8" t="s">
        <v>5</v>
      </c>
      <c r="B151" s="5"/>
      <c r="C151" s="74" t="s">
        <v>1006</v>
      </c>
      <c r="D151" s="6" t="s">
        <v>342</v>
      </c>
      <c r="E151" s="6" t="s">
        <v>165</v>
      </c>
      <c r="F151" s="6">
        <v>1</v>
      </c>
      <c r="G151" s="6"/>
      <c r="H151" s="6">
        <v>4.5</v>
      </c>
      <c r="I151" s="6"/>
    </row>
    <row r="152" spans="1:9" hidden="1" x14ac:dyDescent="0.2">
      <c r="A152" s="8" t="s">
        <v>6</v>
      </c>
      <c r="B152" s="5"/>
      <c r="C152" s="74"/>
      <c r="D152" s="6"/>
      <c r="E152" s="6"/>
      <c r="F152" s="6"/>
      <c r="G152" s="6"/>
      <c r="H152" s="6"/>
      <c r="I152" s="6"/>
    </row>
    <row r="153" spans="1:9" hidden="1" x14ac:dyDescent="0.2">
      <c r="A153" s="8" t="s">
        <v>7</v>
      </c>
      <c r="B153" s="5"/>
      <c r="C153" s="74"/>
      <c r="D153" s="6"/>
      <c r="E153" s="6"/>
      <c r="F153" s="6"/>
      <c r="G153" s="6"/>
      <c r="H153" s="6"/>
      <c r="I153" s="6"/>
    </row>
    <row r="154" spans="1:9" hidden="1" x14ac:dyDescent="0.2">
      <c r="A154" s="8" t="s">
        <v>8</v>
      </c>
      <c r="B154" s="5"/>
      <c r="C154" s="74"/>
      <c r="D154" s="6"/>
      <c r="E154" s="6"/>
      <c r="F154" s="6"/>
      <c r="G154" s="6"/>
      <c r="H154" s="6"/>
      <c r="I154" s="6"/>
    </row>
    <row r="155" spans="1:9" hidden="1" x14ac:dyDescent="0.2">
      <c r="A155" s="8" t="s">
        <v>9</v>
      </c>
      <c r="B155" s="5"/>
      <c r="C155" s="75"/>
      <c r="D155" s="6"/>
      <c r="E155" s="6"/>
      <c r="F155" s="6"/>
      <c r="G155" s="6"/>
      <c r="H155" s="6"/>
      <c r="I155" s="6"/>
    </row>
    <row r="156" spans="1:9" x14ac:dyDescent="0.2">
      <c r="A156" s="312" t="s">
        <v>10</v>
      </c>
      <c r="B156" s="313"/>
      <c r="C156" s="313"/>
      <c r="D156" s="313"/>
      <c r="E156" s="314"/>
      <c r="F156" s="11">
        <f>SUM(F146:F155)</f>
        <v>6</v>
      </c>
      <c r="G156" s="11">
        <f>SUM(G146:G155)</f>
        <v>0</v>
      </c>
      <c r="H156" s="11">
        <f>SUM(H146:H155)</f>
        <v>33.5</v>
      </c>
      <c r="I156" s="11"/>
    </row>
    <row r="157" spans="1:9" x14ac:dyDescent="0.2">
      <c r="A157" s="8" t="s">
        <v>0</v>
      </c>
      <c r="B157" s="5">
        <f>B146+1</f>
        <v>46120</v>
      </c>
      <c r="C157" s="74"/>
      <c r="D157" s="6"/>
      <c r="E157" s="6"/>
      <c r="F157" s="6"/>
      <c r="G157" s="6"/>
      <c r="H157" s="6"/>
      <c r="I157" s="6"/>
    </row>
    <row r="158" spans="1:9" x14ac:dyDescent="0.2">
      <c r="A158" s="8" t="s">
        <v>1</v>
      </c>
      <c r="B158" s="5"/>
      <c r="C158" s="74"/>
      <c r="D158" s="6"/>
      <c r="E158" s="6"/>
      <c r="F158" s="6"/>
      <c r="G158" s="6"/>
      <c r="H158" s="6"/>
      <c r="I158" s="6"/>
    </row>
    <row r="159" spans="1:9" x14ac:dyDescent="0.2">
      <c r="A159" s="8" t="s">
        <v>2</v>
      </c>
      <c r="B159" s="5"/>
      <c r="C159" s="74"/>
      <c r="D159" s="6"/>
      <c r="E159" s="6"/>
      <c r="F159" s="6"/>
      <c r="G159" s="6"/>
      <c r="H159" s="6"/>
      <c r="I159" s="6"/>
    </row>
    <row r="160" spans="1:9" x14ac:dyDescent="0.2">
      <c r="A160" s="8" t="s">
        <v>3</v>
      </c>
      <c r="B160" s="5"/>
      <c r="C160" s="74"/>
      <c r="D160" s="6"/>
      <c r="E160" s="6"/>
      <c r="F160" s="6"/>
      <c r="G160" s="6"/>
      <c r="H160" s="6"/>
      <c r="I160" s="6"/>
    </row>
    <row r="161" spans="1:9" x14ac:dyDescent="0.2">
      <c r="A161" s="8" t="s">
        <v>4</v>
      </c>
      <c r="B161" s="5"/>
      <c r="C161" s="74"/>
      <c r="D161" s="6"/>
      <c r="E161" s="6"/>
      <c r="F161" s="6"/>
      <c r="G161" s="6"/>
      <c r="H161" s="6"/>
      <c r="I161" s="6"/>
    </row>
    <row r="162" spans="1:9" x14ac:dyDescent="0.2">
      <c r="A162" s="8" t="s">
        <v>5</v>
      </c>
      <c r="B162" s="5"/>
      <c r="C162" s="74"/>
      <c r="D162" s="6"/>
      <c r="E162" s="6"/>
      <c r="F162" s="6"/>
      <c r="G162" s="6"/>
      <c r="H162" s="6"/>
      <c r="I162" s="6"/>
    </row>
    <row r="163" spans="1:9" x14ac:dyDescent="0.2">
      <c r="A163" s="8" t="s">
        <v>6</v>
      </c>
      <c r="B163" s="5"/>
      <c r="C163" s="74"/>
      <c r="D163" s="6"/>
      <c r="E163" s="6"/>
      <c r="F163" s="6"/>
      <c r="G163" s="6"/>
      <c r="H163" s="6"/>
      <c r="I163" s="6"/>
    </row>
    <row r="164" spans="1:9" x14ac:dyDescent="0.2">
      <c r="A164" s="8" t="s">
        <v>7</v>
      </c>
      <c r="B164" s="5"/>
      <c r="C164" s="74"/>
      <c r="D164" s="6"/>
      <c r="E164" s="6"/>
      <c r="F164" s="6"/>
      <c r="G164" s="6"/>
      <c r="H164" s="6"/>
      <c r="I164" s="6"/>
    </row>
    <row r="165" spans="1:9" x14ac:dyDescent="0.2">
      <c r="A165" s="8" t="s">
        <v>8</v>
      </c>
      <c r="B165" s="5"/>
      <c r="C165" s="74"/>
      <c r="D165" s="6"/>
      <c r="E165" s="6"/>
      <c r="F165" s="6"/>
      <c r="G165" s="6"/>
      <c r="H165" s="6"/>
      <c r="I165" s="6"/>
    </row>
    <row r="166" spans="1:9" x14ac:dyDescent="0.2">
      <c r="A166" s="8" t="s">
        <v>9</v>
      </c>
      <c r="B166" s="5"/>
      <c r="C166" s="74"/>
      <c r="D166" s="6"/>
      <c r="E166" s="6"/>
      <c r="F166" s="6"/>
      <c r="G166" s="6"/>
      <c r="H166" s="6"/>
      <c r="I166" s="6"/>
    </row>
    <row r="167" spans="1:9" x14ac:dyDescent="0.2">
      <c r="A167" s="312" t="s">
        <v>10</v>
      </c>
      <c r="B167" s="313"/>
      <c r="C167" s="313"/>
      <c r="D167" s="313"/>
      <c r="E167" s="314"/>
      <c r="F167" s="11">
        <f>SUM(F157:F166)</f>
        <v>0</v>
      </c>
      <c r="G167" s="11">
        <f>SUM(G157:G166)</f>
        <v>0</v>
      </c>
      <c r="H167" s="11">
        <f>SUM(H157:H166)</f>
        <v>0</v>
      </c>
      <c r="I167" s="11"/>
    </row>
    <row r="168" spans="1:9" s="23" customFormat="1" ht="18" x14ac:dyDescent="0.2">
      <c r="A168" s="315" t="s">
        <v>39</v>
      </c>
      <c r="B168" s="316"/>
      <c r="C168" s="316"/>
      <c r="D168" s="316"/>
      <c r="E168" s="317"/>
      <c r="F168" s="22">
        <f>F101+F112+F123+F134+F145+F156+F167+F84</f>
        <v>62</v>
      </c>
      <c r="G168" s="22">
        <f>G101+G112+G123+G134+G145+G156+G167+G84</f>
        <v>17</v>
      </c>
      <c r="H168" s="22">
        <f>H101+H112+H123+H134+H145+H156+H167+H84</f>
        <v>425.5</v>
      </c>
      <c r="I168" s="22"/>
    </row>
    <row r="169" spans="1:9" ht="21.95" customHeight="1" x14ac:dyDescent="0.2">
      <c r="A169" s="319" t="s">
        <v>14</v>
      </c>
      <c r="B169" s="319"/>
      <c r="C169" s="319"/>
      <c r="D169" s="319"/>
      <c r="E169" s="319"/>
      <c r="F169" s="319"/>
      <c r="G169" s="319"/>
      <c r="H169" s="319"/>
      <c r="I169" s="319"/>
    </row>
    <row r="170" spans="1:9" s="9" customFormat="1" ht="20.100000000000001" customHeight="1" x14ac:dyDescent="0.2">
      <c r="A170" s="309" t="s">
        <v>86</v>
      </c>
      <c r="B170" s="309"/>
      <c r="C170" s="309"/>
      <c r="D170" s="309"/>
      <c r="E170" s="309"/>
      <c r="F170" s="44" t="str">
        <f>F86</f>
        <v>เมษายน</v>
      </c>
      <c r="G170" s="32" t="s">
        <v>87</v>
      </c>
      <c r="H170" s="43">
        <f>H86</f>
        <v>2569</v>
      </c>
      <c r="I170" s="42"/>
    </row>
    <row r="171" spans="1:9" s="3" customFormat="1" ht="20.100000000000001" customHeight="1" x14ac:dyDescent="0.35">
      <c r="A171" s="318" t="str">
        <f>$A$3</f>
        <v>เบอร์รถ….1.....</v>
      </c>
      <c r="B171" s="318"/>
      <c r="C171" s="318"/>
      <c r="D171" s="2"/>
      <c r="F171" s="4"/>
      <c r="G171" s="4"/>
      <c r="H171" s="4" t="s">
        <v>21</v>
      </c>
      <c r="I171" s="40">
        <f>I87+1</f>
        <v>3</v>
      </c>
    </row>
    <row r="172" spans="1:9" s="3" customFormat="1" ht="20.100000000000001" customHeight="1" x14ac:dyDescent="0.35">
      <c r="A172" s="311" t="str">
        <f>$A$4</f>
        <v>ทะเบียนรถ …6001....</v>
      </c>
      <c r="B172" s="311"/>
      <c r="C172" s="311"/>
      <c r="D172" s="2"/>
      <c r="E172" s="39" t="s">
        <v>81</v>
      </c>
      <c r="F172" s="308">
        <f>$F$4</f>
        <v>46107</v>
      </c>
      <c r="G172" s="308"/>
      <c r="H172" s="39" t="s">
        <v>82</v>
      </c>
      <c r="I172" s="34">
        <f>$I$4</f>
        <v>46136</v>
      </c>
    </row>
    <row r="173" spans="1:9" x14ac:dyDescent="0.2">
      <c r="A173" s="12" t="s">
        <v>23</v>
      </c>
      <c r="B173" s="13" t="s">
        <v>11</v>
      </c>
      <c r="C173" s="72" t="s">
        <v>26</v>
      </c>
      <c r="D173" s="12" t="s">
        <v>16</v>
      </c>
      <c r="E173" s="12" t="s">
        <v>17</v>
      </c>
      <c r="F173" s="310" t="s">
        <v>46</v>
      </c>
      <c r="G173" s="310"/>
      <c r="H173" s="310"/>
      <c r="I173" s="12" t="s">
        <v>19</v>
      </c>
    </row>
    <row r="174" spans="1:9" x14ac:dyDescent="0.2">
      <c r="A174" s="15"/>
      <c r="B174" s="16"/>
      <c r="C174" s="73"/>
      <c r="D174" s="15"/>
      <c r="E174" s="15"/>
      <c r="F174" s="21" t="s">
        <v>113</v>
      </c>
      <c r="G174" s="21" t="s">
        <v>114</v>
      </c>
      <c r="H174" s="21" t="s">
        <v>20</v>
      </c>
      <c r="I174" s="15"/>
    </row>
    <row r="175" spans="1:9" hidden="1" x14ac:dyDescent="0.2">
      <c r="A175" s="8" t="s">
        <v>0</v>
      </c>
      <c r="B175" s="5">
        <f>B157+1</f>
        <v>46121</v>
      </c>
      <c r="C175" s="74"/>
      <c r="D175" s="6"/>
      <c r="E175" s="6"/>
      <c r="F175" s="6"/>
      <c r="G175" s="6"/>
      <c r="H175" s="6"/>
      <c r="I175" s="6"/>
    </row>
    <row r="176" spans="1:9" hidden="1" x14ac:dyDescent="0.2">
      <c r="A176" s="8" t="s">
        <v>1</v>
      </c>
      <c r="B176" s="5"/>
      <c r="C176" s="74"/>
      <c r="D176" s="6"/>
      <c r="E176" s="6"/>
      <c r="F176" s="6"/>
      <c r="G176" s="6"/>
      <c r="H176" s="6"/>
      <c r="I176" s="6"/>
    </row>
    <row r="177" spans="1:9" hidden="1" x14ac:dyDescent="0.2">
      <c r="A177" s="8" t="s">
        <v>2</v>
      </c>
      <c r="B177" s="5"/>
      <c r="C177" s="74"/>
      <c r="D177" s="6"/>
      <c r="E177" s="6"/>
      <c r="F177" s="6"/>
      <c r="G177" s="6"/>
      <c r="H177" s="6"/>
      <c r="I177" s="6"/>
    </row>
    <row r="178" spans="1:9" hidden="1" x14ac:dyDescent="0.2">
      <c r="A178" s="8" t="s">
        <v>3</v>
      </c>
      <c r="B178" s="5"/>
      <c r="C178" s="74"/>
      <c r="D178" s="6"/>
      <c r="E178" s="6"/>
      <c r="F178" s="6"/>
      <c r="G178" s="6"/>
      <c r="H178" s="6"/>
      <c r="I178" s="6"/>
    </row>
    <row r="179" spans="1:9" hidden="1" x14ac:dyDescent="0.2">
      <c r="A179" s="8" t="s">
        <v>4</v>
      </c>
      <c r="B179" s="5"/>
      <c r="C179" s="74"/>
      <c r="D179" s="6"/>
      <c r="E179" s="6"/>
      <c r="F179" s="6"/>
      <c r="G179" s="6"/>
      <c r="H179" s="6"/>
      <c r="I179" s="6"/>
    </row>
    <row r="180" spans="1:9" hidden="1" x14ac:dyDescent="0.2">
      <c r="A180" s="8" t="s">
        <v>5</v>
      </c>
      <c r="B180" s="5"/>
      <c r="C180" s="74"/>
      <c r="D180" s="6"/>
      <c r="E180" s="6"/>
      <c r="F180" s="6"/>
      <c r="G180" s="6"/>
      <c r="H180" s="6"/>
      <c r="I180" s="6"/>
    </row>
    <row r="181" spans="1:9" hidden="1" x14ac:dyDescent="0.2">
      <c r="A181" s="8" t="s">
        <v>6</v>
      </c>
      <c r="B181" s="5"/>
      <c r="C181" s="74"/>
      <c r="D181" s="6"/>
      <c r="E181" s="6"/>
      <c r="F181" s="6"/>
      <c r="G181" s="6"/>
      <c r="H181" s="6"/>
      <c r="I181" s="6"/>
    </row>
    <row r="182" spans="1:9" hidden="1" x14ac:dyDescent="0.2">
      <c r="A182" s="8" t="s">
        <v>7</v>
      </c>
      <c r="B182" s="5"/>
      <c r="C182" s="74"/>
      <c r="D182" s="6"/>
      <c r="E182" s="6"/>
      <c r="F182" s="6"/>
      <c r="G182" s="6"/>
      <c r="H182" s="6"/>
      <c r="I182" s="6"/>
    </row>
    <row r="183" spans="1:9" hidden="1" x14ac:dyDescent="0.2">
      <c r="A183" s="8" t="s">
        <v>8</v>
      </c>
      <c r="B183" s="5"/>
      <c r="C183" s="74"/>
      <c r="D183" s="6"/>
      <c r="E183" s="6"/>
      <c r="F183" s="6"/>
      <c r="G183" s="6"/>
      <c r="H183" s="6"/>
      <c r="I183" s="6"/>
    </row>
    <row r="184" spans="1:9" hidden="1" x14ac:dyDescent="0.2">
      <c r="A184" s="8" t="s">
        <v>9</v>
      </c>
      <c r="B184" s="5"/>
      <c r="C184" s="74"/>
      <c r="D184" s="6"/>
      <c r="E184" s="6"/>
      <c r="F184" s="6"/>
      <c r="G184" s="6"/>
      <c r="H184" s="6"/>
      <c r="I184" s="6"/>
    </row>
    <row r="185" spans="1:9" hidden="1" x14ac:dyDescent="0.2">
      <c r="A185" s="312" t="s">
        <v>10</v>
      </c>
      <c r="B185" s="313"/>
      <c r="C185" s="313"/>
      <c r="D185" s="313"/>
      <c r="E185" s="314"/>
      <c r="F185" s="11">
        <f>SUM(F175:F184)</f>
        <v>0</v>
      </c>
      <c r="G185" s="11">
        <f>SUM(G175:G184)</f>
        <v>0</v>
      </c>
      <c r="H185" s="11">
        <f>SUM(H175:H184)</f>
        <v>0</v>
      </c>
      <c r="I185" s="11"/>
    </row>
    <row r="186" spans="1:9" x14ac:dyDescent="0.2">
      <c r="A186" s="8" t="s">
        <v>0</v>
      </c>
      <c r="B186" s="5">
        <f>B175+1</f>
        <v>46122</v>
      </c>
      <c r="C186" s="74" t="s">
        <v>1174</v>
      </c>
      <c r="D186" s="6" t="s">
        <v>1079</v>
      </c>
      <c r="E186" s="6" t="s">
        <v>190</v>
      </c>
      <c r="F186" s="6">
        <v>1</v>
      </c>
      <c r="G186" s="6"/>
      <c r="H186" s="6">
        <v>2</v>
      </c>
      <c r="I186" s="6"/>
    </row>
    <row r="187" spans="1:9" x14ac:dyDescent="0.2">
      <c r="A187" s="8" t="s">
        <v>1</v>
      </c>
      <c r="B187" s="5"/>
      <c r="C187" s="74" t="s">
        <v>1175</v>
      </c>
      <c r="D187" s="6" t="s">
        <v>188</v>
      </c>
      <c r="E187" s="6" t="s">
        <v>165</v>
      </c>
      <c r="F187" s="6">
        <v>1</v>
      </c>
      <c r="G187" s="6"/>
      <c r="H187" s="6">
        <v>6</v>
      </c>
      <c r="I187" s="6"/>
    </row>
    <row r="188" spans="1:9" x14ac:dyDescent="0.2">
      <c r="A188" s="8" t="s">
        <v>2</v>
      </c>
      <c r="B188" s="5"/>
      <c r="C188" s="74" t="s">
        <v>1176</v>
      </c>
      <c r="D188" s="6" t="s">
        <v>188</v>
      </c>
      <c r="E188" s="6" t="s">
        <v>165</v>
      </c>
      <c r="F188" s="6"/>
      <c r="G188" s="6">
        <v>1</v>
      </c>
      <c r="H188" s="6">
        <v>6</v>
      </c>
      <c r="I188" s="6"/>
    </row>
    <row r="189" spans="1:9" x14ac:dyDescent="0.2">
      <c r="A189" s="8" t="s">
        <v>3</v>
      </c>
      <c r="B189" s="5"/>
      <c r="C189" s="74" t="s">
        <v>1177</v>
      </c>
      <c r="D189" s="6" t="s">
        <v>188</v>
      </c>
      <c r="E189" s="6" t="s">
        <v>165</v>
      </c>
      <c r="F189" s="6"/>
      <c r="G189" s="6">
        <v>1</v>
      </c>
      <c r="H189" s="6">
        <v>6</v>
      </c>
      <c r="I189" s="6"/>
    </row>
    <row r="190" spans="1:9" hidden="1" x14ac:dyDescent="0.2">
      <c r="A190" s="8" t="s">
        <v>4</v>
      </c>
      <c r="B190" s="5"/>
      <c r="C190" s="74"/>
      <c r="D190" s="6"/>
      <c r="E190" s="6"/>
      <c r="F190" s="6"/>
      <c r="G190" s="6"/>
      <c r="H190" s="6"/>
      <c r="I190" s="6"/>
    </row>
    <row r="191" spans="1:9" hidden="1" x14ac:dyDescent="0.2">
      <c r="A191" s="8" t="s">
        <v>5</v>
      </c>
      <c r="B191" s="5"/>
      <c r="C191" s="74"/>
      <c r="D191" s="6"/>
      <c r="E191" s="6"/>
      <c r="F191" s="6"/>
      <c r="G191" s="6"/>
      <c r="H191" s="6"/>
      <c r="I191" s="6"/>
    </row>
    <row r="192" spans="1:9" hidden="1" x14ac:dyDescent="0.2">
      <c r="A192" s="8" t="s">
        <v>6</v>
      </c>
      <c r="B192" s="5"/>
      <c r="C192" s="74"/>
      <c r="D192" s="6"/>
      <c r="E192" s="6"/>
      <c r="F192" s="6"/>
      <c r="G192" s="6"/>
      <c r="H192" s="6"/>
      <c r="I192" s="6"/>
    </row>
    <row r="193" spans="1:9" hidden="1" x14ac:dyDescent="0.2">
      <c r="A193" s="8" t="s">
        <v>7</v>
      </c>
      <c r="B193" s="5"/>
      <c r="C193" s="74"/>
      <c r="D193" s="6"/>
      <c r="E193" s="6"/>
      <c r="F193" s="6"/>
      <c r="G193" s="6"/>
      <c r="H193" s="6"/>
      <c r="I193" s="6"/>
    </row>
    <row r="194" spans="1:9" hidden="1" x14ac:dyDescent="0.2">
      <c r="A194" s="8" t="s">
        <v>8</v>
      </c>
      <c r="B194" s="5"/>
      <c r="C194" s="74"/>
      <c r="D194" s="6"/>
      <c r="E194" s="6"/>
      <c r="F194" s="6"/>
      <c r="G194" s="6"/>
      <c r="H194" s="6"/>
      <c r="I194" s="6"/>
    </row>
    <row r="195" spans="1:9" hidden="1" x14ac:dyDescent="0.2">
      <c r="A195" s="8" t="s">
        <v>9</v>
      </c>
      <c r="B195" s="5"/>
      <c r="C195" s="74"/>
      <c r="D195" s="6"/>
      <c r="E195" s="6"/>
      <c r="F195" s="6"/>
      <c r="G195" s="6"/>
      <c r="H195" s="6"/>
      <c r="I195" s="6"/>
    </row>
    <row r="196" spans="1:9" x14ac:dyDescent="0.2">
      <c r="A196" s="312" t="s">
        <v>10</v>
      </c>
      <c r="B196" s="313"/>
      <c r="C196" s="313"/>
      <c r="D196" s="313"/>
      <c r="E196" s="314"/>
      <c r="F196" s="11">
        <f>SUM(F186:F195)</f>
        <v>2</v>
      </c>
      <c r="G196" s="11">
        <f>SUM(G186:G195)</f>
        <v>2</v>
      </c>
      <c r="H196" s="11">
        <f>SUM(H186:H195)</f>
        <v>20</v>
      </c>
      <c r="I196" s="11"/>
    </row>
    <row r="197" spans="1:9" hidden="1" x14ac:dyDescent="0.2">
      <c r="A197" s="8" t="s">
        <v>0</v>
      </c>
      <c r="B197" s="5">
        <f>B186+1</f>
        <v>46123</v>
      </c>
      <c r="C197" s="74"/>
      <c r="D197" s="6"/>
      <c r="E197" s="6"/>
      <c r="F197" s="6"/>
      <c r="G197" s="6"/>
      <c r="H197" s="6"/>
      <c r="I197" s="6"/>
    </row>
    <row r="198" spans="1:9" hidden="1" x14ac:dyDescent="0.2">
      <c r="A198" s="8" t="s">
        <v>1</v>
      </c>
      <c r="B198" s="5"/>
      <c r="C198" s="74"/>
      <c r="D198" s="6"/>
      <c r="E198" s="6"/>
      <c r="F198" s="6"/>
      <c r="G198" s="6"/>
      <c r="H198" s="6"/>
      <c r="I198" s="6"/>
    </row>
    <row r="199" spans="1:9" hidden="1" x14ac:dyDescent="0.2">
      <c r="A199" s="8" t="s">
        <v>2</v>
      </c>
      <c r="B199" s="5"/>
      <c r="C199" s="74"/>
      <c r="D199" s="6"/>
      <c r="E199" s="6"/>
      <c r="F199" s="6"/>
      <c r="G199" s="6"/>
      <c r="H199" s="6"/>
      <c r="I199" s="6"/>
    </row>
    <row r="200" spans="1:9" hidden="1" x14ac:dyDescent="0.2">
      <c r="A200" s="8" t="s">
        <v>3</v>
      </c>
      <c r="B200" s="5"/>
      <c r="C200" s="74"/>
      <c r="D200" s="6"/>
      <c r="E200" s="6"/>
      <c r="F200" s="6"/>
      <c r="G200" s="6"/>
      <c r="H200" s="6"/>
      <c r="I200" s="6"/>
    </row>
    <row r="201" spans="1:9" hidden="1" x14ac:dyDescent="0.2">
      <c r="A201" s="8" t="s">
        <v>4</v>
      </c>
      <c r="B201" s="5"/>
      <c r="C201" s="74"/>
      <c r="D201" s="6"/>
      <c r="E201" s="6"/>
      <c r="F201" s="6"/>
      <c r="G201" s="6"/>
      <c r="H201" s="6"/>
      <c r="I201" s="6"/>
    </row>
    <row r="202" spans="1:9" hidden="1" x14ac:dyDescent="0.2">
      <c r="A202" s="8" t="s">
        <v>5</v>
      </c>
      <c r="B202" s="5"/>
      <c r="C202" s="74"/>
      <c r="D202" s="6"/>
      <c r="E202" s="6"/>
      <c r="F202" s="6"/>
      <c r="G202" s="6"/>
      <c r="H202" s="6"/>
      <c r="I202" s="6"/>
    </row>
    <row r="203" spans="1:9" hidden="1" x14ac:dyDescent="0.2">
      <c r="A203" s="8" t="s">
        <v>6</v>
      </c>
      <c r="B203" s="5"/>
      <c r="C203" s="74"/>
      <c r="D203" s="6"/>
      <c r="E203" s="6"/>
      <c r="F203" s="6"/>
      <c r="G203" s="6"/>
      <c r="H203" s="6"/>
      <c r="I203" s="6"/>
    </row>
    <row r="204" spans="1:9" hidden="1" x14ac:dyDescent="0.2">
      <c r="A204" s="8" t="s">
        <v>7</v>
      </c>
      <c r="B204" s="5"/>
      <c r="C204" s="74"/>
      <c r="D204" s="6"/>
      <c r="E204" s="6"/>
      <c r="F204" s="6"/>
      <c r="G204" s="6"/>
      <c r="H204" s="6"/>
      <c r="I204" s="6"/>
    </row>
    <row r="205" spans="1:9" hidden="1" x14ac:dyDescent="0.2">
      <c r="A205" s="8" t="s">
        <v>8</v>
      </c>
      <c r="B205" s="5"/>
      <c r="C205" s="74"/>
      <c r="D205" s="6"/>
      <c r="E205" s="6"/>
      <c r="F205" s="6"/>
      <c r="G205" s="6"/>
      <c r="H205" s="6"/>
      <c r="I205" s="6"/>
    </row>
    <row r="206" spans="1:9" hidden="1" x14ac:dyDescent="0.2">
      <c r="A206" s="8" t="s">
        <v>9</v>
      </c>
      <c r="B206" s="5"/>
      <c r="C206" s="74"/>
      <c r="D206" s="6"/>
      <c r="E206" s="6"/>
      <c r="F206" s="6"/>
      <c r="G206" s="6"/>
      <c r="H206" s="6"/>
      <c r="I206" s="6"/>
    </row>
    <row r="207" spans="1:9" hidden="1" x14ac:dyDescent="0.2">
      <c r="A207" s="312" t="s">
        <v>10</v>
      </c>
      <c r="B207" s="313"/>
      <c r="C207" s="313"/>
      <c r="D207" s="313"/>
      <c r="E207" s="314"/>
      <c r="F207" s="11">
        <f>SUM(F197:F206)</f>
        <v>0</v>
      </c>
      <c r="G207" s="11">
        <f>SUM(G197:G206)</f>
        <v>0</v>
      </c>
      <c r="H207" s="11">
        <f>SUM(H197:H206)</f>
        <v>0</v>
      </c>
      <c r="I207" s="11"/>
    </row>
    <row r="208" spans="1:9" hidden="1" x14ac:dyDescent="0.2">
      <c r="A208" s="8" t="s">
        <v>0</v>
      </c>
      <c r="B208" s="5">
        <f>B197+1</f>
        <v>46124</v>
      </c>
      <c r="C208" s="75"/>
      <c r="D208" s="6"/>
      <c r="E208" s="6"/>
      <c r="F208" s="6"/>
      <c r="G208" s="6"/>
      <c r="H208" s="6"/>
      <c r="I208" s="6"/>
    </row>
    <row r="209" spans="1:9" hidden="1" x14ac:dyDescent="0.2">
      <c r="A209" s="8" t="s">
        <v>1</v>
      </c>
      <c r="B209" s="5"/>
      <c r="C209" s="75"/>
      <c r="D209" s="6"/>
      <c r="E209" s="6"/>
      <c r="F209" s="6"/>
      <c r="G209" s="6"/>
      <c r="H209" s="6"/>
      <c r="I209" s="6"/>
    </row>
    <row r="210" spans="1:9" hidden="1" x14ac:dyDescent="0.2">
      <c r="A210" s="8" t="s">
        <v>2</v>
      </c>
      <c r="B210" s="5"/>
      <c r="C210" s="75"/>
      <c r="D210" s="6"/>
      <c r="E210" s="6"/>
      <c r="F210" s="6"/>
      <c r="G210" s="6"/>
      <c r="H210" s="6"/>
      <c r="I210" s="6"/>
    </row>
    <row r="211" spans="1:9" hidden="1" x14ac:dyDescent="0.2">
      <c r="A211" s="8" t="s">
        <v>3</v>
      </c>
      <c r="B211" s="5"/>
      <c r="C211" s="75"/>
      <c r="D211" s="6"/>
      <c r="E211" s="6"/>
      <c r="F211" s="6"/>
      <c r="G211" s="6"/>
      <c r="H211" s="6"/>
      <c r="I211" s="6"/>
    </row>
    <row r="212" spans="1:9" hidden="1" x14ac:dyDescent="0.2">
      <c r="A212" s="8" t="s">
        <v>4</v>
      </c>
      <c r="B212" s="5"/>
      <c r="C212" s="75"/>
      <c r="D212" s="6"/>
      <c r="E212" s="6"/>
      <c r="F212" s="6"/>
      <c r="G212" s="6"/>
      <c r="H212" s="6"/>
      <c r="I212" s="6"/>
    </row>
    <row r="213" spans="1:9" hidden="1" x14ac:dyDescent="0.2">
      <c r="A213" s="8" t="s">
        <v>5</v>
      </c>
      <c r="B213" s="5"/>
      <c r="C213" s="75"/>
      <c r="D213" s="6"/>
      <c r="E213" s="6"/>
      <c r="F213" s="6"/>
      <c r="G213" s="6"/>
      <c r="H213" s="6"/>
      <c r="I213" s="6"/>
    </row>
    <row r="214" spans="1:9" hidden="1" x14ac:dyDescent="0.2">
      <c r="A214" s="8" t="s">
        <v>6</v>
      </c>
      <c r="B214" s="5"/>
      <c r="C214" s="75"/>
      <c r="D214" s="6"/>
      <c r="E214" s="6"/>
      <c r="F214" s="6"/>
      <c r="G214" s="6"/>
      <c r="H214" s="6"/>
      <c r="I214" s="6"/>
    </row>
    <row r="215" spans="1:9" hidden="1" x14ac:dyDescent="0.2">
      <c r="A215" s="8" t="s">
        <v>7</v>
      </c>
      <c r="B215" s="5"/>
      <c r="C215" s="74"/>
      <c r="D215" s="6"/>
      <c r="E215" s="6"/>
      <c r="F215" s="6"/>
      <c r="G215" s="6"/>
      <c r="H215" s="6"/>
      <c r="I215" s="6"/>
    </row>
    <row r="216" spans="1:9" hidden="1" x14ac:dyDescent="0.2">
      <c r="A216" s="8" t="s">
        <v>8</v>
      </c>
      <c r="B216" s="5"/>
      <c r="C216" s="74"/>
      <c r="D216" s="6"/>
      <c r="E216" s="6"/>
      <c r="F216" s="6"/>
      <c r="G216" s="6"/>
      <c r="H216" s="6"/>
      <c r="I216" s="6"/>
    </row>
    <row r="217" spans="1:9" hidden="1" x14ac:dyDescent="0.2">
      <c r="A217" s="8" t="s">
        <v>9</v>
      </c>
      <c r="B217" s="5"/>
      <c r="C217" s="74"/>
      <c r="D217" s="6"/>
      <c r="E217" s="6"/>
      <c r="F217" s="6"/>
      <c r="G217" s="6"/>
      <c r="H217" s="6"/>
      <c r="I217" s="6"/>
    </row>
    <row r="218" spans="1:9" hidden="1" x14ac:dyDescent="0.2">
      <c r="A218" s="312" t="s">
        <v>10</v>
      </c>
      <c r="B218" s="313"/>
      <c r="C218" s="313"/>
      <c r="D218" s="313"/>
      <c r="E218" s="314"/>
      <c r="F218" s="11">
        <f>SUM(F208:F217)</f>
        <v>0</v>
      </c>
      <c r="G218" s="11">
        <f>SUM(G208:G217)</f>
        <v>0</v>
      </c>
      <c r="H218" s="11">
        <f>SUM(H208:H217)</f>
        <v>0</v>
      </c>
      <c r="I218" s="11"/>
    </row>
    <row r="219" spans="1:9" hidden="1" x14ac:dyDescent="0.2">
      <c r="A219" s="8" t="s">
        <v>0</v>
      </c>
      <c r="B219" s="5">
        <f>B208+1</f>
        <v>46125</v>
      </c>
      <c r="C219" s="75"/>
      <c r="D219" s="6"/>
      <c r="E219" s="6"/>
      <c r="F219" s="6"/>
      <c r="G219" s="6"/>
      <c r="H219" s="6"/>
      <c r="I219" s="6"/>
    </row>
    <row r="220" spans="1:9" hidden="1" x14ac:dyDescent="0.2">
      <c r="A220" s="8" t="s">
        <v>1</v>
      </c>
      <c r="B220" s="5"/>
      <c r="C220" s="75"/>
      <c r="D220" s="6"/>
      <c r="E220" s="6"/>
      <c r="F220" s="6"/>
      <c r="G220" s="6"/>
      <c r="H220" s="6"/>
      <c r="I220" s="6"/>
    </row>
    <row r="221" spans="1:9" hidden="1" x14ac:dyDescent="0.2">
      <c r="A221" s="8" t="s">
        <v>2</v>
      </c>
      <c r="B221" s="5"/>
      <c r="C221" s="75"/>
      <c r="D221" s="6"/>
      <c r="E221" s="6"/>
      <c r="F221" s="6"/>
      <c r="G221" s="6"/>
      <c r="H221" s="6"/>
      <c r="I221" s="6"/>
    </row>
    <row r="222" spans="1:9" hidden="1" x14ac:dyDescent="0.2">
      <c r="A222" s="8" t="s">
        <v>3</v>
      </c>
      <c r="B222" s="5"/>
      <c r="C222" s="75"/>
      <c r="D222" s="6"/>
      <c r="E222" s="6"/>
      <c r="F222" s="6"/>
      <c r="G222" s="6"/>
      <c r="H222" s="6"/>
      <c r="I222" s="6"/>
    </row>
    <row r="223" spans="1:9" hidden="1" x14ac:dyDescent="0.2">
      <c r="A223" s="8" t="s">
        <v>4</v>
      </c>
      <c r="B223" s="5"/>
      <c r="C223" s="75"/>
      <c r="D223" s="6"/>
      <c r="E223" s="6"/>
      <c r="F223" s="6"/>
      <c r="G223" s="6"/>
      <c r="H223" s="6"/>
      <c r="I223" s="6"/>
    </row>
    <row r="224" spans="1:9" hidden="1" x14ac:dyDescent="0.2">
      <c r="A224" s="8" t="s">
        <v>5</v>
      </c>
      <c r="B224" s="5"/>
      <c r="C224" s="75"/>
      <c r="D224" s="6"/>
      <c r="E224" s="6"/>
      <c r="F224" s="6"/>
      <c r="G224" s="6"/>
      <c r="H224" s="6"/>
      <c r="I224" s="6"/>
    </row>
    <row r="225" spans="1:9" hidden="1" x14ac:dyDescent="0.2">
      <c r="A225" s="8" t="s">
        <v>6</v>
      </c>
      <c r="B225" s="5"/>
      <c r="C225" s="74"/>
      <c r="D225" s="6"/>
      <c r="E225" s="6"/>
      <c r="F225" s="6"/>
      <c r="G225" s="6"/>
      <c r="H225" s="6"/>
      <c r="I225" s="6"/>
    </row>
    <row r="226" spans="1:9" hidden="1" x14ac:dyDescent="0.2">
      <c r="A226" s="8" t="s">
        <v>7</v>
      </c>
      <c r="B226" s="5"/>
      <c r="C226" s="74"/>
      <c r="D226" s="6"/>
      <c r="E226" s="6"/>
      <c r="F226" s="6"/>
      <c r="G226" s="6"/>
      <c r="H226" s="6"/>
      <c r="I226" s="6"/>
    </row>
    <row r="227" spans="1:9" hidden="1" x14ac:dyDescent="0.2">
      <c r="A227" s="8" t="s">
        <v>8</v>
      </c>
      <c r="B227" s="5"/>
      <c r="C227" s="74"/>
      <c r="D227" s="6"/>
      <c r="E227" s="6"/>
      <c r="F227" s="6"/>
      <c r="G227" s="6"/>
      <c r="H227" s="6"/>
      <c r="I227" s="6"/>
    </row>
    <row r="228" spans="1:9" hidden="1" x14ac:dyDescent="0.2">
      <c r="A228" s="8" t="s">
        <v>9</v>
      </c>
      <c r="B228" s="5"/>
      <c r="C228" s="74"/>
      <c r="D228" s="6"/>
      <c r="E228" s="6"/>
      <c r="F228" s="6"/>
      <c r="G228" s="6"/>
      <c r="H228" s="6"/>
      <c r="I228" s="6"/>
    </row>
    <row r="229" spans="1:9" hidden="1" x14ac:dyDescent="0.2">
      <c r="A229" s="312" t="s">
        <v>10</v>
      </c>
      <c r="B229" s="313"/>
      <c r="C229" s="313"/>
      <c r="D229" s="313"/>
      <c r="E229" s="314"/>
      <c r="F229" s="11">
        <f>SUM(F219:F228)</f>
        <v>0</v>
      </c>
      <c r="G229" s="11">
        <f>SUM(G219:G228)</f>
        <v>0</v>
      </c>
      <c r="H229" s="11">
        <f>SUM(H219:H228)</f>
        <v>0</v>
      </c>
      <c r="I229" s="11"/>
    </row>
    <row r="230" spans="1:9" hidden="1" x14ac:dyDescent="0.2">
      <c r="A230" s="8" t="s">
        <v>0</v>
      </c>
      <c r="B230" s="5">
        <f>B219+1</f>
        <v>46126</v>
      </c>
      <c r="C230" s="75"/>
      <c r="D230" s="6"/>
      <c r="E230" s="6"/>
      <c r="F230" s="6"/>
      <c r="G230" s="6"/>
      <c r="H230" s="6"/>
      <c r="I230" s="6"/>
    </row>
    <row r="231" spans="1:9" hidden="1" x14ac:dyDescent="0.2">
      <c r="A231" s="8" t="s">
        <v>1</v>
      </c>
      <c r="B231" s="5"/>
      <c r="C231" s="75"/>
      <c r="D231" s="6"/>
      <c r="E231" s="6"/>
      <c r="F231" s="6"/>
      <c r="G231" s="6"/>
      <c r="H231" s="6"/>
      <c r="I231" s="6"/>
    </row>
    <row r="232" spans="1:9" hidden="1" x14ac:dyDescent="0.2">
      <c r="A232" s="8" t="s">
        <v>2</v>
      </c>
      <c r="B232" s="5"/>
      <c r="C232" s="75"/>
      <c r="D232" s="6"/>
      <c r="E232" s="6"/>
      <c r="F232" s="6"/>
      <c r="G232" s="6"/>
      <c r="H232" s="6"/>
      <c r="I232" s="6"/>
    </row>
    <row r="233" spans="1:9" hidden="1" x14ac:dyDescent="0.2">
      <c r="A233" s="8" t="s">
        <v>3</v>
      </c>
      <c r="B233" s="5"/>
      <c r="C233" s="75"/>
      <c r="D233" s="6"/>
      <c r="E233" s="6"/>
      <c r="F233" s="6"/>
      <c r="G233" s="6"/>
      <c r="H233" s="6"/>
      <c r="I233" s="6"/>
    </row>
    <row r="234" spans="1:9" hidden="1" x14ac:dyDescent="0.2">
      <c r="A234" s="8" t="s">
        <v>4</v>
      </c>
      <c r="B234" s="5"/>
      <c r="C234" s="75"/>
      <c r="D234" s="6"/>
      <c r="E234" s="6"/>
      <c r="F234" s="6"/>
      <c r="G234" s="6"/>
      <c r="H234" s="6"/>
      <c r="I234" s="6"/>
    </row>
    <row r="235" spans="1:9" hidden="1" x14ac:dyDescent="0.2">
      <c r="A235" s="8" t="s">
        <v>5</v>
      </c>
      <c r="B235" s="5"/>
      <c r="C235" s="75"/>
      <c r="D235" s="6"/>
      <c r="E235" s="6"/>
      <c r="F235" s="6"/>
      <c r="G235" s="6"/>
      <c r="H235" s="6"/>
      <c r="I235" s="6"/>
    </row>
    <row r="236" spans="1:9" hidden="1" x14ac:dyDescent="0.2">
      <c r="A236" s="8" t="s">
        <v>6</v>
      </c>
      <c r="B236" s="5"/>
      <c r="C236" s="75"/>
      <c r="D236" s="6"/>
      <c r="E236" s="6"/>
      <c r="F236" s="6"/>
      <c r="G236" s="6"/>
      <c r="H236" s="6"/>
      <c r="I236" s="6"/>
    </row>
    <row r="237" spans="1:9" hidden="1" x14ac:dyDescent="0.2">
      <c r="A237" s="8" t="s">
        <v>7</v>
      </c>
      <c r="B237" s="5"/>
      <c r="C237" s="75"/>
      <c r="D237" s="6"/>
      <c r="E237" s="6"/>
      <c r="F237" s="6"/>
      <c r="G237" s="6"/>
      <c r="H237" s="6"/>
      <c r="I237" s="6"/>
    </row>
    <row r="238" spans="1:9" hidden="1" x14ac:dyDescent="0.2">
      <c r="A238" s="8" t="s">
        <v>8</v>
      </c>
      <c r="B238" s="5"/>
      <c r="C238" s="75"/>
      <c r="D238" s="6"/>
      <c r="E238" s="6"/>
      <c r="F238" s="6"/>
      <c r="G238" s="6"/>
      <c r="H238" s="6"/>
      <c r="I238" s="6"/>
    </row>
    <row r="239" spans="1:9" hidden="1" x14ac:dyDescent="0.2">
      <c r="A239" s="8" t="s">
        <v>9</v>
      </c>
      <c r="B239" s="5"/>
      <c r="C239" s="75"/>
      <c r="D239" s="6"/>
      <c r="E239" s="6"/>
      <c r="F239" s="6"/>
      <c r="G239" s="6"/>
      <c r="H239" s="6"/>
      <c r="I239" s="6"/>
    </row>
    <row r="240" spans="1:9" hidden="1" x14ac:dyDescent="0.2">
      <c r="A240" s="312" t="s">
        <v>10</v>
      </c>
      <c r="B240" s="313"/>
      <c r="C240" s="313"/>
      <c r="D240" s="313"/>
      <c r="E240" s="314"/>
      <c r="F240" s="11">
        <f>SUM(F230:F239)</f>
        <v>0</v>
      </c>
      <c r="G240" s="11">
        <f>SUM(G230:G239)</f>
        <v>0</v>
      </c>
      <c r="H240" s="11">
        <f>SUM(H230:H239)</f>
        <v>0</v>
      </c>
      <c r="I240" s="11"/>
    </row>
    <row r="241" spans="1:9" hidden="1" x14ac:dyDescent="0.2">
      <c r="A241" s="8" t="s">
        <v>0</v>
      </c>
      <c r="B241" s="5">
        <f>B230+1</f>
        <v>46127</v>
      </c>
      <c r="C241" s="74"/>
      <c r="D241" s="6"/>
      <c r="E241" s="6"/>
      <c r="F241" s="6"/>
      <c r="G241" s="6"/>
      <c r="H241" s="6"/>
      <c r="I241" s="6"/>
    </row>
    <row r="242" spans="1:9" hidden="1" x14ac:dyDescent="0.2">
      <c r="A242" s="8" t="s">
        <v>1</v>
      </c>
      <c r="B242" s="5"/>
      <c r="C242" s="74"/>
      <c r="D242" s="6"/>
      <c r="E242" s="6"/>
      <c r="F242" s="6"/>
      <c r="G242" s="6"/>
      <c r="H242" s="6"/>
      <c r="I242" s="6"/>
    </row>
    <row r="243" spans="1:9" hidden="1" x14ac:dyDescent="0.2">
      <c r="A243" s="8" t="s">
        <v>2</v>
      </c>
      <c r="B243" s="5"/>
      <c r="C243" s="74"/>
      <c r="D243" s="6"/>
      <c r="E243" s="6"/>
      <c r="F243" s="6"/>
      <c r="G243" s="6"/>
      <c r="H243" s="6"/>
      <c r="I243" s="6"/>
    </row>
    <row r="244" spans="1:9" hidden="1" x14ac:dyDescent="0.2">
      <c r="A244" s="8" t="s">
        <v>3</v>
      </c>
      <c r="B244" s="5"/>
      <c r="C244" s="74"/>
      <c r="D244" s="6"/>
      <c r="E244" s="6"/>
      <c r="F244" s="6"/>
      <c r="G244" s="6"/>
      <c r="H244" s="6"/>
      <c r="I244" s="6"/>
    </row>
    <row r="245" spans="1:9" hidden="1" x14ac:dyDescent="0.2">
      <c r="A245" s="8" t="s">
        <v>4</v>
      </c>
      <c r="B245" s="5"/>
      <c r="C245" s="74"/>
      <c r="D245" s="6"/>
      <c r="E245" s="6"/>
      <c r="F245" s="6"/>
      <c r="G245" s="6"/>
      <c r="H245" s="6"/>
      <c r="I245" s="6"/>
    </row>
    <row r="246" spans="1:9" hidden="1" x14ac:dyDescent="0.2">
      <c r="A246" s="8" t="s">
        <v>5</v>
      </c>
      <c r="B246" s="5"/>
      <c r="C246" s="74"/>
      <c r="D246" s="6"/>
      <c r="E246" s="6"/>
      <c r="F246" s="6"/>
      <c r="G246" s="6"/>
      <c r="H246" s="6"/>
      <c r="I246" s="6"/>
    </row>
    <row r="247" spans="1:9" hidden="1" x14ac:dyDescent="0.2">
      <c r="A247" s="8" t="s">
        <v>6</v>
      </c>
      <c r="B247" s="5"/>
      <c r="C247" s="74"/>
      <c r="D247" s="6"/>
      <c r="E247" s="6"/>
      <c r="F247" s="6"/>
      <c r="G247" s="6"/>
      <c r="H247" s="6"/>
      <c r="I247" s="6"/>
    </row>
    <row r="248" spans="1:9" hidden="1" x14ac:dyDescent="0.2">
      <c r="A248" s="8" t="s">
        <v>7</v>
      </c>
      <c r="B248" s="5"/>
      <c r="C248" s="74"/>
      <c r="D248" s="6"/>
      <c r="E248" s="6"/>
      <c r="F248" s="6"/>
      <c r="G248" s="6"/>
      <c r="H248" s="6"/>
      <c r="I248" s="6"/>
    </row>
    <row r="249" spans="1:9" hidden="1" x14ac:dyDescent="0.2">
      <c r="A249" s="8" t="s">
        <v>8</v>
      </c>
      <c r="B249" s="5"/>
      <c r="C249" s="74"/>
      <c r="D249" s="6"/>
      <c r="E249" s="6"/>
      <c r="F249" s="6"/>
      <c r="G249" s="6"/>
      <c r="H249" s="6"/>
      <c r="I249" s="6"/>
    </row>
    <row r="250" spans="1:9" hidden="1" x14ac:dyDescent="0.2">
      <c r="A250" s="8" t="s">
        <v>9</v>
      </c>
      <c r="B250" s="5"/>
      <c r="C250" s="74"/>
      <c r="D250" s="6"/>
      <c r="E250" s="6"/>
      <c r="F250" s="6"/>
      <c r="G250" s="6"/>
      <c r="H250" s="6"/>
      <c r="I250" s="6"/>
    </row>
    <row r="251" spans="1:9" hidden="1" x14ac:dyDescent="0.2">
      <c r="A251" s="312" t="s">
        <v>10</v>
      </c>
      <c r="B251" s="313"/>
      <c r="C251" s="313"/>
      <c r="D251" s="313"/>
      <c r="E251" s="314"/>
      <c r="F251" s="11">
        <f>SUM(F241:F250)</f>
        <v>0</v>
      </c>
      <c r="G251" s="11">
        <f>SUM(G241:G250)</f>
        <v>0</v>
      </c>
      <c r="H251" s="11">
        <f>SUM(H241:H250)</f>
        <v>0</v>
      </c>
      <c r="I251" s="11"/>
    </row>
    <row r="252" spans="1:9" s="23" customFormat="1" ht="18" x14ac:dyDescent="0.2">
      <c r="A252" s="315" t="s">
        <v>39</v>
      </c>
      <c r="B252" s="316"/>
      <c r="C252" s="316"/>
      <c r="D252" s="316"/>
      <c r="E252" s="317"/>
      <c r="F252" s="22">
        <f>F185+F196+F207+F218+F229+F240+F251+F168</f>
        <v>64</v>
      </c>
      <c r="G252" s="22">
        <f>G185+G196+G207+G218+G229+G240+G251+G168</f>
        <v>19</v>
      </c>
      <c r="H252" s="22">
        <f>H185+H196+H207+H218+H229+H240+H251+H168</f>
        <v>445.5</v>
      </c>
      <c r="I252" s="22"/>
    </row>
    <row r="253" spans="1:9" ht="21.95" customHeight="1" x14ac:dyDescent="0.2">
      <c r="A253" s="319" t="s">
        <v>14</v>
      </c>
      <c r="B253" s="319"/>
      <c r="C253" s="319"/>
      <c r="D253" s="319"/>
      <c r="E253" s="319"/>
      <c r="F253" s="319"/>
      <c r="G253" s="319"/>
      <c r="H253" s="319"/>
      <c r="I253" s="319"/>
    </row>
    <row r="254" spans="1:9" s="9" customFormat="1" ht="20.100000000000001" customHeight="1" x14ac:dyDescent="0.2">
      <c r="A254" s="309" t="s">
        <v>86</v>
      </c>
      <c r="B254" s="309"/>
      <c r="C254" s="309"/>
      <c r="D254" s="309"/>
      <c r="E254" s="309"/>
      <c r="F254" s="44" t="str">
        <f>F170</f>
        <v>เมษายน</v>
      </c>
      <c r="G254" s="32" t="s">
        <v>87</v>
      </c>
      <c r="H254" s="43">
        <f>H170</f>
        <v>2569</v>
      </c>
      <c r="I254" s="42"/>
    </row>
    <row r="255" spans="1:9" s="3" customFormat="1" ht="20.100000000000001" customHeight="1" x14ac:dyDescent="0.35">
      <c r="A255" s="318" t="str">
        <f>$A$3</f>
        <v>เบอร์รถ….1.....</v>
      </c>
      <c r="B255" s="318"/>
      <c r="C255" s="318"/>
      <c r="D255" s="2"/>
      <c r="F255" s="4"/>
      <c r="G255" s="4"/>
      <c r="H255" s="4" t="s">
        <v>21</v>
      </c>
      <c r="I255" s="40">
        <f>I171+1</f>
        <v>4</v>
      </c>
    </row>
    <row r="256" spans="1:9" s="3" customFormat="1" ht="20.100000000000001" customHeight="1" x14ac:dyDescent="0.35">
      <c r="A256" s="311" t="str">
        <f>$A$4</f>
        <v>ทะเบียนรถ …6001....</v>
      </c>
      <c r="B256" s="311"/>
      <c r="C256" s="311"/>
      <c r="D256" s="2"/>
      <c r="E256" s="39" t="s">
        <v>81</v>
      </c>
      <c r="F256" s="308">
        <f>$F$4</f>
        <v>46107</v>
      </c>
      <c r="G256" s="308"/>
      <c r="H256" s="39" t="s">
        <v>82</v>
      </c>
      <c r="I256" s="34">
        <f>$I$4</f>
        <v>46136</v>
      </c>
    </row>
    <row r="257" spans="1:9" x14ac:dyDescent="0.2">
      <c r="A257" s="12" t="s">
        <v>23</v>
      </c>
      <c r="B257" s="13" t="s">
        <v>11</v>
      </c>
      <c r="C257" s="72" t="s">
        <v>26</v>
      </c>
      <c r="D257" s="12" t="s">
        <v>16</v>
      </c>
      <c r="E257" s="12" t="s">
        <v>17</v>
      </c>
      <c r="F257" s="310" t="s">
        <v>46</v>
      </c>
      <c r="G257" s="310"/>
      <c r="H257" s="310"/>
      <c r="I257" s="12" t="s">
        <v>19</v>
      </c>
    </row>
    <row r="258" spans="1:9" x14ac:dyDescent="0.2">
      <c r="A258" s="15"/>
      <c r="B258" s="16"/>
      <c r="C258" s="73"/>
      <c r="D258" s="15"/>
      <c r="E258" s="15"/>
      <c r="F258" s="21" t="s">
        <v>113</v>
      </c>
      <c r="G258" s="21" t="s">
        <v>114</v>
      </c>
      <c r="H258" s="21" t="s">
        <v>20</v>
      </c>
      <c r="I258" s="15"/>
    </row>
    <row r="259" spans="1:9" hidden="1" x14ac:dyDescent="0.2">
      <c r="A259" s="8" t="s">
        <v>0</v>
      </c>
      <c r="B259" s="5">
        <f>B241+1</f>
        <v>46128</v>
      </c>
      <c r="C259" s="74"/>
      <c r="D259" s="6"/>
      <c r="E259" s="6"/>
      <c r="F259" s="6"/>
      <c r="G259" s="6"/>
      <c r="H259" s="6"/>
      <c r="I259" s="6"/>
    </row>
    <row r="260" spans="1:9" hidden="1" x14ac:dyDescent="0.2">
      <c r="A260" s="8" t="s">
        <v>1</v>
      </c>
      <c r="B260" s="5"/>
      <c r="C260" s="74"/>
      <c r="D260" s="6"/>
      <c r="E260" s="6"/>
      <c r="F260" s="6"/>
      <c r="G260" s="6"/>
      <c r="H260" s="6"/>
      <c r="I260" s="6"/>
    </row>
    <row r="261" spans="1:9" hidden="1" x14ac:dyDescent="0.2">
      <c r="A261" s="8" t="s">
        <v>2</v>
      </c>
      <c r="B261" s="5"/>
      <c r="C261" s="74"/>
      <c r="D261" s="6"/>
      <c r="E261" s="6"/>
      <c r="F261" s="6"/>
      <c r="G261" s="6"/>
      <c r="H261" s="6"/>
      <c r="I261" s="6"/>
    </row>
    <row r="262" spans="1:9" hidden="1" x14ac:dyDescent="0.2">
      <c r="A262" s="8" t="s">
        <v>3</v>
      </c>
      <c r="B262" s="5"/>
      <c r="C262" s="74"/>
      <c r="D262" s="6"/>
      <c r="E262" s="6"/>
      <c r="F262" s="6"/>
      <c r="G262" s="6"/>
      <c r="H262" s="6"/>
      <c r="I262" s="6"/>
    </row>
    <row r="263" spans="1:9" hidden="1" x14ac:dyDescent="0.2">
      <c r="A263" s="8" t="s">
        <v>4</v>
      </c>
      <c r="B263" s="5"/>
      <c r="C263" s="74"/>
      <c r="D263" s="6"/>
      <c r="E263" s="6"/>
      <c r="F263" s="6"/>
      <c r="G263" s="6"/>
      <c r="H263" s="6"/>
      <c r="I263" s="6"/>
    </row>
    <row r="264" spans="1:9" hidden="1" x14ac:dyDescent="0.2">
      <c r="A264" s="8" t="s">
        <v>5</v>
      </c>
      <c r="B264" s="5"/>
      <c r="C264" s="74"/>
      <c r="D264" s="6"/>
      <c r="E264" s="6"/>
      <c r="F264" s="6"/>
      <c r="G264" s="6"/>
      <c r="H264" s="6"/>
      <c r="I264" s="6"/>
    </row>
    <row r="265" spans="1:9" hidden="1" x14ac:dyDescent="0.2">
      <c r="A265" s="8" t="s">
        <v>6</v>
      </c>
      <c r="B265" s="5"/>
      <c r="C265" s="74"/>
      <c r="D265" s="6"/>
      <c r="E265" s="6"/>
      <c r="F265" s="6"/>
      <c r="G265" s="6"/>
      <c r="H265" s="6"/>
      <c r="I265" s="6"/>
    </row>
    <row r="266" spans="1:9" hidden="1" x14ac:dyDescent="0.2">
      <c r="A266" s="8" t="s">
        <v>7</v>
      </c>
      <c r="B266" s="5"/>
      <c r="C266" s="74"/>
      <c r="D266" s="6"/>
      <c r="E266" s="6"/>
      <c r="F266" s="6"/>
      <c r="G266" s="6"/>
      <c r="H266" s="6"/>
      <c r="I266" s="6"/>
    </row>
    <row r="267" spans="1:9" hidden="1" x14ac:dyDescent="0.2">
      <c r="A267" s="8" t="s">
        <v>8</v>
      </c>
      <c r="B267" s="5"/>
      <c r="C267" s="74"/>
      <c r="D267" s="6"/>
      <c r="E267" s="6"/>
      <c r="F267" s="6"/>
      <c r="G267" s="6"/>
      <c r="H267" s="6"/>
      <c r="I267" s="6"/>
    </row>
    <row r="268" spans="1:9" hidden="1" x14ac:dyDescent="0.2">
      <c r="A268" s="8" t="s">
        <v>9</v>
      </c>
      <c r="B268" s="5"/>
      <c r="C268" s="74"/>
      <c r="D268" s="6"/>
      <c r="E268" s="6"/>
      <c r="F268" s="6"/>
      <c r="G268" s="6"/>
      <c r="H268" s="6"/>
      <c r="I268" s="6"/>
    </row>
    <row r="269" spans="1:9" hidden="1" x14ac:dyDescent="0.2">
      <c r="A269" s="312" t="s">
        <v>10</v>
      </c>
      <c r="B269" s="313"/>
      <c r="C269" s="313"/>
      <c r="D269" s="313"/>
      <c r="E269" s="314"/>
      <c r="F269" s="11">
        <f>SUM(F259:F268)</f>
        <v>0</v>
      </c>
      <c r="G269" s="11">
        <f>SUM(G259:G268)</f>
        <v>0</v>
      </c>
      <c r="H269" s="11">
        <f>SUM(H259:H268)</f>
        <v>0</v>
      </c>
      <c r="I269" s="11"/>
    </row>
    <row r="270" spans="1:9" hidden="1" x14ac:dyDescent="0.2">
      <c r="A270" s="8" t="s">
        <v>0</v>
      </c>
      <c r="B270" s="5">
        <f>B259+1</f>
        <v>46129</v>
      </c>
      <c r="C270" s="74"/>
      <c r="D270" s="6"/>
      <c r="E270" s="6"/>
      <c r="F270" s="6"/>
      <c r="G270" s="6"/>
      <c r="H270" s="6"/>
      <c r="I270" s="6"/>
    </row>
    <row r="271" spans="1:9" hidden="1" x14ac:dyDescent="0.2">
      <c r="A271" s="8" t="s">
        <v>1</v>
      </c>
      <c r="B271" s="5"/>
      <c r="C271" s="74"/>
      <c r="D271" s="6"/>
      <c r="E271" s="6"/>
      <c r="F271" s="6"/>
      <c r="G271" s="6"/>
      <c r="H271" s="6"/>
      <c r="I271" s="6"/>
    </row>
    <row r="272" spans="1:9" hidden="1" x14ac:dyDescent="0.2">
      <c r="A272" s="8" t="s">
        <v>2</v>
      </c>
      <c r="B272" s="5"/>
      <c r="C272" s="74"/>
      <c r="D272" s="6"/>
      <c r="E272" s="6"/>
      <c r="F272" s="6"/>
      <c r="G272" s="6"/>
      <c r="H272" s="6"/>
      <c r="I272" s="6"/>
    </row>
    <row r="273" spans="1:9" hidden="1" x14ac:dyDescent="0.2">
      <c r="A273" s="8" t="s">
        <v>3</v>
      </c>
      <c r="B273" s="5"/>
      <c r="C273" s="74"/>
      <c r="D273" s="6"/>
      <c r="E273" s="6"/>
      <c r="F273" s="6"/>
      <c r="G273" s="6"/>
      <c r="H273" s="6"/>
      <c r="I273" s="6"/>
    </row>
    <row r="274" spans="1:9" hidden="1" x14ac:dyDescent="0.2">
      <c r="A274" s="8" t="s">
        <v>4</v>
      </c>
      <c r="B274" s="5"/>
      <c r="C274" s="74"/>
      <c r="D274" s="6"/>
      <c r="E274" s="6"/>
      <c r="F274" s="6"/>
      <c r="G274" s="6"/>
      <c r="H274" s="6"/>
      <c r="I274" s="6"/>
    </row>
    <row r="275" spans="1:9" hidden="1" x14ac:dyDescent="0.2">
      <c r="A275" s="8" t="s">
        <v>5</v>
      </c>
      <c r="B275" s="5"/>
      <c r="C275" s="74"/>
      <c r="D275" s="6"/>
      <c r="E275" s="6"/>
      <c r="F275" s="6"/>
      <c r="G275" s="6"/>
      <c r="H275" s="6"/>
      <c r="I275" s="6"/>
    </row>
    <row r="276" spans="1:9" hidden="1" x14ac:dyDescent="0.2">
      <c r="A276" s="8" t="s">
        <v>6</v>
      </c>
      <c r="B276" s="5"/>
      <c r="C276" s="74"/>
      <c r="D276" s="6"/>
      <c r="E276" s="6"/>
      <c r="F276" s="6"/>
      <c r="G276" s="6"/>
      <c r="H276" s="6"/>
      <c r="I276" s="6"/>
    </row>
    <row r="277" spans="1:9" hidden="1" x14ac:dyDescent="0.2">
      <c r="A277" s="8" t="s">
        <v>7</v>
      </c>
      <c r="B277" s="5"/>
      <c r="C277" s="74"/>
      <c r="D277" s="6"/>
      <c r="E277" s="6"/>
      <c r="F277" s="6"/>
      <c r="G277" s="6"/>
      <c r="H277" s="6"/>
      <c r="I277" s="6"/>
    </row>
    <row r="278" spans="1:9" hidden="1" x14ac:dyDescent="0.2">
      <c r="A278" s="8" t="s">
        <v>8</v>
      </c>
      <c r="B278" s="5"/>
      <c r="C278" s="74"/>
      <c r="D278" s="6"/>
      <c r="E278" s="6"/>
      <c r="F278" s="6"/>
      <c r="G278" s="6"/>
      <c r="H278" s="6"/>
      <c r="I278" s="6"/>
    </row>
    <row r="279" spans="1:9" hidden="1" x14ac:dyDescent="0.2">
      <c r="A279" s="8" t="s">
        <v>9</v>
      </c>
      <c r="B279" s="5"/>
      <c r="C279" s="74"/>
      <c r="D279" s="6"/>
      <c r="E279" s="6"/>
      <c r="F279" s="6"/>
      <c r="G279" s="6"/>
      <c r="H279" s="6"/>
      <c r="I279" s="6"/>
    </row>
    <row r="280" spans="1:9" hidden="1" x14ac:dyDescent="0.2">
      <c r="A280" s="312" t="s">
        <v>10</v>
      </c>
      <c r="B280" s="313"/>
      <c r="C280" s="313"/>
      <c r="D280" s="313"/>
      <c r="E280" s="314"/>
      <c r="F280" s="11">
        <f>SUM(F270:F279)</f>
        <v>0</v>
      </c>
      <c r="G280" s="11">
        <f>SUM(G270:G279)</f>
        <v>0</v>
      </c>
      <c r="H280" s="11">
        <f>SUM(H270:H279)</f>
        <v>0</v>
      </c>
      <c r="I280" s="11"/>
    </row>
    <row r="281" spans="1:9" hidden="1" x14ac:dyDescent="0.2">
      <c r="A281" s="8" t="s">
        <v>0</v>
      </c>
      <c r="B281" s="5">
        <f>B270+1</f>
        <v>46130</v>
      </c>
      <c r="C281" s="74"/>
      <c r="D281" s="6"/>
      <c r="E281" s="6"/>
      <c r="F281" s="6"/>
      <c r="G281" s="6"/>
      <c r="H281" s="6"/>
      <c r="I281" s="6"/>
    </row>
    <row r="282" spans="1:9" hidden="1" x14ac:dyDescent="0.2">
      <c r="A282" s="8" t="s">
        <v>1</v>
      </c>
      <c r="B282" s="5"/>
      <c r="C282" s="74"/>
      <c r="D282" s="6"/>
      <c r="E282" s="6"/>
      <c r="F282" s="6"/>
      <c r="G282" s="6"/>
      <c r="H282" s="6"/>
      <c r="I282" s="6"/>
    </row>
    <row r="283" spans="1:9" hidden="1" x14ac:dyDescent="0.2">
      <c r="A283" s="8" t="s">
        <v>2</v>
      </c>
      <c r="B283" s="5"/>
      <c r="C283" s="74"/>
      <c r="D283" s="6"/>
      <c r="E283" s="6"/>
      <c r="F283" s="6"/>
      <c r="G283" s="6"/>
      <c r="H283" s="6"/>
      <c r="I283" s="6"/>
    </row>
    <row r="284" spans="1:9" hidden="1" x14ac:dyDescent="0.2">
      <c r="A284" s="8" t="s">
        <v>3</v>
      </c>
      <c r="B284" s="5"/>
      <c r="C284" s="74"/>
      <c r="D284" s="6"/>
      <c r="E284" s="6"/>
      <c r="F284" s="6"/>
      <c r="G284" s="6"/>
      <c r="H284" s="6"/>
      <c r="I284" s="6"/>
    </row>
    <row r="285" spans="1:9" hidden="1" x14ac:dyDescent="0.2">
      <c r="A285" s="8" t="s">
        <v>4</v>
      </c>
      <c r="B285" s="5"/>
      <c r="C285" s="74"/>
      <c r="D285" s="6"/>
      <c r="E285" s="6"/>
      <c r="F285" s="6"/>
      <c r="G285" s="6"/>
      <c r="H285" s="6"/>
      <c r="I285" s="6"/>
    </row>
    <row r="286" spans="1:9" hidden="1" x14ac:dyDescent="0.2">
      <c r="A286" s="8" t="s">
        <v>5</v>
      </c>
      <c r="B286" s="5"/>
      <c r="C286" s="74"/>
      <c r="D286" s="6"/>
      <c r="E286" s="6"/>
      <c r="F286" s="6"/>
      <c r="G286" s="6"/>
      <c r="H286" s="6"/>
      <c r="I286" s="6"/>
    </row>
    <row r="287" spans="1:9" hidden="1" x14ac:dyDescent="0.2">
      <c r="A287" s="8" t="s">
        <v>6</v>
      </c>
      <c r="B287" s="5"/>
      <c r="C287" s="74"/>
      <c r="D287" s="6"/>
      <c r="E287" s="6"/>
      <c r="F287" s="6"/>
      <c r="G287" s="6"/>
      <c r="H287" s="6"/>
      <c r="I287" s="6"/>
    </row>
    <row r="288" spans="1:9" hidden="1" x14ac:dyDescent="0.2">
      <c r="A288" s="8" t="s">
        <v>7</v>
      </c>
      <c r="B288" s="5"/>
      <c r="C288" s="74"/>
      <c r="D288" s="6"/>
      <c r="E288" s="6"/>
      <c r="F288" s="6"/>
      <c r="G288" s="6"/>
      <c r="H288" s="6"/>
      <c r="I288" s="6"/>
    </row>
    <row r="289" spans="1:9" hidden="1" x14ac:dyDescent="0.2">
      <c r="A289" s="8" t="s">
        <v>8</v>
      </c>
      <c r="B289" s="5"/>
      <c r="C289" s="74"/>
      <c r="D289" s="6"/>
      <c r="E289" s="6"/>
      <c r="F289" s="6"/>
      <c r="G289" s="6"/>
      <c r="H289" s="6"/>
      <c r="I289" s="6"/>
    </row>
    <row r="290" spans="1:9" hidden="1" x14ac:dyDescent="0.2">
      <c r="A290" s="8" t="s">
        <v>9</v>
      </c>
      <c r="B290" s="5"/>
      <c r="C290" s="74"/>
      <c r="D290" s="6"/>
      <c r="E290" s="6"/>
      <c r="F290" s="6"/>
      <c r="G290" s="6"/>
      <c r="H290" s="6"/>
      <c r="I290" s="6"/>
    </row>
    <row r="291" spans="1:9" hidden="1" x14ac:dyDescent="0.2">
      <c r="A291" s="312" t="s">
        <v>10</v>
      </c>
      <c r="B291" s="313"/>
      <c r="C291" s="313"/>
      <c r="D291" s="313"/>
      <c r="E291" s="314"/>
      <c r="F291" s="11">
        <f>SUM(F281:F290)</f>
        <v>0</v>
      </c>
      <c r="G291" s="11">
        <f>SUM(G281:G290)</f>
        <v>0</v>
      </c>
      <c r="H291" s="11">
        <f>SUM(H281:H290)</f>
        <v>0</v>
      </c>
      <c r="I291" s="11"/>
    </row>
    <row r="292" spans="1:9" hidden="1" x14ac:dyDescent="0.2">
      <c r="A292" s="8" t="s">
        <v>0</v>
      </c>
      <c r="B292" s="5">
        <f>B281+1</f>
        <v>46131</v>
      </c>
      <c r="C292" s="75"/>
      <c r="D292" s="6"/>
      <c r="E292" s="6"/>
      <c r="F292" s="6"/>
      <c r="G292" s="6"/>
      <c r="H292" s="6"/>
      <c r="I292" s="6"/>
    </row>
    <row r="293" spans="1:9" hidden="1" x14ac:dyDescent="0.2">
      <c r="A293" s="8" t="s">
        <v>1</v>
      </c>
      <c r="B293" s="5"/>
      <c r="C293" s="75"/>
      <c r="D293" s="6"/>
      <c r="E293" s="6"/>
      <c r="F293" s="6"/>
      <c r="G293" s="6"/>
      <c r="H293" s="6"/>
      <c r="I293" s="6"/>
    </row>
    <row r="294" spans="1:9" hidden="1" x14ac:dyDescent="0.2">
      <c r="A294" s="8" t="s">
        <v>2</v>
      </c>
      <c r="B294" s="5"/>
      <c r="C294" s="75"/>
      <c r="D294" s="6"/>
      <c r="E294" s="6"/>
      <c r="F294" s="6"/>
      <c r="G294" s="6"/>
      <c r="H294" s="6"/>
      <c r="I294" s="6"/>
    </row>
    <row r="295" spans="1:9" hidden="1" x14ac:dyDescent="0.2">
      <c r="A295" s="8" t="s">
        <v>3</v>
      </c>
      <c r="B295" s="5"/>
      <c r="C295" s="75"/>
      <c r="D295" s="6"/>
      <c r="E295" s="6"/>
      <c r="F295" s="6"/>
      <c r="G295" s="6"/>
      <c r="H295" s="6"/>
      <c r="I295" s="6"/>
    </row>
    <row r="296" spans="1:9" hidden="1" x14ac:dyDescent="0.2">
      <c r="A296" s="8" t="s">
        <v>4</v>
      </c>
      <c r="B296" s="5"/>
      <c r="C296" s="75"/>
      <c r="D296" s="6"/>
      <c r="E296" s="6"/>
      <c r="F296" s="6"/>
      <c r="G296" s="6"/>
      <c r="H296" s="6"/>
      <c r="I296" s="6"/>
    </row>
    <row r="297" spans="1:9" hidden="1" x14ac:dyDescent="0.2">
      <c r="A297" s="8" t="s">
        <v>5</v>
      </c>
      <c r="B297" s="5"/>
      <c r="C297" s="75"/>
      <c r="D297" s="6"/>
      <c r="E297" s="6"/>
      <c r="F297" s="6"/>
      <c r="G297" s="6"/>
      <c r="H297" s="6"/>
      <c r="I297" s="6"/>
    </row>
    <row r="298" spans="1:9" hidden="1" x14ac:dyDescent="0.2">
      <c r="A298" s="8" t="s">
        <v>6</v>
      </c>
      <c r="B298" s="5"/>
      <c r="C298" s="75"/>
      <c r="D298" s="6"/>
      <c r="E298" s="6"/>
      <c r="F298" s="6"/>
      <c r="G298" s="6"/>
      <c r="H298" s="6"/>
      <c r="I298" s="6"/>
    </row>
    <row r="299" spans="1:9" hidden="1" x14ac:dyDescent="0.2">
      <c r="A299" s="8" t="s">
        <v>7</v>
      </c>
      <c r="B299" s="5"/>
      <c r="C299" s="74"/>
      <c r="D299" s="6"/>
      <c r="E299" s="6"/>
      <c r="F299" s="6"/>
      <c r="G299" s="6"/>
      <c r="H299" s="6"/>
      <c r="I299" s="6"/>
    </row>
    <row r="300" spans="1:9" hidden="1" x14ac:dyDescent="0.2">
      <c r="A300" s="8" t="s">
        <v>8</v>
      </c>
      <c r="B300" s="5"/>
      <c r="C300" s="74"/>
      <c r="D300" s="6"/>
      <c r="E300" s="6"/>
      <c r="F300" s="6"/>
      <c r="G300" s="6"/>
      <c r="H300" s="6"/>
      <c r="I300" s="6"/>
    </row>
    <row r="301" spans="1:9" hidden="1" x14ac:dyDescent="0.2">
      <c r="A301" s="8" t="s">
        <v>9</v>
      </c>
      <c r="B301" s="5"/>
      <c r="C301" s="74"/>
      <c r="D301" s="6"/>
      <c r="E301" s="6"/>
      <c r="F301" s="6"/>
      <c r="G301" s="6"/>
      <c r="H301" s="6"/>
      <c r="I301" s="6"/>
    </row>
    <row r="302" spans="1:9" hidden="1" x14ac:dyDescent="0.2">
      <c r="A302" s="312" t="s">
        <v>10</v>
      </c>
      <c r="B302" s="313"/>
      <c r="C302" s="313"/>
      <c r="D302" s="313"/>
      <c r="E302" s="314"/>
      <c r="F302" s="11">
        <f>SUM(F292:F301)</f>
        <v>0</v>
      </c>
      <c r="G302" s="11">
        <f>SUM(G292:G301)</f>
        <v>0</v>
      </c>
      <c r="H302" s="11">
        <f>SUM(H292:H301)</f>
        <v>0</v>
      </c>
      <c r="I302" s="11"/>
    </row>
    <row r="303" spans="1:9" hidden="1" x14ac:dyDescent="0.2">
      <c r="A303" s="8" t="s">
        <v>0</v>
      </c>
      <c r="B303" s="5">
        <f>B292+1</f>
        <v>46132</v>
      </c>
      <c r="C303" s="75"/>
      <c r="D303" s="6"/>
      <c r="E303" s="6"/>
      <c r="F303" s="6"/>
      <c r="G303" s="6"/>
      <c r="H303" s="6"/>
      <c r="I303" s="6"/>
    </row>
    <row r="304" spans="1:9" hidden="1" x14ac:dyDescent="0.2">
      <c r="A304" s="8" t="s">
        <v>1</v>
      </c>
      <c r="B304" s="5"/>
      <c r="C304" s="75"/>
      <c r="D304" s="6"/>
      <c r="E304" s="6"/>
      <c r="F304" s="6"/>
      <c r="G304" s="6"/>
      <c r="H304" s="6"/>
      <c r="I304" s="6"/>
    </row>
    <row r="305" spans="1:9" hidden="1" x14ac:dyDescent="0.2">
      <c r="A305" s="8" t="s">
        <v>2</v>
      </c>
      <c r="B305" s="5"/>
      <c r="C305" s="75"/>
      <c r="D305" s="6"/>
      <c r="E305" s="6"/>
      <c r="F305" s="6"/>
      <c r="G305" s="6"/>
      <c r="H305" s="6"/>
      <c r="I305" s="6"/>
    </row>
    <row r="306" spans="1:9" hidden="1" x14ac:dyDescent="0.2">
      <c r="A306" s="8" t="s">
        <v>3</v>
      </c>
      <c r="B306" s="5"/>
      <c r="C306" s="75"/>
      <c r="D306" s="6"/>
      <c r="E306" s="6"/>
      <c r="F306" s="6"/>
      <c r="G306" s="6"/>
      <c r="H306" s="6"/>
      <c r="I306" s="6"/>
    </row>
    <row r="307" spans="1:9" hidden="1" x14ac:dyDescent="0.2">
      <c r="A307" s="8" t="s">
        <v>4</v>
      </c>
      <c r="B307" s="5"/>
      <c r="C307" s="75"/>
      <c r="D307" s="6"/>
      <c r="E307" s="6"/>
      <c r="F307" s="6"/>
      <c r="G307" s="6"/>
      <c r="H307" s="6"/>
      <c r="I307" s="6"/>
    </row>
    <row r="308" spans="1:9" hidden="1" x14ac:dyDescent="0.2">
      <c r="A308" s="8" t="s">
        <v>5</v>
      </c>
      <c r="B308" s="5"/>
      <c r="C308" s="75"/>
      <c r="D308" s="6"/>
      <c r="E308" s="6"/>
      <c r="F308" s="6"/>
      <c r="G308" s="6"/>
      <c r="H308" s="6"/>
      <c r="I308" s="6"/>
    </row>
    <row r="309" spans="1:9" hidden="1" x14ac:dyDescent="0.2">
      <c r="A309" s="8" t="s">
        <v>6</v>
      </c>
      <c r="B309" s="5"/>
      <c r="C309" s="74"/>
      <c r="D309" s="6"/>
      <c r="E309" s="6"/>
      <c r="F309" s="6"/>
      <c r="G309" s="6"/>
      <c r="H309" s="6"/>
      <c r="I309" s="6"/>
    </row>
    <row r="310" spans="1:9" hidden="1" x14ac:dyDescent="0.2">
      <c r="A310" s="8" t="s">
        <v>7</v>
      </c>
      <c r="B310" s="5"/>
      <c r="C310" s="74"/>
      <c r="D310" s="6"/>
      <c r="E310" s="6"/>
      <c r="F310" s="6"/>
      <c r="G310" s="6"/>
      <c r="H310" s="6"/>
      <c r="I310" s="6"/>
    </row>
    <row r="311" spans="1:9" hidden="1" x14ac:dyDescent="0.2">
      <c r="A311" s="8" t="s">
        <v>8</v>
      </c>
      <c r="B311" s="5"/>
      <c r="C311" s="74"/>
      <c r="D311" s="6"/>
      <c r="E311" s="6"/>
      <c r="F311" s="6"/>
      <c r="G311" s="6"/>
      <c r="H311" s="6"/>
      <c r="I311" s="6"/>
    </row>
    <row r="312" spans="1:9" hidden="1" x14ac:dyDescent="0.2">
      <c r="A312" s="8" t="s">
        <v>9</v>
      </c>
      <c r="B312" s="5"/>
      <c r="C312" s="74"/>
      <c r="D312" s="6"/>
      <c r="E312" s="6"/>
      <c r="F312" s="6"/>
      <c r="G312" s="6"/>
      <c r="H312" s="6"/>
      <c r="I312" s="6"/>
    </row>
    <row r="313" spans="1:9" hidden="1" x14ac:dyDescent="0.2">
      <c r="A313" s="312" t="s">
        <v>10</v>
      </c>
      <c r="B313" s="313"/>
      <c r="C313" s="313"/>
      <c r="D313" s="313"/>
      <c r="E313" s="314"/>
      <c r="F313" s="11">
        <f>SUM(F303:F312)</f>
        <v>0</v>
      </c>
      <c r="G313" s="11">
        <f>SUM(G303:G312)</f>
        <v>0</v>
      </c>
      <c r="H313" s="11">
        <f>SUM(H303:H312)</f>
        <v>0</v>
      </c>
      <c r="I313" s="11"/>
    </row>
    <row r="314" spans="1:9" x14ac:dyDescent="0.2">
      <c r="A314" s="8" t="s">
        <v>0</v>
      </c>
      <c r="B314" s="5">
        <f>B303+1</f>
        <v>46133</v>
      </c>
      <c r="C314" s="75" t="s">
        <v>1362</v>
      </c>
      <c r="D314" s="6" t="s">
        <v>1363</v>
      </c>
      <c r="E314" s="6" t="s">
        <v>168</v>
      </c>
      <c r="F314" s="6">
        <v>1</v>
      </c>
      <c r="G314" s="6"/>
      <c r="H314" s="6">
        <v>4</v>
      </c>
      <c r="I314" s="6"/>
    </row>
    <row r="315" spans="1:9" x14ac:dyDescent="0.2">
      <c r="A315" s="8" t="s">
        <v>1</v>
      </c>
      <c r="B315" s="5"/>
      <c r="C315" s="75" t="s">
        <v>1364</v>
      </c>
      <c r="D315" s="6" t="s">
        <v>170</v>
      </c>
      <c r="E315" s="6" t="s">
        <v>171</v>
      </c>
      <c r="F315" s="6">
        <v>1</v>
      </c>
      <c r="G315" s="6"/>
      <c r="H315" s="6">
        <v>6</v>
      </c>
      <c r="I315" s="6"/>
    </row>
    <row r="316" spans="1:9" x14ac:dyDescent="0.2">
      <c r="A316" s="8" t="s">
        <v>2</v>
      </c>
      <c r="B316" s="5"/>
      <c r="C316" s="75" t="s">
        <v>1365</v>
      </c>
      <c r="D316" s="6" t="s">
        <v>170</v>
      </c>
      <c r="E316" s="6" t="s">
        <v>171</v>
      </c>
      <c r="F316" s="6">
        <v>1</v>
      </c>
      <c r="G316" s="6"/>
      <c r="H316" s="6">
        <v>6</v>
      </c>
      <c r="I316" s="6"/>
    </row>
    <row r="317" spans="1:9" x14ac:dyDescent="0.2">
      <c r="A317" s="8" t="s">
        <v>3</v>
      </c>
      <c r="B317" s="5"/>
      <c r="C317" s="75" t="s">
        <v>1366</v>
      </c>
      <c r="D317" s="6" t="s">
        <v>170</v>
      </c>
      <c r="E317" s="6" t="s">
        <v>171</v>
      </c>
      <c r="F317" s="6">
        <v>1</v>
      </c>
      <c r="G317" s="6"/>
      <c r="H317" s="6">
        <v>6</v>
      </c>
      <c r="I317" s="6"/>
    </row>
    <row r="318" spans="1:9" x14ac:dyDescent="0.2">
      <c r="A318" s="8" t="s">
        <v>4</v>
      </c>
      <c r="B318" s="5"/>
      <c r="C318" s="75" t="s">
        <v>1367</v>
      </c>
      <c r="D318" s="6" t="s">
        <v>870</v>
      </c>
      <c r="E318" s="6" t="s">
        <v>168</v>
      </c>
      <c r="F318" s="6">
        <v>1</v>
      </c>
      <c r="G318" s="6"/>
      <c r="H318" s="6">
        <v>5</v>
      </c>
      <c r="I318" s="6"/>
    </row>
    <row r="319" spans="1:9" x14ac:dyDescent="0.2">
      <c r="A319" s="8" t="s">
        <v>5</v>
      </c>
      <c r="B319" s="5"/>
      <c r="C319" s="75" t="s">
        <v>1368</v>
      </c>
      <c r="D319" s="6" t="s">
        <v>170</v>
      </c>
      <c r="E319" s="6" t="s">
        <v>171</v>
      </c>
      <c r="F319" s="6"/>
      <c r="G319" s="6">
        <v>1</v>
      </c>
      <c r="H319" s="6">
        <v>6</v>
      </c>
      <c r="I319" s="6"/>
    </row>
    <row r="320" spans="1:9" x14ac:dyDescent="0.2">
      <c r="A320" s="8" t="s">
        <v>6</v>
      </c>
      <c r="B320" s="5"/>
      <c r="C320" s="75" t="s">
        <v>1369</v>
      </c>
      <c r="D320" s="6" t="s">
        <v>170</v>
      </c>
      <c r="E320" s="6" t="s">
        <v>171</v>
      </c>
      <c r="F320" s="6"/>
      <c r="G320" s="6">
        <v>1</v>
      </c>
      <c r="H320" s="6">
        <v>6</v>
      </c>
      <c r="I320" s="6"/>
    </row>
    <row r="321" spans="1:9" x14ac:dyDescent="0.2">
      <c r="A321" s="8" t="s">
        <v>7</v>
      </c>
      <c r="B321" s="5"/>
      <c r="C321" s="75" t="s">
        <v>1370</v>
      </c>
      <c r="D321" s="6" t="s">
        <v>170</v>
      </c>
      <c r="E321" s="6" t="s">
        <v>171</v>
      </c>
      <c r="F321" s="6"/>
      <c r="G321" s="6">
        <v>1</v>
      </c>
      <c r="H321" s="6">
        <v>6</v>
      </c>
      <c r="I321" s="6"/>
    </row>
    <row r="322" spans="1:9" hidden="1" x14ac:dyDescent="0.2">
      <c r="A322" s="8" t="s">
        <v>8</v>
      </c>
      <c r="B322" s="5"/>
      <c r="C322" s="75"/>
      <c r="D322" s="6"/>
      <c r="E322" s="6"/>
      <c r="F322" s="6"/>
      <c r="G322" s="6"/>
      <c r="H322" s="6"/>
      <c r="I322" s="6"/>
    </row>
    <row r="323" spans="1:9" hidden="1" x14ac:dyDescent="0.2">
      <c r="A323" s="8" t="s">
        <v>9</v>
      </c>
      <c r="B323" s="5"/>
      <c r="C323" s="75"/>
      <c r="D323" s="6"/>
      <c r="E323" s="6"/>
      <c r="F323" s="6"/>
      <c r="G323" s="6"/>
      <c r="H323" s="6"/>
      <c r="I323" s="6"/>
    </row>
    <row r="324" spans="1:9" x14ac:dyDescent="0.2">
      <c r="A324" s="312" t="s">
        <v>10</v>
      </c>
      <c r="B324" s="313"/>
      <c r="C324" s="313"/>
      <c r="D324" s="313"/>
      <c r="E324" s="314"/>
      <c r="F324" s="11">
        <f>SUM(F314:F323)</f>
        <v>5</v>
      </c>
      <c r="G324" s="11">
        <f>SUM(G314:G323)</f>
        <v>3</v>
      </c>
      <c r="H324" s="11">
        <f>SUM(H314:H323)</f>
        <v>45</v>
      </c>
      <c r="I324" s="11"/>
    </row>
    <row r="325" spans="1:9" x14ac:dyDescent="0.2">
      <c r="A325" s="8" t="s">
        <v>0</v>
      </c>
      <c r="B325" s="5">
        <f>B314+1</f>
        <v>46134</v>
      </c>
      <c r="C325" s="74" t="s">
        <v>1445</v>
      </c>
      <c r="D325" s="6" t="s">
        <v>1363</v>
      </c>
      <c r="E325" s="6" t="s">
        <v>168</v>
      </c>
      <c r="F325" s="6">
        <v>1</v>
      </c>
      <c r="G325" s="6"/>
      <c r="H325" s="6">
        <v>3</v>
      </c>
      <c r="I325" s="6"/>
    </row>
    <row r="326" spans="1:9" x14ac:dyDescent="0.2">
      <c r="A326" s="8" t="s">
        <v>1</v>
      </c>
      <c r="B326" s="5"/>
      <c r="C326" s="74" t="s">
        <v>1446</v>
      </c>
      <c r="D326" s="6" t="s">
        <v>170</v>
      </c>
      <c r="E326" s="6" t="s">
        <v>184</v>
      </c>
      <c r="F326" s="6">
        <v>1</v>
      </c>
      <c r="G326" s="6"/>
      <c r="H326" s="6">
        <v>1</v>
      </c>
      <c r="I326" s="6"/>
    </row>
    <row r="327" spans="1:9" x14ac:dyDescent="0.2">
      <c r="A327" s="8" t="s">
        <v>2</v>
      </c>
      <c r="B327" s="5"/>
      <c r="C327" s="74" t="s">
        <v>1447</v>
      </c>
      <c r="D327" s="6" t="s">
        <v>170</v>
      </c>
      <c r="E327" s="6" t="s">
        <v>171</v>
      </c>
      <c r="F327" s="6">
        <v>1</v>
      </c>
      <c r="G327" s="6"/>
      <c r="H327" s="6">
        <v>6</v>
      </c>
      <c r="I327" s="6"/>
    </row>
    <row r="328" spans="1:9" x14ac:dyDescent="0.2">
      <c r="A328" s="8" t="s">
        <v>3</v>
      </c>
      <c r="B328" s="5"/>
      <c r="C328" s="74" t="s">
        <v>1448</v>
      </c>
      <c r="D328" s="6" t="s">
        <v>170</v>
      </c>
      <c r="E328" s="6" t="s">
        <v>171</v>
      </c>
      <c r="F328" s="6">
        <v>1</v>
      </c>
      <c r="G328" s="6"/>
      <c r="H328" s="6">
        <v>6</v>
      </c>
      <c r="I328" s="6"/>
    </row>
    <row r="329" spans="1:9" hidden="1" x14ac:dyDescent="0.2">
      <c r="A329" s="8" t="s">
        <v>4</v>
      </c>
      <c r="B329" s="5"/>
      <c r="C329" s="74"/>
      <c r="D329" s="6"/>
      <c r="E329" s="6"/>
      <c r="F329" s="6"/>
      <c r="G329" s="6"/>
      <c r="H329" s="6"/>
      <c r="I329" s="6"/>
    </row>
    <row r="330" spans="1:9" hidden="1" x14ac:dyDescent="0.2">
      <c r="A330" s="8" t="s">
        <v>5</v>
      </c>
      <c r="B330" s="5"/>
      <c r="C330" s="74"/>
      <c r="D330" s="6"/>
      <c r="E330" s="6"/>
      <c r="F330" s="6"/>
      <c r="G330" s="6"/>
      <c r="H330" s="6"/>
      <c r="I330" s="6"/>
    </row>
    <row r="331" spans="1:9" hidden="1" x14ac:dyDescent="0.2">
      <c r="A331" s="8" t="s">
        <v>6</v>
      </c>
      <c r="B331" s="5"/>
      <c r="C331" s="74"/>
      <c r="D331" s="6"/>
      <c r="E331" s="6"/>
      <c r="F331" s="6"/>
      <c r="G331" s="6"/>
      <c r="H331" s="6"/>
      <c r="I331" s="6"/>
    </row>
    <row r="332" spans="1:9" hidden="1" x14ac:dyDescent="0.2">
      <c r="A332" s="8" t="s">
        <v>7</v>
      </c>
      <c r="B332" s="5"/>
      <c r="C332" s="74"/>
      <c r="D332" s="6"/>
      <c r="E332" s="6"/>
      <c r="F332" s="6"/>
      <c r="G332" s="6"/>
      <c r="H332" s="6"/>
      <c r="I332" s="6"/>
    </row>
    <row r="333" spans="1:9" hidden="1" x14ac:dyDescent="0.2">
      <c r="A333" s="8" t="s">
        <v>8</v>
      </c>
      <c r="B333" s="5"/>
      <c r="C333" s="74"/>
      <c r="D333" s="6"/>
      <c r="E333" s="6"/>
      <c r="F333" s="6"/>
      <c r="G333" s="6"/>
      <c r="H333" s="6"/>
      <c r="I333" s="6"/>
    </row>
    <row r="334" spans="1:9" hidden="1" x14ac:dyDescent="0.2">
      <c r="A334" s="8" t="s">
        <v>9</v>
      </c>
      <c r="B334" s="5"/>
      <c r="C334" s="74"/>
      <c r="D334" s="6"/>
      <c r="E334" s="6"/>
      <c r="F334" s="6"/>
      <c r="G334" s="6"/>
      <c r="H334" s="6"/>
      <c r="I334" s="6"/>
    </row>
    <row r="335" spans="1:9" x14ac:dyDescent="0.2">
      <c r="A335" s="312" t="s">
        <v>10</v>
      </c>
      <c r="B335" s="313"/>
      <c r="C335" s="313"/>
      <c r="D335" s="313"/>
      <c r="E335" s="314"/>
      <c r="F335" s="11">
        <f>SUM(F325:F334)</f>
        <v>4</v>
      </c>
      <c r="G335" s="11">
        <f>SUM(G325:G334)</f>
        <v>0</v>
      </c>
      <c r="H335" s="11">
        <f>SUM(H325:H334)</f>
        <v>16</v>
      </c>
      <c r="I335" s="11"/>
    </row>
    <row r="336" spans="1:9" s="23" customFormat="1" ht="18" x14ac:dyDescent="0.2">
      <c r="A336" s="315" t="s">
        <v>39</v>
      </c>
      <c r="B336" s="316"/>
      <c r="C336" s="316"/>
      <c r="D336" s="316"/>
      <c r="E336" s="317"/>
      <c r="F336" s="22">
        <f>F269+F280+F291+F302+F313+F324+F335+F252</f>
        <v>73</v>
      </c>
      <c r="G336" s="22">
        <f>G269+G280+G291+G302+G313+G324+G335+G252</f>
        <v>22</v>
      </c>
      <c r="H336" s="22">
        <f>H269+H280+H291+H302+H313+H324+H335+H252</f>
        <v>506.5</v>
      </c>
      <c r="I336" s="22"/>
    </row>
    <row r="337" spans="1:9" ht="21.95" customHeight="1" x14ac:dyDescent="0.2">
      <c r="A337" s="319" t="s">
        <v>14</v>
      </c>
      <c r="B337" s="319"/>
      <c r="C337" s="319"/>
      <c r="D337" s="319"/>
      <c r="E337" s="319"/>
      <c r="F337" s="319"/>
      <c r="G337" s="319"/>
      <c r="H337" s="319"/>
      <c r="I337" s="319"/>
    </row>
    <row r="338" spans="1:9" s="9" customFormat="1" ht="20.100000000000001" customHeight="1" x14ac:dyDescent="0.2">
      <c r="A338" s="309" t="s">
        <v>86</v>
      </c>
      <c r="B338" s="309"/>
      <c r="C338" s="309"/>
      <c r="D338" s="309"/>
      <c r="E338" s="309"/>
      <c r="F338" s="44" t="str">
        <f>F254</f>
        <v>เมษายน</v>
      </c>
      <c r="G338" s="32" t="s">
        <v>87</v>
      </c>
      <c r="H338" s="43">
        <f>H254</f>
        <v>2569</v>
      </c>
      <c r="I338" s="42"/>
    </row>
    <row r="339" spans="1:9" s="3" customFormat="1" ht="20.100000000000001" customHeight="1" x14ac:dyDescent="0.35">
      <c r="A339" s="318" t="str">
        <f>$A$3</f>
        <v>เบอร์รถ….1.....</v>
      </c>
      <c r="B339" s="318"/>
      <c r="C339" s="318"/>
      <c r="D339" s="2"/>
      <c r="F339" s="4"/>
      <c r="G339" s="4"/>
      <c r="H339" s="4" t="s">
        <v>21</v>
      </c>
      <c r="I339" s="40">
        <f>I255+1</f>
        <v>5</v>
      </c>
    </row>
    <row r="340" spans="1:9" s="3" customFormat="1" ht="20.100000000000001" customHeight="1" x14ac:dyDescent="0.35">
      <c r="A340" s="311" t="str">
        <f>$A$4</f>
        <v>ทะเบียนรถ …6001....</v>
      </c>
      <c r="B340" s="311"/>
      <c r="C340" s="311"/>
      <c r="D340" s="2"/>
      <c r="E340" s="39" t="s">
        <v>81</v>
      </c>
      <c r="F340" s="308">
        <f>$F$4</f>
        <v>46107</v>
      </c>
      <c r="G340" s="308"/>
      <c r="H340" s="39" t="s">
        <v>82</v>
      </c>
      <c r="I340" s="34">
        <f>$I$4</f>
        <v>46136</v>
      </c>
    </row>
    <row r="341" spans="1:9" x14ac:dyDescent="0.2">
      <c r="A341" s="12" t="s">
        <v>23</v>
      </c>
      <c r="B341" s="13" t="s">
        <v>11</v>
      </c>
      <c r="C341" s="72" t="s">
        <v>26</v>
      </c>
      <c r="D341" s="12" t="s">
        <v>16</v>
      </c>
      <c r="E341" s="12" t="s">
        <v>17</v>
      </c>
      <c r="F341" s="310" t="s">
        <v>46</v>
      </c>
      <c r="G341" s="310"/>
      <c r="H341" s="310"/>
      <c r="I341" s="12" t="s">
        <v>19</v>
      </c>
    </row>
    <row r="342" spans="1:9" x14ac:dyDescent="0.2">
      <c r="A342" s="15"/>
      <c r="B342" s="16"/>
      <c r="C342" s="73"/>
      <c r="D342" s="15"/>
      <c r="E342" s="15"/>
      <c r="F342" s="21" t="s">
        <v>113</v>
      </c>
      <c r="G342" s="21" t="s">
        <v>114</v>
      </c>
      <c r="H342" s="21" t="s">
        <v>20</v>
      </c>
      <c r="I342" s="15"/>
    </row>
    <row r="343" spans="1:9" x14ac:dyDescent="0.2">
      <c r="A343" s="8" t="s">
        <v>0</v>
      </c>
      <c r="B343" s="5">
        <f>B325+1</f>
        <v>46135</v>
      </c>
      <c r="C343" s="74" t="s">
        <v>1493</v>
      </c>
      <c r="D343" s="6" t="s">
        <v>1494</v>
      </c>
      <c r="E343" s="6" t="s">
        <v>168</v>
      </c>
      <c r="F343" s="6">
        <v>1</v>
      </c>
      <c r="G343" s="6"/>
      <c r="H343" s="6">
        <v>4</v>
      </c>
      <c r="I343" s="6"/>
    </row>
    <row r="344" spans="1:9" x14ac:dyDescent="0.2">
      <c r="A344" s="8" t="s">
        <v>1</v>
      </c>
      <c r="B344" s="5"/>
      <c r="C344" s="74" t="s">
        <v>1495</v>
      </c>
      <c r="D344" s="6" t="s">
        <v>188</v>
      </c>
      <c r="E344" s="6" t="s">
        <v>165</v>
      </c>
      <c r="F344" s="6">
        <v>1</v>
      </c>
      <c r="G344" s="6"/>
      <c r="H344" s="6">
        <v>6</v>
      </c>
      <c r="I344" s="6"/>
    </row>
    <row r="345" spans="1:9" x14ac:dyDescent="0.2">
      <c r="A345" s="8" t="s">
        <v>2</v>
      </c>
      <c r="B345" s="5"/>
      <c r="C345" s="74" t="s">
        <v>1496</v>
      </c>
      <c r="D345" s="6" t="s">
        <v>188</v>
      </c>
      <c r="E345" s="6" t="s">
        <v>165</v>
      </c>
      <c r="F345" s="6">
        <v>1</v>
      </c>
      <c r="G345" s="6"/>
      <c r="H345" s="6">
        <v>6</v>
      </c>
      <c r="I345" s="6"/>
    </row>
    <row r="346" spans="1:9" x14ac:dyDescent="0.2">
      <c r="A346" s="8" t="s">
        <v>3</v>
      </c>
      <c r="B346" s="5"/>
      <c r="C346" s="74" t="s">
        <v>1502</v>
      </c>
      <c r="D346" s="6" t="s">
        <v>188</v>
      </c>
      <c r="E346" s="6" t="s">
        <v>165</v>
      </c>
      <c r="F346" s="6">
        <v>1</v>
      </c>
      <c r="G346" s="6"/>
      <c r="H346" s="6">
        <v>6</v>
      </c>
      <c r="I346" s="6"/>
    </row>
    <row r="347" spans="1:9" x14ac:dyDescent="0.2">
      <c r="A347" s="8" t="s">
        <v>4</v>
      </c>
      <c r="B347" s="5"/>
      <c r="C347" s="74" t="s">
        <v>1507</v>
      </c>
      <c r="D347" s="6" t="s">
        <v>170</v>
      </c>
      <c r="E347" s="6" t="s">
        <v>165</v>
      </c>
      <c r="F347" s="6">
        <v>1</v>
      </c>
      <c r="G347" s="6"/>
      <c r="H347" s="6">
        <v>6</v>
      </c>
      <c r="I347" s="6"/>
    </row>
    <row r="348" spans="1:9" x14ac:dyDescent="0.2">
      <c r="A348" s="8" t="s">
        <v>5</v>
      </c>
      <c r="B348" s="5"/>
      <c r="C348" s="74" t="s">
        <v>1508</v>
      </c>
      <c r="D348" s="6" t="s">
        <v>170</v>
      </c>
      <c r="E348" s="6" t="s">
        <v>165</v>
      </c>
      <c r="F348" s="6"/>
      <c r="G348" s="6">
        <v>1</v>
      </c>
      <c r="H348" s="6">
        <v>6</v>
      </c>
      <c r="I348" s="6"/>
    </row>
    <row r="349" spans="1:9" hidden="1" x14ac:dyDescent="0.2">
      <c r="A349" s="8" t="s">
        <v>6</v>
      </c>
      <c r="B349" s="5"/>
      <c r="C349" s="74"/>
      <c r="D349" s="6"/>
      <c r="E349" s="6"/>
      <c r="F349" s="6"/>
      <c r="G349" s="6"/>
      <c r="H349" s="6"/>
      <c r="I349" s="6"/>
    </row>
    <row r="350" spans="1:9" hidden="1" x14ac:dyDescent="0.2">
      <c r="A350" s="8" t="s">
        <v>7</v>
      </c>
      <c r="B350" s="5"/>
      <c r="C350" s="74"/>
      <c r="D350" s="6"/>
      <c r="E350" s="6"/>
      <c r="F350" s="6"/>
      <c r="G350" s="6"/>
      <c r="H350" s="6"/>
      <c r="I350" s="6"/>
    </row>
    <row r="351" spans="1:9" hidden="1" x14ac:dyDescent="0.2">
      <c r="A351" s="8" t="s">
        <v>8</v>
      </c>
      <c r="B351" s="5"/>
      <c r="C351" s="74"/>
      <c r="D351" s="6"/>
      <c r="E351" s="6"/>
      <c r="F351" s="6"/>
      <c r="G351" s="6"/>
      <c r="H351" s="6"/>
      <c r="I351" s="6"/>
    </row>
    <row r="352" spans="1:9" hidden="1" x14ac:dyDescent="0.2">
      <c r="A352" s="8" t="s">
        <v>9</v>
      </c>
      <c r="B352" s="5"/>
      <c r="C352" s="74"/>
      <c r="D352" s="6"/>
      <c r="E352" s="6"/>
      <c r="F352" s="6"/>
      <c r="G352" s="6"/>
      <c r="H352" s="6"/>
      <c r="I352" s="6"/>
    </row>
    <row r="353" spans="1:9" x14ac:dyDescent="0.2">
      <c r="A353" s="312" t="s">
        <v>10</v>
      </c>
      <c r="B353" s="313"/>
      <c r="C353" s="313"/>
      <c r="D353" s="313"/>
      <c r="E353" s="314"/>
      <c r="F353" s="11">
        <f>SUM(F343:F352)</f>
        <v>5</v>
      </c>
      <c r="G353" s="11">
        <f>SUM(G343:G352)</f>
        <v>1</v>
      </c>
      <c r="H353" s="11">
        <f>SUM(H343:H352)</f>
        <v>34</v>
      </c>
      <c r="I353" s="11"/>
    </row>
    <row r="354" spans="1:9" x14ac:dyDescent="0.2">
      <c r="A354" s="8" t="s">
        <v>0</v>
      </c>
      <c r="B354" s="5">
        <f>B343+1</f>
        <v>46136</v>
      </c>
      <c r="C354" s="74" t="s">
        <v>1568</v>
      </c>
      <c r="D354" s="6" t="s">
        <v>170</v>
      </c>
      <c r="E354" s="6" t="s">
        <v>171</v>
      </c>
      <c r="F354" s="6">
        <v>1</v>
      </c>
      <c r="G354" s="6"/>
      <c r="H354" s="6">
        <v>6</v>
      </c>
      <c r="I354" s="6"/>
    </row>
    <row r="355" spans="1:9" x14ac:dyDescent="0.2">
      <c r="A355" s="8" t="s">
        <v>1</v>
      </c>
      <c r="B355" s="5"/>
      <c r="C355" s="74" t="s">
        <v>1569</v>
      </c>
      <c r="D355" s="6" t="s">
        <v>170</v>
      </c>
      <c r="E355" s="6" t="s">
        <v>171</v>
      </c>
      <c r="F355" s="6">
        <v>1</v>
      </c>
      <c r="G355" s="6"/>
      <c r="H355" s="6">
        <v>6</v>
      </c>
      <c r="I355" s="6"/>
    </row>
    <row r="356" spans="1:9" x14ac:dyDescent="0.2">
      <c r="A356" s="8" t="s">
        <v>2</v>
      </c>
      <c r="B356" s="5"/>
      <c r="C356" s="74" t="s">
        <v>1570</v>
      </c>
      <c r="D356" s="6" t="s">
        <v>170</v>
      </c>
      <c r="E356" s="6" t="s">
        <v>171</v>
      </c>
      <c r="F356" s="6">
        <v>1</v>
      </c>
      <c r="G356" s="6"/>
      <c r="H356" s="6">
        <v>6</v>
      </c>
      <c r="I356" s="6"/>
    </row>
    <row r="357" spans="1:9" x14ac:dyDescent="0.2">
      <c r="A357" s="8" t="s">
        <v>3</v>
      </c>
      <c r="B357" s="5"/>
      <c r="C357" s="74" t="s">
        <v>1571</v>
      </c>
      <c r="D357" s="6" t="s">
        <v>347</v>
      </c>
      <c r="E357" s="6" t="s">
        <v>441</v>
      </c>
      <c r="F357" s="6">
        <v>1</v>
      </c>
      <c r="G357" s="6"/>
      <c r="H357" s="6">
        <v>6</v>
      </c>
      <c r="I357" s="6"/>
    </row>
    <row r="358" spans="1:9" x14ac:dyDescent="0.2">
      <c r="A358" s="8" t="s">
        <v>4</v>
      </c>
      <c r="B358" s="5"/>
      <c r="C358" s="74" t="s">
        <v>1572</v>
      </c>
      <c r="D358" s="6" t="s">
        <v>1536</v>
      </c>
      <c r="E358" s="6" t="s">
        <v>174</v>
      </c>
      <c r="F358" s="6">
        <v>1</v>
      </c>
      <c r="G358" s="6"/>
      <c r="H358" s="6">
        <v>6</v>
      </c>
      <c r="I358" s="6"/>
    </row>
    <row r="359" spans="1:9" x14ac:dyDescent="0.2">
      <c r="A359" s="8" t="s">
        <v>5</v>
      </c>
      <c r="B359" s="5"/>
      <c r="C359" s="74" t="s">
        <v>1573</v>
      </c>
      <c r="D359" s="6" t="s">
        <v>253</v>
      </c>
      <c r="E359" s="6" t="s">
        <v>596</v>
      </c>
      <c r="F359" s="6"/>
      <c r="G359" s="6">
        <v>1</v>
      </c>
      <c r="H359" s="6">
        <v>6</v>
      </c>
      <c r="I359" s="6"/>
    </row>
    <row r="360" spans="1:9" x14ac:dyDescent="0.2">
      <c r="A360" s="8" t="s">
        <v>6</v>
      </c>
      <c r="B360" s="5"/>
      <c r="C360" s="74" t="s">
        <v>1574</v>
      </c>
      <c r="D360" s="6" t="s">
        <v>253</v>
      </c>
      <c r="E360" s="6" t="s">
        <v>596</v>
      </c>
      <c r="F360" s="6"/>
      <c r="G360" s="6">
        <v>1</v>
      </c>
      <c r="H360" s="6">
        <v>6</v>
      </c>
      <c r="I360" s="6"/>
    </row>
    <row r="361" spans="1:9" hidden="1" x14ac:dyDescent="0.2">
      <c r="A361" s="8" t="s">
        <v>7</v>
      </c>
      <c r="B361" s="5"/>
      <c r="C361" s="74"/>
      <c r="D361" s="6"/>
      <c r="E361" s="6"/>
      <c r="F361" s="6"/>
      <c r="G361" s="6"/>
      <c r="H361" s="6"/>
      <c r="I361" s="6"/>
    </row>
    <row r="362" spans="1:9" hidden="1" x14ac:dyDescent="0.2">
      <c r="A362" s="8" t="s">
        <v>8</v>
      </c>
      <c r="B362" s="5"/>
      <c r="C362" s="74"/>
      <c r="D362" s="6"/>
      <c r="E362" s="6"/>
      <c r="F362" s="6"/>
      <c r="G362" s="6"/>
      <c r="H362" s="6"/>
      <c r="I362" s="6"/>
    </row>
    <row r="363" spans="1:9" hidden="1" x14ac:dyDescent="0.2">
      <c r="A363" s="8" t="s">
        <v>9</v>
      </c>
      <c r="B363" s="5"/>
      <c r="C363" s="74"/>
      <c r="D363" s="6"/>
      <c r="E363" s="6"/>
      <c r="F363" s="6"/>
      <c r="G363" s="6"/>
      <c r="H363" s="6"/>
      <c r="I363" s="6"/>
    </row>
    <row r="364" spans="1:9" x14ac:dyDescent="0.2">
      <c r="A364" s="312" t="s">
        <v>10</v>
      </c>
      <c r="B364" s="313"/>
      <c r="C364" s="313"/>
      <c r="D364" s="313"/>
      <c r="E364" s="314"/>
      <c r="F364" s="11">
        <f>SUM(F354:F363)</f>
        <v>5</v>
      </c>
      <c r="G364" s="11">
        <f>SUM(G354:G363)</f>
        <v>2</v>
      </c>
      <c r="H364" s="11">
        <f>SUM(H354:H363)</f>
        <v>42</v>
      </c>
      <c r="I364" s="11"/>
    </row>
    <row r="365" spans="1:9" hidden="1" x14ac:dyDescent="0.2">
      <c r="A365" s="8" t="s">
        <v>0</v>
      </c>
      <c r="B365" s="5">
        <f>B354+1</f>
        <v>46137</v>
      </c>
      <c r="C365" s="74"/>
      <c r="D365" s="6"/>
      <c r="E365" s="6"/>
      <c r="F365" s="6"/>
      <c r="G365" s="6"/>
      <c r="H365" s="6"/>
      <c r="I365" s="6"/>
    </row>
    <row r="366" spans="1:9" hidden="1" x14ac:dyDescent="0.2">
      <c r="A366" s="8" t="s">
        <v>1</v>
      </c>
      <c r="B366" s="5"/>
      <c r="C366" s="74"/>
      <c r="D366" s="6"/>
      <c r="E366" s="6"/>
      <c r="F366" s="6"/>
      <c r="G366" s="6"/>
      <c r="H366" s="6"/>
      <c r="I366" s="6"/>
    </row>
    <row r="367" spans="1:9" hidden="1" x14ac:dyDescent="0.2">
      <c r="A367" s="8" t="s">
        <v>2</v>
      </c>
      <c r="B367" s="5"/>
      <c r="C367" s="74"/>
      <c r="D367" s="6"/>
      <c r="E367" s="6"/>
      <c r="F367" s="6"/>
      <c r="G367" s="6"/>
      <c r="H367" s="6"/>
      <c r="I367" s="6"/>
    </row>
    <row r="368" spans="1:9" hidden="1" x14ac:dyDescent="0.2">
      <c r="A368" s="8" t="s">
        <v>3</v>
      </c>
      <c r="B368" s="5"/>
      <c r="C368" s="74"/>
      <c r="D368" s="6"/>
      <c r="E368" s="6"/>
      <c r="F368" s="6"/>
      <c r="G368" s="6"/>
      <c r="H368" s="6"/>
      <c r="I368" s="6"/>
    </row>
    <row r="369" spans="1:9" hidden="1" x14ac:dyDescent="0.2">
      <c r="A369" s="8" t="s">
        <v>4</v>
      </c>
      <c r="B369" s="5"/>
      <c r="C369" s="74"/>
      <c r="D369" s="6"/>
      <c r="E369" s="6"/>
      <c r="F369" s="6"/>
      <c r="G369" s="6"/>
      <c r="H369" s="6"/>
      <c r="I369" s="6"/>
    </row>
    <row r="370" spans="1:9" hidden="1" x14ac:dyDescent="0.2">
      <c r="A370" s="8" t="s">
        <v>5</v>
      </c>
      <c r="B370" s="5"/>
      <c r="C370" s="74"/>
      <c r="D370" s="6"/>
      <c r="E370" s="6"/>
      <c r="F370" s="6"/>
      <c r="G370" s="6"/>
      <c r="H370" s="6"/>
      <c r="I370" s="6"/>
    </row>
    <row r="371" spans="1:9" hidden="1" x14ac:dyDescent="0.2">
      <c r="A371" s="8" t="s">
        <v>6</v>
      </c>
      <c r="B371" s="5"/>
      <c r="C371" s="74"/>
      <c r="D371" s="6"/>
      <c r="E371" s="6"/>
      <c r="F371" s="6"/>
      <c r="G371" s="6"/>
      <c r="H371" s="6"/>
      <c r="I371" s="6"/>
    </row>
    <row r="372" spans="1:9" hidden="1" x14ac:dyDescent="0.2">
      <c r="A372" s="8" t="s">
        <v>7</v>
      </c>
      <c r="B372" s="5"/>
      <c r="C372" s="74"/>
      <c r="D372" s="6"/>
      <c r="E372" s="6"/>
      <c r="F372" s="6"/>
      <c r="G372" s="6"/>
      <c r="H372" s="6"/>
      <c r="I372" s="6"/>
    </row>
    <row r="373" spans="1:9" hidden="1" x14ac:dyDescent="0.2">
      <c r="A373" s="8" t="s">
        <v>8</v>
      </c>
      <c r="B373" s="5"/>
      <c r="C373" s="74"/>
      <c r="D373" s="6"/>
      <c r="E373" s="6"/>
      <c r="F373" s="6"/>
      <c r="G373" s="6"/>
      <c r="H373" s="6"/>
      <c r="I373" s="6"/>
    </row>
    <row r="374" spans="1:9" hidden="1" x14ac:dyDescent="0.2">
      <c r="A374" s="8" t="s">
        <v>9</v>
      </c>
      <c r="B374" s="5"/>
      <c r="C374" s="74"/>
      <c r="D374" s="6"/>
      <c r="E374" s="6"/>
      <c r="F374" s="6"/>
      <c r="G374" s="6"/>
      <c r="H374" s="6"/>
      <c r="I374" s="6"/>
    </row>
    <row r="375" spans="1:9" hidden="1" x14ac:dyDescent="0.2">
      <c r="A375" s="312" t="s">
        <v>10</v>
      </c>
      <c r="B375" s="313"/>
      <c r="C375" s="313"/>
      <c r="D375" s="313"/>
      <c r="E375" s="314"/>
      <c r="F375" s="11">
        <f>SUM(F365:F374)</f>
        <v>0</v>
      </c>
      <c r="G375" s="11">
        <f>SUM(G365:G374)</f>
        <v>0</v>
      </c>
      <c r="H375" s="11">
        <f>SUM(H365:H374)</f>
        <v>0</v>
      </c>
      <c r="I375" s="11"/>
    </row>
    <row r="376" spans="1:9" hidden="1" x14ac:dyDescent="0.2">
      <c r="A376" s="8" t="s">
        <v>0</v>
      </c>
      <c r="B376" s="5">
        <f>B365+1</f>
        <v>46138</v>
      </c>
      <c r="C376" s="75"/>
      <c r="D376" s="6"/>
      <c r="E376" s="6"/>
      <c r="F376" s="6"/>
      <c r="G376" s="6"/>
      <c r="H376" s="6"/>
      <c r="I376" s="6"/>
    </row>
    <row r="377" spans="1:9" hidden="1" x14ac:dyDescent="0.2">
      <c r="A377" s="8" t="s">
        <v>1</v>
      </c>
      <c r="B377" s="5"/>
      <c r="C377" s="75"/>
      <c r="D377" s="6"/>
      <c r="E377" s="6"/>
      <c r="F377" s="6"/>
      <c r="G377" s="6"/>
      <c r="H377" s="6"/>
      <c r="I377" s="6"/>
    </row>
    <row r="378" spans="1:9" hidden="1" x14ac:dyDescent="0.2">
      <c r="A378" s="8" t="s">
        <v>2</v>
      </c>
      <c r="B378" s="5"/>
      <c r="C378" s="75"/>
      <c r="D378" s="6"/>
      <c r="E378" s="6"/>
      <c r="F378" s="6"/>
      <c r="G378" s="6"/>
      <c r="H378" s="6"/>
      <c r="I378" s="6"/>
    </row>
    <row r="379" spans="1:9" hidden="1" x14ac:dyDescent="0.2">
      <c r="A379" s="8" t="s">
        <v>3</v>
      </c>
      <c r="B379" s="5"/>
      <c r="C379" s="75"/>
      <c r="D379" s="6"/>
      <c r="E379" s="6"/>
      <c r="F379" s="6"/>
      <c r="G379" s="6"/>
      <c r="H379" s="6"/>
      <c r="I379" s="6"/>
    </row>
    <row r="380" spans="1:9" hidden="1" x14ac:dyDescent="0.2">
      <c r="A380" s="8" t="s">
        <v>4</v>
      </c>
      <c r="B380" s="5"/>
      <c r="C380" s="75"/>
      <c r="D380" s="6"/>
      <c r="E380" s="6"/>
      <c r="F380" s="6"/>
      <c r="G380" s="6"/>
      <c r="H380" s="6"/>
      <c r="I380" s="6"/>
    </row>
    <row r="381" spans="1:9" hidden="1" x14ac:dyDescent="0.2">
      <c r="A381" s="8" t="s">
        <v>5</v>
      </c>
      <c r="B381" s="5"/>
      <c r="C381" s="75"/>
      <c r="D381" s="6"/>
      <c r="E381" s="6"/>
      <c r="F381" s="6"/>
      <c r="G381" s="6"/>
      <c r="H381" s="6"/>
      <c r="I381" s="6"/>
    </row>
    <row r="382" spans="1:9" hidden="1" x14ac:dyDescent="0.2">
      <c r="A382" s="8" t="s">
        <v>6</v>
      </c>
      <c r="B382" s="5"/>
      <c r="C382" s="75"/>
      <c r="D382" s="6"/>
      <c r="E382" s="6"/>
      <c r="F382" s="6"/>
      <c r="G382" s="6"/>
      <c r="H382" s="6"/>
      <c r="I382" s="6"/>
    </row>
    <row r="383" spans="1:9" hidden="1" x14ac:dyDescent="0.2">
      <c r="A383" s="8" t="s">
        <v>7</v>
      </c>
      <c r="B383" s="5"/>
      <c r="C383" s="74"/>
      <c r="D383" s="6"/>
      <c r="E383" s="6"/>
      <c r="F383" s="6"/>
      <c r="G383" s="6"/>
      <c r="H383" s="6"/>
      <c r="I383" s="6"/>
    </row>
    <row r="384" spans="1:9" hidden="1" x14ac:dyDescent="0.2">
      <c r="A384" s="8" t="s">
        <v>8</v>
      </c>
      <c r="B384" s="5"/>
      <c r="C384" s="74"/>
      <c r="D384" s="6"/>
      <c r="E384" s="6"/>
      <c r="F384" s="6"/>
      <c r="G384" s="6"/>
      <c r="H384" s="6"/>
      <c r="I384" s="6"/>
    </row>
    <row r="385" spans="1:9" hidden="1" x14ac:dyDescent="0.2">
      <c r="A385" s="8" t="s">
        <v>9</v>
      </c>
      <c r="B385" s="5"/>
      <c r="C385" s="74"/>
      <c r="D385" s="6"/>
      <c r="E385" s="6"/>
      <c r="F385" s="6"/>
      <c r="G385" s="6"/>
      <c r="H385" s="6"/>
      <c r="I385" s="6"/>
    </row>
    <row r="386" spans="1:9" hidden="1" x14ac:dyDescent="0.2">
      <c r="A386" s="312" t="s">
        <v>10</v>
      </c>
      <c r="B386" s="313"/>
      <c r="C386" s="313"/>
      <c r="D386" s="313"/>
      <c r="E386" s="314"/>
      <c r="F386" s="11">
        <f>SUM(F376:F385)</f>
        <v>0</v>
      </c>
      <c r="G386" s="11">
        <f>SUM(G376:G385)</f>
        <v>0</v>
      </c>
      <c r="H386" s="11">
        <f>SUM(H376:H385)</f>
        <v>0</v>
      </c>
      <c r="I386" s="11"/>
    </row>
    <row r="387" spans="1:9" hidden="1" x14ac:dyDescent="0.2">
      <c r="A387" s="8" t="s">
        <v>0</v>
      </c>
      <c r="B387" s="5">
        <f>B376+1</f>
        <v>46139</v>
      </c>
      <c r="C387" s="75"/>
      <c r="D387" s="6"/>
      <c r="E387" s="6"/>
      <c r="F387" s="6"/>
      <c r="G387" s="6"/>
      <c r="H387" s="6"/>
      <c r="I387" s="6"/>
    </row>
    <row r="388" spans="1:9" hidden="1" x14ac:dyDescent="0.2">
      <c r="A388" s="8" t="s">
        <v>1</v>
      </c>
      <c r="B388" s="5"/>
      <c r="C388" s="75"/>
      <c r="D388" s="6"/>
      <c r="E388" s="6"/>
      <c r="F388" s="6"/>
      <c r="G388" s="6"/>
      <c r="H388" s="6"/>
      <c r="I388" s="6"/>
    </row>
    <row r="389" spans="1:9" hidden="1" x14ac:dyDescent="0.2">
      <c r="A389" s="8" t="s">
        <v>2</v>
      </c>
      <c r="B389" s="5"/>
      <c r="C389" s="75"/>
      <c r="D389" s="6"/>
      <c r="E389" s="6"/>
      <c r="F389" s="6"/>
      <c r="G389" s="6"/>
      <c r="H389" s="6"/>
      <c r="I389" s="6"/>
    </row>
    <row r="390" spans="1:9" hidden="1" x14ac:dyDescent="0.2">
      <c r="A390" s="8" t="s">
        <v>3</v>
      </c>
      <c r="B390" s="5"/>
      <c r="C390" s="75"/>
      <c r="D390" s="6"/>
      <c r="E390" s="6"/>
      <c r="F390" s="6"/>
      <c r="G390" s="6"/>
      <c r="H390" s="6"/>
      <c r="I390" s="6"/>
    </row>
    <row r="391" spans="1:9" hidden="1" x14ac:dyDescent="0.2">
      <c r="A391" s="8" t="s">
        <v>4</v>
      </c>
      <c r="B391" s="5"/>
      <c r="C391" s="75"/>
      <c r="D391" s="6"/>
      <c r="E391" s="6"/>
      <c r="F391" s="6"/>
      <c r="G391" s="6"/>
      <c r="H391" s="6"/>
      <c r="I391" s="6"/>
    </row>
    <row r="392" spans="1:9" hidden="1" x14ac:dyDescent="0.2">
      <c r="A392" s="8" t="s">
        <v>5</v>
      </c>
      <c r="B392" s="5"/>
      <c r="C392" s="75"/>
      <c r="D392" s="6"/>
      <c r="E392" s="6"/>
      <c r="F392" s="6"/>
      <c r="G392" s="6"/>
      <c r="H392" s="6"/>
      <c r="I392" s="6"/>
    </row>
    <row r="393" spans="1:9" hidden="1" x14ac:dyDescent="0.2">
      <c r="A393" s="8" t="s">
        <v>6</v>
      </c>
      <c r="B393" s="5"/>
      <c r="C393" s="74"/>
      <c r="D393" s="6"/>
      <c r="E393" s="6"/>
      <c r="F393" s="6"/>
      <c r="G393" s="6"/>
      <c r="H393" s="6"/>
      <c r="I393" s="6"/>
    </row>
    <row r="394" spans="1:9" hidden="1" x14ac:dyDescent="0.2">
      <c r="A394" s="8" t="s">
        <v>7</v>
      </c>
      <c r="B394" s="5"/>
      <c r="C394" s="74"/>
      <c r="D394" s="6"/>
      <c r="E394" s="6"/>
      <c r="F394" s="6"/>
      <c r="G394" s="6"/>
      <c r="H394" s="6"/>
      <c r="I394" s="6"/>
    </row>
    <row r="395" spans="1:9" hidden="1" x14ac:dyDescent="0.2">
      <c r="A395" s="8" t="s">
        <v>8</v>
      </c>
      <c r="B395" s="5"/>
      <c r="C395" s="74"/>
      <c r="D395" s="6"/>
      <c r="E395" s="6"/>
      <c r="F395" s="6"/>
      <c r="G395" s="6"/>
      <c r="H395" s="6"/>
      <c r="I395" s="6"/>
    </row>
    <row r="396" spans="1:9" hidden="1" x14ac:dyDescent="0.2">
      <c r="A396" s="8" t="s">
        <v>9</v>
      </c>
      <c r="B396" s="5"/>
      <c r="C396" s="74"/>
      <c r="D396" s="6"/>
      <c r="E396" s="6"/>
      <c r="F396" s="6"/>
      <c r="G396" s="6"/>
      <c r="H396" s="6"/>
      <c r="I396" s="6"/>
    </row>
    <row r="397" spans="1:9" hidden="1" x14ac:dyDescent="0.2">
      <c r="A397" s="312" t="s">
        <v>10</v>
      </c>
      <c r="B397" s="313"/>
      <c r="C397" s="313"/>
      <c r="D397" s="313"/>
      <c r="E397" s="314"/>
      <c r="F397" s="11">
        <f>SUM(F387:F396)</f>
        <v>0</v>
      </c>
      <c r="G397" s="11">
        <f>SUM(G387:G396)</f>
        <v>0</v>
      </c>
      <c r="H397" s="11">
        <f>SUM(H387:H396)</f>
        <v>0</v>
      </c>
      <c r="I397" s="11"/>
    </row>
    <row r="398" spans="1:9" hidden="1" x14ac:dyDescent="0.2">
      <c r="A398" s="8" t="s">
        <v>0</v>
      </c>
      <c r="B398" s="5">
        <f>B387+1</f>
        <v>46140</v>
      </c>
      <c r="C398" s="75"/>
      <c r="D398" s="6"/>
      <c r="E398" s="6"/>
      <c r="F398" s="6"/>
      <c r="G398" s="6"/>
      <c r="H398" s="6"/>
      <c r="I398" s="6"/>
    </row>
    <row r="399" spans="1:9" hidden="1" x14ac:dyDescent="0.2">
      <c r="A399" s="8" t="s">
        <v>1</v>
      </c>
      <c r="B399" s="5"/>
      <c r="C399" s="75"/>
      <c r="D399" s="6"/>
      <c r="E399" s="6"/>
      <c r="F399" s="6"/>
      <c r="G399" s="6"/>
      <c r="H399" s="6"/>
      <c r="I399" s="6"/>
    </row>
    <row r="400" spans="1:9" hidden="1" x14ac:dyDescent="0.2">
      <c r="A400" s="8" t="s">
        <v>2</v>
      </c>
      <c r="B400" s="5"/>
      <c r="C400" s="75"/>
      <c r="D400" s="6"/>
      <c r="E400" s="6"/>
      <c r="F400" s="6"/>
      <c r="G400" s="6"/>
      <c r="H400" s="6"/>
      <c r="I400" s="6"/>
    </row>
    <row r="401" spans="1:9" hidden="1" x14ac:dyDescent="0.2">
      <c r="A401" s="8" t="s">
        <v>3</v>
      </c>
      <c r="B401" s="5"/>
      <c r="C401" s="75"/>
      <c r="D401" s="6"/>
      <c r="E401" s="6"/>
      <c r="F401" s="6"/>
      <c r="G401" s="6"/>
      <c r="H401" s="6"/>
      <c r="I401" s="6"/>
    </row>
    <row r="402" spans="1:9" hidden="1" x14ac:dyDescent="0.2">
      <c r="A402" s="8" t="s">
        <v>4</v>
      </c>
      <c r="B402" s="5"/>
      <c r="C402" s="75"/>
      <c r="D402" s="6"/>
      <c r="E402" s="6"/>
      <c r="F402" s="6"/>
      <c r="G402" s="6"/>
      <c r="H402" s="6"/>
      <c r="I402" s="6"/>
    </row>
    <row r="403" spans="1:9" hidden="1" x14ac:dyDescent="0.2">
      <c r="A403" s="8" t="s">
        <v>5</v>
      </c>
      <c r="B403" s="5"/>
      <c r="C403" s="75"/>
      <c r="D403" s="6"/>
      <c r="E403" s="6"/>
      <c r="F403" s="6"/>
      <c r="G403" s="6"/>
      <c r="H403" s="6"/>
      <c r="I403" s="6"/>
    </row>
    <row r="404" spans="1:9" hidden="1" x14ac:dyDescent="0.2">
      <c r="A404" s="8" t="s">
        <v>6</v>
      </c>
      <c r="B404" s="5"/>
      <c r="C404" s="75"/>
      <c r="D404" s="6"/>
      <c r="E404" s="6"/>
      <c r="F404" s="6"/>
      <c r="G404" s="6"/>
      <c r="H404" s="6"/>
      <c r="I404" s="6"/>
    </row>
    <row r="405" spans="1:9" hidden="1" x14ac:dyDescent="0.2">
      <c r="A405" s="8" t="s">
        <v>7</v>
      </c>
      <c r="B405" s="5"/>
      <c r="C405" s="75"/>
      <c r="D405" s="6"/>
      <c r="E405" s="6"/>
      <c r="F405" s="6"/>
      <c r="G405" s="6"/>
      <c r="H405" s="6"/>
      <c r="I405" s="6"/>
    </row>
    <row r="406" spans="1:9" hidden="1" x14ac:dyDescent="0.2">
      <c r="A406" s="8" t="s">
        <v>8</v>
      </c>
      <c r="B406" s="5"/>
      <c r="C406" s="75"/>
      <c r="D406" s="6"/>
      <c r="E406" s="6"/>
      <c r="F406" s="6"/>
      <c r="G406" s="6"/>
      <c r="H406" s="6"/>
      <c r="I406" s="6"/>
    </row>
    <row r="407" spans="1:9" hidden="1" x14ac:dyDescent="0.2">
      <c r="A407" s="8" t="s">
        <v>9</v>
      </c>
      <c r="B407" s="5"/>
      <c r="C407" s="75"/>
      <c r="D407" s="6"/>
      <c r="E407" s="6"/>
      <c r="F407" s="6"/>
      <c r="G407" s="6"/>
      <c r="H407" s="6"/>
      <c r="I407" s="6"/>
    </row>
    <row r="408" spans="1:9" hidden="1" x14ac:dyDescent="0.2">
      <c r="A408" s="312" t="s">
        <v>10</v>
      </c>
      <c r="B408" s="313"/>
      <c r="C408" s="313"/>
      <c r="D408" s="313"/>
      <c r="E408" s="314"/>
      <c r="F408" s="11">
        <f>SUM(F398:F407)</f>
        <v>0</v>
      </c>
      <c r="G408" s="11">
        <f>SUM(G398:G407)</f>
        <v>0</v>
      </c>
      <c r="H408" s="11">
        <f>SUM(H398:H407)</f>
        <v>0</v>
      </c>
      <c r="I408" s="11"/>
    </row>
    <row r="409" spans="1:9" hidden="1" x14ac:dyDescent="0.2">
      <c r="A409" s="8" t="s">
        <v>0</v>
      </c>
      <c r="B409" s="5">
        <f>B398+1</f>
        <v>46141</v>
      </c>
      <c r="C409" s="74"/>
      <c r="D409" s="6"/>
      <c r="E409" s="6"/>
      <c r="F409" s="6"/>
      <c r="G409" s="6"/>
      <c r="H409" s="6"/>
      <c r="I409" s="6"/>
    </row>
    <row r="410" spans="1:9" hidden="1" x14ac:dyDescent="0.2">
      <c r="A410" s="8" t="s">
        <v>1</v>
      </c>
      <c r="B410" s="5"/>
      <c r="C410" s="74"/>
      <c r="D410" s="6"/>
      <c r="E410" s="6"/>
      <c r="F410" s="6"/>
      <c r="G410" s="6"/>
      <c r="H410" s="6"/>
      <c r="I410" s="6"/>
    </row>
    <row r="411" spans="1:9" hidden="1" x14ac:dyDescent="0.2">
      <c r="A411" s="8" t="s">
        <v>2</v>
      </c>
      <c r="B411" s="5"/>
      <c r="C411" s="74"/>
      <c r="D411" s="6"/>
      <c r="E411" s="6"/>
      <c r="F411" s="6"/>
      <c r="G411" s="6"/>
      <c r="H411" s="6"/>
      <c r="I411" s="6"/>
    </row>
    <row r="412" spans="1:9" hidden="1" x14ac:dyDescent="0.2">
      <c r="A412" s="8" t="s">
        <v>3</v>
      </c>
      <c r="B412" s="5"/>
      <c r="C412" s="74"/>
      <c r="D412" s="6"/>
      <c r="E412" s="6"/>
      <c r="F412" s="6"/>
      <c r="G412" s="6"/>
      <c r="H412" s="6"/>
      <c r="I412" s="6"/>
    </row>
    <row r="413" spans="1:9" hidden="1" x14ac:dyDescent="0.2">
      <c r="A413" s="8" t="s">
        <v>4</v>
      </c>
      <c r="B413" s="5"/>
      <c r="C413" s="74"/>
      <c r="D413" s="6"/>
      <c r="E413" s="6"/>
      <c r="F413" s="6"/>
      <c r="G413" s="6"/>
      <c r="H413" s="6"/>
      <c r="I413" s="6"/>
    </row>
    <row r="414" spans="1:9" hidden="1" x14ac:dyDescent="0.2">
      <c r="A414" s="8" t="s">
        <v>5</v>
      </c>
      <c r="B414" s="5"/>
      <c r="C414" s="74"/>
      <c r="D414" s="6"/>
      <c r="E414" s="6"/>
      <c r="F414" s="6"/>
      <c r="G414" s="6"/>
      <c r="H414" s="6"/>
      <c r="I414" s="6"/>
    </row>
    <row r="415" spans="1:9" hidden="1" x14ac:dyDescent="0.2">
      <c r="A415" s="8" t="s">
        <v>6</v>
      </c>
      <c r="B415" s="5"/>
      <c r="C415" s="74"/>
      <c r="D415" s="6"/>
      <c r="E415" s="6"/>
      <c r="F415" s="6"/>
      <c r="G415" s="6"/>
      <c r="H415" s="6"/>
      <c r="I415" s="6"/>
    </row>
    <row r="416" spans="1:9" hidden="1" x14ac:dyDescent="0.2">
      <c r="A416" s="8" t="s">
        <v>7</v>
      </c>
      <c r="B416" s="5"/>
      <c r="C416" s="74"/>
      <c r="D416" s="6"/>
      <c r="E416" s="6"/>
      <c r="F416" s="6"/>
      <c r="G416" s="6"/>
      <c r="H416" s="6"/>
      <c r="I416" s="6"/>
    </row>
    <row r="417" spans="1:9" hidden="1" x14ac:dyDescent="0.2">
      <c r="A417" s="8" t="s">
        <v>8</v>
      </c>
      <c r="B417" s="5"/>
      <c r="C417" s="74"/>
      <c r="D417" s="6"/>
      <c r="E417" s="6"/>
      <c r="F417" s="6"/>
      <c r="G417" s="6"/>
      <c r="H417" s="6"/>
      <c r="I417" s="6"/>
    </row>
    <row r="418" spans="1:9" hidden="1" x14ac:dyDescent="0.2">
      <c r="A418" s="8" t="s">
        <v>9</v>
      </c>
      <c r="B418" s="5"/>
      <c r="C418" s="74"/>
      <c r="D418" s="6"/>
      <c r="E418" s="6"/>
      <c r="F418" s="6"/>
      <c r="G418" s="6"/>
      <c r="H418" s="6"/>
      <c r="I418" s="6"/>
    </row>
    <row r="419" spans="1:9" hidden="1" x14ac:dyDescent="0.2">
      <c r="A419" s="312" t="s">
        <v>10</v>
      </c>
      <c r="B419" s="313"/>
      <c r="C419" s="313"/>
      <c r="D419" s="313"/>
      <c r="E419" s="314"/>
      <c r="F419" s="11">
        <f>SUM(F409:F418)</f>
        <v>0</v>
      </c>
      <c r="G419" s="11">
        <f>SUM(G409:G418)</f>
        <v>0</v>
      </c>
      <c r="H419" s="11">
        <f>SUM(H409:H418)</f>
        <v>0</v>
      </c>
      <c r="I419" s="11"/>
    </row>
    <row r="420" spans="1:9" s="23" customFormat="1" ht="18" x14ac:dyDescent="0.2">
      <c r="A420" s="315" t="s">
        <v>39</v>
      </c>
      <c r="B420" s="316"/>
      <c r="C420" s="316"/>
      <c r="D420" s="316"/>
      <c r="E420" s="317"/>
      <c r="F420" s="22">
        <f>F353+F364+F375+F386+F397+F408+F419+F336</f>
        <v>83</v>
      </c>
      <c r="G420" s="22">
        <f>G353+G364+G375+G386+G397+G408+G419+G336</f>
        <v>25</v>
      </c>
      <c r="H420" s="22">
        <f>H353+H364+H375+H386+H397+H408+H419+H336</f>
        <v>582.5</v>
      </c>
      <c r="I420" s="22"/>
    </row>
  </sheetData>
  <mergeCells count="70">
    <mergeCell ref="A340:C340"/>
    <mergeCell ref="A336:E336"/>
    <mergeCell ref="A337:I337"/>
    <mergeCell ref="A291:E291"/>
    <mergeCell ref="A302:E302"/>
    <mergeCell ref="A313:E313"/>
    <mergeCell ref="A324:E324"/>
    <mergeCell ref="A252:E252"/>
    <mergeCell ref="F88:G88"/>
    <mergeCell ref="F172:G172"/>
    <mergeCell ref="F257:H257"/>
    <mergeCell ref="A339:C339"/>
    <mergeCell ref="A172:C172"/>
    <mergeCell ref="A88:C88"/>
    <mergeCell ref="A229:E229"/>
    <mergeCell ref="A156:E156"/>
    <mergeCell ref="A101:E101"/>
    <mergeCell ref="A112:E112"/>
    <mergeCell ref="A134:E134"/>
    <mergeCell ref="A171:C171"/>
    <mergeCell ref="A145:E145"/>
    <mergeCell ref="A167:E167"/>
    <mergeCell ref="A169:I169"/>
    <mergeCell ref="A1:I1"/>
    <mergeCell ref="A28:E28"/>
    <mergeCell ref="A87:C87"/>
    <mergeCell ref="A85:I85"/>
    <mergeCell ref="A83:E83"/>
    <mergeCell ref="A84:E84"/>
    <mergeCell ref="F5:H5"/>
    <mergeCell ref="A3:C3"/>
    <mergeCell ref="A4:C4"/>
    <mergeCell ref="A50:E50"/>
    <mergeCell ref="A61:E61"/>
    <mergeCell ref="F4:G4"/>
    <mergeCell ref="A17:E17"/>
    <mergeCell ref="A72:E72"/>
    <mergeCell ref="A39:E39"/>
    <mergeCell ref="F341:H341"/>
    <mergeCell ref="A218:E218"/>
    <mergeCell ref="A240:E240"/>
    <mergeCell ref="A420:E420"/>
    <mergeCell ref="A386:E386"/>
    <mergeCell ref="A397:E397"/>
    <mergeCell ref="A408:E408"/>
    <mergeCell ref="A419:E419"/>
    <mergeCell ref="A353:E353"/>
    <mergeCell ref="A335:E335"/>
    <mergeCell ref="A375:E375"/>
    <mergeCell ref="A364:E364"/>
    <mergeCell ref="A269:E269"/>
    <mergeCell ref="A280:E280"/>
    <mergeCell ref="A251:E251"/>
    <mergeCell ref="A253:I253"/>
    <mergeCell ref="F256:G256"/>
    <mergeCell ref="F340:G340"/>
    <mergeCell ref="A2:E2"/>
    <mergeCell ref="A86:E86"/>
    <mergeCell ref="A170:E170"/>
    <mergeCell ref="A254:E254"/>
    <mergeCell ref="A338:E338"/>
    <mergeCell ref="F89:H89"/>
    <mergeCell ref="A256:C256"/>
    <mergeCell ref="A196:E196"/>
    <mergeCell ref="A168:E168"/>
    <mergeCell ref="F173:H173"/>
    <mergeCell ref="A123:E123"/>
    <mergeCell ref="A185:E185"/>
    <mergeCell ref="A255:C255"/>
    <mergeCell ref="A207:E207"/>
  </mergeCells>
  <phoneticPr fontId="1" type="noConversion"/>
  <pageMargins left="0.70866141732283472" right="0.70866141732283472" top="0.39370078740157483" bottom="0.31496062992125984" header="0.31496062992125984" footer="0.31496062992125984"/>
  <pageSetup paperSize="9" scale="94" fitToHeight="5" orientation="portrait" r:id="rId1"/>
  <headerFooter>
    <oddFooter>&amp;C&amp;N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0"/>
  <sheetViews>
    <sheetView topLeftCell="A174" zoomScale="150" zoomScaleNormal="150" workbookViewId="0">
      <selection activeCell="H423" sqref="H423"/>
    </sheetView>
  </sheetViews>
  <sheetFormatPr defaultColWidth="9" defaultRowHeight="17.25" x14ac:dyDescent="0.2"/>
  <cols>
    <col min="1" max="1" width="4" style="1" bestFit="1" customWidth="1"/>
    <col min="2" max="2" width="10.625" style="7" customWidth="1"/>
    <col min="3" max="3" width="11.375" style="76" customWidth="1"/>
    <col min="4" max="4" width="15.625" style="1" customWidth="1"/>
    <col min="5" max="5" width="10.625" style="1" customWidth="1"/>
    <col min="6" max="8" width="7.625" style="1" customWidth="1"/>
    <col min="9" max="9" width="18" style="1" customWidth="1"/>
    <col min="10" max="16384" width="9" style="1"/>
  </cols>
  <sheetData>
    <row r="1" spans="1:9" ht="21.95" customHeight="1" x14ac:dyDescent="0.2">
      <c r="A1" s="319" t="s">
        <v>14</v>
      </c>
      <c r="B1" s="319"/>
      <c r="C1" s="319"/>
      <c r="D1" s="319"/>
      <c r="E1" s="319"/>
      <c r="F1" s="319"/>
      <c r="G1" s="319"/>
      <c r="H1" s="319"/>
      <c r="I1" s="319"/>
    </row>
    <row r="2" spans="1:9" s="53" customFormat="1" ht="20.100000000000001" customHeight="1" x14ac:dyDescent="0.2">
      <c r="A2" s="323" t="s">
        <v>86</v>
      </c>
      <c r="B2" s="323"/>
      <c r="C2" s="323"/>
      <c r="D2" s="323"/>
      <c r="E2" s="323"/>
      <c r="F2" s="104" t="str">
        <f>'1'!$F$2</f>
        <v>เมษายน</v>
      </c>
      <c r="G2" s="50" t="s">
        <v>87</v>
      </c>
      <c r="H2" s="51">
        <f>'1'!$H$2</f>
        <v>2569</v>
      </c>
      <c r="I2" s="52"/>
    </row>
    <row r="3" spans="1:9" s="3" customFormat="1" ht="20.100000000000001" customHeight="1" x14ac:dyDescent="0.4">
      <c r="A3" s="318" t="s">
        <v>31</v>
      </c>
      <c r="B3" s="318"/>
      <c r="C3" s="318"/>
      <c r="D3" s="2"/>
      <c r="F3" s="4"/>
      <c r="G3" s="4"/>
      <c r="H3" s="4" t="s">
        <v>21</v>
      </c>
      <c r="I3" s="41">
        <v>1</v>
      </c>
    </row>
    <row r="4" spans="1:9" s="49" customFormat="1" ht="20.100000000000001" customHeight="1" x14ac:dyDescent="0.35">
      <c r="A4" s="327" t="s">
        <v>60</v>
      </c>
      <c r="B4" s="327"/>
      <c r="C4" s="327"/>
      <c r="D4" s="46"/>
      <c r="E4" s="47" t="s">
        <v>81</v>
      </c>
      <c r="F4" s="328">
        <f>'1'!$F$4</f>
        <v>46107</v>
      </c>
      <c r="G4" s="328"/>
      <c r="H4" s="47" t="s">
        <v>82</v>
      </c>
      <c r="I4" s="48">
        <f>'1'!$I$4</f>
        <v>46136</v>
      </c>
    </row>
    <row r="5" spans="1:9" x14ac:dyDescent="0.2">
      <c r="A5" s="12" t="s">
        <v>23</v>
      </c>
      <c r="B5" s="13" t="s">
        <v>11</v>
      </c>
      <c r="C5" s="72" t="s">
        <v>26</v>
      </c>
      <c r="D5" s="12" t="s">
        <v>16</v>
      </c>
      <c r="E5" s="12" t="s">
        <v>17</v>
      </c>
      <c r="F5" s="310" t="s">
        <v>46</v>
      </c>
      <c r="G5" s="310"/>
      <c r="H5" s="310"/>
      <c r="I5" s="12" t="s">
        <v>19</v>
      </c>
    </row>
    <row r="6" spans="1:9" x14ac:dyDescent="0.2">
      <c r="A6" s="15"/>
      <c r="B6" s="16"/>
      <c r="C6" s="73"/>
      <c r="D6" s="15"/>
      <c r="E6" s="15"/>
      <c r="F6" s="21" t="s">
        <v>113</v>
      </c>
      <c r="G6" s="21" t="s">
        <v>114</v>
      </c>
      <c r="H6" s="21" t="s">
        <v>20</v>
      </c>
      <c r="I6" s="15"/>
    </row>
    <row r="7" spans="1:9" x14ac:dyDescent="0.2">
      <c r="A7" s="8" t="s">
        <v>0</v>
      </c>
      <c r="B7" s="5">
        <f>'1'!B7</f>
        <v>46107</v>
      </c>
      <c r="C7" s="74" t="s">
        <v>177</v>
      </c>
      <c r="D7" s="6" t="s">
        <v>178</v>
      </c>
      <c r="E7" s="6" t="s">
        <v>165</v>
      </c>
      <c r="F7" s="6">
        <v>1</v>
      </c>
      <c r="G7" s="6"/>
      <c r="H7" s="6">
        <v>6</v>
      </c>
      <c r="I7" s="6"/>
    </row>
    <row r="8" spans="1:9" x14ac:dyDescent="0.2">
      <c r="A8" s="8" t="s">
        <v>1</v>
      </c>
      <c r="B8" s="5"/>
      <c r="C8" s="74" t="s">
        <v>179</v>
      </c>
      <c r="D8" s="6" t="s">
        <v>178</v>
      </c>
      <c r="E8" s="6" t="s">
        <v>165</v>
      </c>
      <c r="F8" s="6">
        <v>1</v>
      </c>
      <c r="G8" s="6"/>
      <c r="H8" s="6">
        <v>6</v>
      </c>
      <c r="I8" s="6"/>
    </row>
    <row r="9" spans="1:9" x14ac:dyDescent="0.2">
      <c r="A9" s="8">
        <v>3</v>
      </c>
      <c r="B9" s="5"/>
      <c r="C9" s="74" t="s">
        <v>180</v>
      </c>
      <c r="D9" s="6" t="s">
        <v>170</v>
      </c>
      <c r="E9" s="6" t="s">
        <v>165</v>
      </c>
      <c r="F9" s="6">
        <v>1</v>
      </c>
      <c r="G9" s="6"/>
      <c r="H9" s="6">
        <v>2</v>
      </c>
      <c r="I9" s="6"/>
    </row>
    <row r="10" spans="1:9" hidden="1" x14ac:dyDescent="0.2">
      <c r="A10" s="8">
        <v>4</v>
      </c>
      <c r="B10" s="5"/>
      <c r="C10" s="74"/>
      <c r="D10" s="6"/>
      <c r="E10" s="6"/>
      <c r="F10" s="6"/>
      <c r="G10" s="6"/>
      <c r="H10" s="6"/>
      <c r="I10" s="6"/>
    </row>
    <row r="11" spans="1:9" hidden="1" x14ac:dyDescent="0.2">
      <c r="A11" s="8">
        <v>5</v>
      </c>
      <c r="B11" s="5"/>
      <c r="C11" s="74"/>
      <c r="D11" s="6"/>
      <c r="E11" s="6"/>
      <c r="F11" s="6"/>
      <c r="G11" s="6"/>
      <c r="H11" s="6"/>
      <c r="I11" s="6"/>
    </row>
    <row r="12" spans="1:9" hidden="1" x14ac:dyDescent="0.2">
      <c r="A12" s="8">
        <v>6</v>
      </c>
      <c r="B12" s="5"/>
      <c r="C12" s="74"/>
      <c r="D12" s="6"/>
      <c r="E12" s="6"/>
      <c r="F12" s="6"/>
      <c r="G12" s="6"/>
      <c r="H12" s="6"/>
      <c r="I12" s="6"/>
    </row>
    <row r="13" spans="1:9" hidden="1" x14ac:dyDescent="0.2">
      <c r="A13" s="8" t="s">
        <v>6</v>
      </c>
      <c r="B13" s="5"/>
      <c r="C13" s="74"/>
      <c r="D13" s="6"/>
      <c r="E13" s="6"/>
      <c r="F13" s="6"/>
      <c r="G13" s="6"/>
      <c r="H13" s="6"/>
      <c r="I13" s="6"/>
    </row>
    <row r="14" spans="1:9" hidden="1" x14ac:dyDescent="0.2">
      <c r="A14" s="8" t="s">
        <v>7</v>
      </c>
      <c r="B14" s="5"/>
      <c r="C14" s="74"/>
      <c r="D14" s="6"/>
      <c r="E14" s="6"/>
      <c r="F14" s="6"/>
      <c r="G14" s="6"/>
      <c r="H14" s="6"/>
      <c r="I14" s="6"/>
    </row>
    <row r="15" spans="1:9" hidden="1" x14ac:dyDescent="0.2">
      <c r="A15" s="8" t="s">
        <v>8</v>
      </c>
      <c r="B15" s="5"/>
      <c r="C15" s="74"/>
      <c r="D15" s="6"/>
      <c r="E15" s="6"/>
      <c r="F15" s="6"/>
      <c r="G15" s="6"/>
      <c r="H15" s="6"/>
      <c r="I15" s="6"/>
    </row>
    <row r="16" spans="1:9" hidden="1" x14ac:dyDescent="0.2">
      <c r="A16" s="8" t="s">
        <v>9</v>
      </c>
      <c r="B16" s="5"/>
      <c r="C16" s="74"/>
      <c r="D16" s="6"/>
      <c r="E16" s="6"/>
      <c r="F16" s="6"/>
      <c r="G16" s="6"/>
      <c r="H16" s="6"/>
      <c r="I16" s="6"/>
    </row>
    <row r="17" spans="1:9" x14ac:dyDescent="0.2">
      <c r="A17" s="312" t="s">
        <v>10</v>
      </c>
      <c r="B17" s="313"/>
      <c r="C17" s="313"/>
      <c r="D17" s="313"/>
      <c r="E17" s="314"/>
      <c r="F17" s="11">
        <f>SUM(F7:F16)</f>
        <v>3</v>
      </c>
      <c r="G17" s="11">
        <f>SUM(G7:G16)</f>
        <v>0</v>
      </c>
      <c r="H17" s="11">
        <f>SUM(H7:H16)</f>
        <v>14</v>
      </c>
      <c r="I17" s="11"/>
    </row>
    <row r="18" spans="1:9" hidden="1" x14ac:dyDescent="0.2">
      <c r="A18" s="8" t="s">
        <v>0</v>
      </c>
      <c r="B18" s="5">
        <f>B7+1</f>
        <v>46108</v>
      </c>
      <c r="C18" s="75"/>
      <c r="D18" s="6"/>
      <c r="E18" s="6"/>
      <c r="F18" s="6"/>
      <c r="G18" s="6"/>
      <c r="H18" s="6"/>
      <c r="I18" s="6"/>
    </row>
    <row r="19" spans="1:9" hidden="1" x14ac:dyDescent="0.2">
      <c r="A19" s="8" t="s">
        <v>1</v>
      </c>
      <c r="B19" s="5"/>
      <c r="C19" s="75"/>
      <c r="D19" s="6"/>
      <c r="E19" s="6"/>
      <c r="F19" s="6"/>
      <c r="G19" s="6"/>
      <c r="H19" s="6"/>
      <c r="I19" s="6"/>
    </row>
    <row r="20" spans="1:9" hidden="1" x14ac:dyDescent="0.2">
      <c r="A20" s="8" t="s">
        <v>2</v>
      </c>
      <c r="B20" s="5"/>
      <c r="C20" s="75"/>
      <c r="D20" s="6"/>
      <c r="E20" s="6"/>
      <c r="F20" s="6"/>
      <c r="G20" s="6"/>
      <c r="H20" s="6"/>
      <c r="I20" s="6"/>
    </row>
    <row r="21" spans="1:9" hidden="1" x14ac:dyDescent="0.2">
      <c r="A21" s="8" t="s">
        <v>3</v>
      </c>
      <c r="B21" s="5"/>
      <c r="C21" s="75"/>
      <c r="D21" s="6"/>
      <c r="E21" s="6"/>
      <c r="F21" s="6"/>
      <c r="G21" s="6"/>
      <c r="H21" s="6"/>
      <c r="I21" s="6"/>
    </row>
    <row r="22" spans="1:9" hidden="1" x14ac:dyDescent="0.2">
      <c r="A22" s="8" t="s">
        <v>4</v>
      </c>
      <c r="B22" s="5"/>
      <c r="C22" s="75"/>
      <c r="D22" s="6"/>
      <c r="E22" s="6"/>
      <c r="F22" s="6"/>
      <c r="G22" s="6"/>
      <c r="H22" s="6"/>
      <c r="I22" s="6"/>
    </row>
    <row r="23" spans="1:9" hidden="1" x14ac:dyDescent="0.2">
      <c r="A23" s="8" t="s">
        <v>5</v>
      </c>
      <c r="B23" s="5"/>
      <c r="C23" s="75"/>
      <c r="D23" s="6"/>
      <c r="E23" s="6"/>
      <c r="F23" s="6"/>
      <c r="G23" s="6"/>
      <c r="H23" s="6"/>
      <c r="I23" s="6"/>
    </row>
    <row r="24" spans="1:9" hidden="1" x14ac:dyDescent="0.2">
      <c r="A24" s="8" t="s">
        <v>6</v>
      </c>
      <c r="B24" s="5"/>
      <c r="C24" s="75"/>
      <c r="D24" s="6"/>
      <c r="E24" s="6"/>
      <c r="F24" s="6"/>
      <c r="G24" s="6"/>
      <c r="H24" s="6"/>
      <c r="I24" s="6"/>
    </row>
    <row r="25" spans="1:9" hidden="1" x14ac:dyDescent="0.2">
      <c r="A25" s="8" t="s">
        <v>7</v>
      </c>
      <c r="B25" s="5"/>
      <c r="C25" s="75"/>
      <c r="D25" s="6"/>
      <c r="E25" s="6"/>
      <c r="F25" s="6"/>
      <c r="G25" s="6"/>
      <c r="H25" s="6"/>
      <c r="I25" s="6"/>
    </row>
    <row r="26" spans="1:9" hidden="1" x14ac:dyDescent="0.2">
      <c r="A26" s="8" t="s">
        <v>8</v>
      </c>
      <c r="B26" s="5"/>
      <c r="C26" s="74"/>
      <c r="D26" s="6"/>
      <c r="E26" s="6"/>
      <c r="F26" s="6"/>
      <c r="G26" s="6"/>
      <c r="H26" s="6"/>
      <c r="I26" s="6"/>
    </row>
    <row r="27" spans="1:9" hidden="1" x14ac:dyDescent="0.2">
      <c r="A27" s="8" t="s">
        <v>9</v>
      </c>
      <c r="B27" s="5"/>
      <c r="C27" s="74"/>
      <c r="D27" s="6"/>
      <c r="E27" s="6"/>
      <c r="F27" s="6"/>
      <c r="G27" s="6"/>
      <c r="H27" s="6"/>
      <c r="I27" s="6"/>
    </row>
    <row r="28" spans="1:9" hidden="1" x14ac:dyDescent="0.2">
      <c r="A28" s="312" t="s">
        <v>10</v>
      </c>
      <c r="B28" s="313"/>
      <c r="C28" s="313"/>
      <c r="D28" s="313"/>
      <c r="E28" s="314"/>
      <c r="F28" s="11">
        <f>SUM(F18:F27)</f>
        <v>0</v>
      </c>
      <c r="G28" s="11">
        <f>SUM(G18:G27)</f>
        <v>0</v>
      </c>
      <c r="H28" s="11">
        <f>SUM(H18:H27)</f>
        <v>0</v>
      </c>
      <c r="I28" s="11"/>
    </row>
    <row r="29" spans="1:9" x14ac:dyDescent="0.2">
      <c r="A29" s="8" t="s">
        <v>0</v>
      </c>
      <c r="B29" s="5">
        <f>B18+1</f>
        <v>46109</v>
      </c>
      <c r="C29" s="74" t="s">
        <v>343</v>
      </c>
      <c r="D29" s="6" t="s">
        <v>342</v>
      </c>
      <c r="E29" s="6" t="s">
        <v>165</v>
      </c>
      <c r="F29" s="6">
        <v>1</v>
      </c>
      <c r="G29" s="6"/>
      <c r="H29" s="6">
        <v>2.5</v>
      </c>
      <c r="I29" s="6"/>
    </row>
    <row r="30" spans="1:9" x14ac:dyDescent="0.2">
      <c r="A30" s="8" t="s">
        <v>1</v>
      </c>
      <c r="B30" s="5"/>
      <c r="C30" s="74" t="s">
        <v>344</v>
      </c>
      <c r="D30" s="6" t="s">
        <v>250</v>
      </c>
      <c r="E30" s="6" t="s">
        <v>168</v>
      </c>
      <c r="F30" s="6">
        <v>1</v>
      </c>
      <c r="G30" s="6"/>
      <c r="H30" s="6">
        <v>1.5</v>
      </c>
      <c r="I30" s="6"/>
    </row>
    <row r="31" spans="1:9" x14ac:dyDescent="0.2">
      <c r="A31" s="8" t="s">
        <v>2</v>
      </c>
      <c r="B31" s="5"/>
      <c r="C31" s="74" t="s">
        <v>337</v>
      </c>
      <c r="D31" s="6" t="s">
        <v>276</v>
      </c>
      <c r="E31" s="6" t="s">
        <v>168</v>
      </c>
      <c r="F31" s="6">
        <v>1</v>
      </c>
      <c r="G31" s="6"/>
      <c r="H31" s="6">
        <v>5</v>
      </c>
      <c r="I31" s="6"/>
    </row>
    <row r="32" spans="1:9" hidden="1" x14ac:dyDescent="0.2">
      <c r="A32" s="8" t="s">
        <v>3</v>
      </c>
      <c r="B32" s="5"/>
      <c r="C32" s="74"/>
      <c r="D32" s="6"/>
      <c r="E32" s="6"/>
      <c r="F32" s="6"/>
      <c r="G32" s="6"/>
      <c r="H32" s="6"/>
      <c r="I32" s="6"/>
    </row>
    <row r="33" spans="1:9" hidden="1" x14ac:dyDescent="0.2">
      <c r="A33" s="8" t="s">
        <v>4</v>
      </c>
      <c r="B33" s="5"/>
      <c r="C33" s="74"/>
      <c r="D33" s="6"/>
      <c r="E33" s="6"/>
      <c r="F33" s="6"/>
      <c r="G33" s="6"/>
      <c r="H33" s="6"/>
      <c r="I33" s="6"/>
    </row>
    <row r="34" spans="1:9" hidden="1" x14ac:dyDescent="0.2">
      <c r="A34" s="8" t="s">
        <v>5</v>
      </c>
      <c r="B34" s="5"/>
      <c r="C34" s="74"/>
      <c r="D34" s="6"/>
      <c r="E34" s="6"/>
      <c r="F34" s="6"/>
      <c r="G34" s="6"/>
      <c r="H34" s="6"/>
      <c r="I34" s="6"/>
    </row>
    <row r="35" spans="1:9" hidden="1" x14ac:dyDescent="0.2">
      <c r="A35" s="8" t="s">
        <v>6</v>
      </c>
      <c r="B35" s="5"/>
      <c r="C35" s="74"/>
      <c r="D35" s="6"/>
      <c r="E35" s="6"/>
      <c r="F35" s="6"/>
      <c r="G35" s="6"/>
      <c r="H35" s="6"/>
      <c r="I35" s="6"/>
    </row>
    <row r="36" spans="1:9" hidden="1" x14ac:dyDescent="0.2">
      <c r="A36" s="8" t="s">
        <v>7</v>
      </c>
      <c r="B36" s="5"/>
      <c r="C36" s="74"/>
      <c r="D36" s="6"/>
      <c r="E36" s="6"/>
      <c r="F36" s="6"/>
      <c r="G36" s="6"/>
      <c r="H36" s="6"/>
      <c r="I36" s="6"/>
    </row>
    <row r="37" spans="1:9" hidden="1" x14ac:dyDescent="0.2">
      <c r="A37" s="8" t="s">
        <v>8</v>
      </c>
      <c r="B37" s="5"/>
      <c r="C37" s="74"/>
      <c r="D37" s="6"/>
      <c r="E37" s="6"/>
      <c r="F37" s="6"/>
      <c r="G37" s="6"/>
      <c r="H37" s="6"/>
      <c r="I37" s="6"/>
    </row>
    <row r="38" spans="1:9" hidden="1" x14ac:dyDescent="0.2">
      <c r="A38" s="8" t="s">
        <v>9</v>
      </c>
      <c r="B38" s="5"/>
      <c r="C38" s="74"/>
      <c r="D38" s="6"/>
      <c r="E38" s="6"/>
      <c r="F38" s="6"/>
      <c r="G38" s="6"/>
      <c r="H38" s="6"/>
      <c r="I38" s="6"/>
    </row>
    <row r="39" spans="1:9" x14ac:dyDescent="0.2">
      <c r="A39" s="312" t="s">
        <v>10</v>
      </c>
      <c r="B39" s="313"/>
      <c r="C39" s="313"/>
      <c r="D39" s="313"/>
      <c r="E39" s="314"/>
      <c r="F39" s="11">
        <f>SUM(F29:F38)</f>
        <v>3</v>
      </c>
      <c r="G39" s="11">
        <f>SUM(G29:G38)</f>
        <v>0</v>
      </c>
      <c r="H39" s="11">
        <f>SUM(H29:H38)</f>
        <v>9</v>
      </c>
      <c r="I39" s="11"/>
    </row>
    <row r="40" spans="1:9" x14ac:dyDescent="0.2">
      <c r="A40" s="8" t="s">
        <v>0</v>
      </c>
      <c r="B40" s="5">
        <f>B29+1</f>
        <v>46110</v>
      </c>
      <c r="C40" s="75" t="s">
        <v>370</v>
      </c>
      <c r="D40" s="6" t="s">
        <v>371</v>
      </c>
      <c r="E40" s="6" t="s">
        <v>165</v>
      </c>
      <c r="F40" s="6">
        <v>1</v>
      </c>
      <c r="G40" s="6"/>
      <c r="H40" s="6">
        <v>6</v>
      </c>
      <c r="I40" s="6"/>
    </row>
    <row r="41" spans="1:9" x14ac:dyDescent="0.2">
      <c r="A41" s="8" t="s">
        <v>1</v>
      </c>
      <c r="B41" s="5"/>
      <c r="C41" s="75" t="s">
        <v>372</v>
      </c>
      <c r="D41" s="6" t="s">
        <v>242</v>
      </c>
      <c r="E41" s="6" t="s">
        <v>171</v>
      </c>
      <c r="F41" s="6">
        <v>1</v>
      </c>
      <c r="G41" s="6"/>
      <c r="H41" s="6">
        <v>5.5</v>
      </c>
      <c r="I41" s="6"/>
    </row>
    <row r="42" spans="1:9" x14ac:dyDescent="0.2">
      <c r="A42" s="8" t="s">
        <v>2</v>
      </c>
      <c r="B42" s="5"/>
      <c r="C42" s="75" t="s">
        <v>373</v>
      </c>
      <c r="D42" s="6" t="s">
        <v>242</v>
      </c>
      <c r="E42" s="6" t="s">
        <v>171</v>
      </c>
      <c r="F42" s="6">
        <v>1</v>
      </c>
      <c r="G42" s="6"/>
      <c r="H42" s="6">
        <v>5.5</v>
      </c>
      <c r="I42" s="6"/>
    </row>
    <row r="43" spans="1:9" x14ac:dyDescent="0.2">
      <c r="A43" s="8" t="s">
        <v>3</v>
      </c>
      <c r="B43" s="5"/>
      <c r="C43" s="75" t="s">
        <v>374</v>
      </c>
      <c r="D43" s="6" t="s">
        <v>211</v>
      </c>
      <c r="E43" s="6" t="s">
        <v>171</v>
      </c>
      <c r="F43" s="6">
        <v>1</v>
      </c>
      <c r="G43" s="6"/>
      <c r="H43" s="6">
        <v>4</v>
      </c>
      <c r="I43" s="6"/>
    </row>
    <row r="44" spans="1:9" x14ac:dyDescent="0.2">
      <c r="A44" s="8" t="s">
        <v>4</v>
      </c>
      <c r="B44" s="5"/>
      <c r="C44" s="75" t="s">
        <v>375</v>
      </c>
      <c r="D44" s="6" t="s">
        <v>242</v>
      </c>
      <c r="E44" s="6" t="s">
        <v>171</v>
      </c>
      <c r="F44" s="6">
        <v>1</v>
      </c>
      <c r="G44" s="6"/>
      <c r="H44" s="6">
        <v>6</v>
      </c>
      <c r="I44" s="6"/>
    </row>
    <row r="45" spans="1:9" x14ac:dyDescent="0.2">
      <c r="A45" s="8" t="s">
        <v>5</v>
      </c>
      <c r="B45" s="5"/>
      <c r="C45" s="75" t="s">
        <v>376</v>
      </c>
      <c r="D45" s="6" t="s">
        <v>242</v>
      </c>
      <c r="E45" s="6" t="s">
        <v>171</v>
      </c>
      <c r="F45" s="6">
        <v>1</v>
      </c>
      <c r="G45" s="6"/>
      <c r="H45" s="6">
        <v>6</v>
      </c>
      <c r="I45" s="6"/>
    </row>
    <row r="46" spans="1:9" x14ac:dyDescent="0.2">
      <c r="A46" s="8" t="s">
        <v>6</v>
      </c>
      <c r="B46" s="5"/>
      <c r="C46" s="75" t="s">
        <v>377</v>
      </c>
      <c r="D46" s="6" t="s">
        <v>211</v>
      </c>
      <c r="E46" s="6" t="s">
        <v>171</v>
      </c>
      <c r="F46" s="6"/>
      <c r="G46" s="6">
        <v>1</v>
      </c>
      <c r="H46" s="6">
        <v>6</v>
      </c>
      <c r="I46" s="6"/>
    </row>
    <row r="47" spans="1:9" hidden="1" x14ac:dyDescent="0.2">
      <c r="A47" s="8" t="s">
        <v>7</v>
      </c>
      <c r="B47" s="5"/>
      <c r="C47" s="74"/>
      <c r="D47" s="6"/>
      <c r="E47" s="6"/>
      <c r="F47" s="6"/>
      <c r="G47" s="6"/>
      <c r="H47" s="6"/>
      <c r="I47" s="6"/>
    </row>
    <row r="48" spans="1:9" hidden="1" x14ac:dyDescent="0.2">
      <c r="A48" s="8" t="s">
        <v>8</v>
      </c>
      <c r="B48" s="5"/>
      <c r="C48" s="74"/>
      <c r="D48" s="6"/>
      <c r="E48" s="6"/>
      <c r="F48" s="6"/>
      <c r="G48" s="6"/>
      <c r="H48" s="6"/>
      <c r="I48" s="6"/>
    </row>
    <row r="49" spans="1:9" hidden="1" x14ac:dyDescent="0.2">
      <c r="A49" s="8" t="s">
        <v>9</v>
      </c>
      <c r="B49" s="5"/>
      <c r="C49" s="74"/>
      <c r="D49" s="6"/>
      <c r="E49" s="6"/>
      <c r="F49" s="6"/>
      <c r="G49" s="6"/>
      <c r="H49" s="6"/>
      <c r="I49" s="6"/>
    </row>
    <row r="50" spans="1:9" x14ac:dyDescent="0.2">
      <c r="A50" s="312" t="s">
        <v>10</v>
      </c>
      <c r="B50" s="313"/>
      <c r="C50" s="313"/>
      <c r="D50" s="313"/>
      <c r="E50" s="314"/>
      <c r="F50" s="11">
        <f>SUM(F40:F49)</f>
        <v>6</v>
      </c>
      <c r="G50" s="11">
        <f>SUM(G40:G49)</f>
        <v>1</v>
      </c>
      <c r="H50" s="11">
        <f>SUM(H40:H49)</f>
        <v>39</v>
      </c>
      <c r="I50" s="11"/>
    </row>
    <row r="51" spans="1:9" x14ac:dyDescent="0.2">
      <c r="A51" s="8" t="s">
        <v>0</v>
      </c>
      <c r="B51" s="5">
        <f>B40+1</f>
        <v>46111</v>
      </c>
      <c r="C51" s="75" t="s">
        <v>449</v>
      </c>
      <c r="D51" s="6" t="s">
        <v>173</v>
      </c>
      <c r="E51" s="6" t="s">
        <v>441</v>
      </c>
      <c r="F51" s="6">
        <v>1</v>
      </c>
      <c r="G51" s="6"/>
      <c r="H51" s="6">
        <v>6</v>
      </c>
      <c r="I51" s="6"/>
    </row>
    <row r="52" spans="1:9" x14ac:dyDescent="0.2">
      <c r="A52" s="8" t="s">
        <v>1</v>
      </c>
      <c r="B52" s="5"/>
      <c r="C52" s="75" t="s">
        <v>450</v>
      </c>
      <c r="D52" s="6" t="s">
        <v>170</v>
      </c>
      <c r="E52" s="6" t="s">
        <v>171</v>
      </c>
      <c r="F52" s="6">
        <v>1</v>
      </c>
      <c r="G52" s="6"/>
      <c r="H52" s="6">
        <v>6</v>
      </c>
      <c r="I52" s="6"/>
    </row>
    <row r="53" spans="1:9" x14ac:dyDescent="0.2">
      <c r="A53" s="8" t="s">
        <v>2</v>
      </c>
      <c r="B53" s="5"/>
      <c r="C53" s="75" t="s">
        <v>451</v>
      </c>
      <c r="D53" s="6" t="s">
        <v>170</v>
      </c>
      <c r="E53" s="6" t="s">
        <v>171</v>
      </c>
      <c r="F53" s="6">
        <v>1</v>
      </c>
      <c r="G53" s="6"/>
      <c r="H53" s="6">
        <v>6</v>
      </c>
      <c r="I53" s="6"/>
    </row>
    <row r="54" spans="1:9" x14ac:dyDescent="0.2">
      <c r="A54" s="8" t="s">
        <v>3</v>
      </c>
      <c r="B54" s="5"/>
      <c r="C54" s="75" t="s">
        <v>452</v>
      </c>
      <c r="D54" s="6" t="s">
        <v>170</v>
      </c>
      <c r="E54" s="6" t="s">
        <v>171</v>
      </c>
      <c r="F54" s="6">
        <v>1</v>
      </c>
      <c r="G54" s="6"/>
      <c r="H54" s="6">
        <v>6</v>
      </c>
      <c r="I54" s="6"/>
    </row>
    <row r="55" spans="1:9" x14ac:dyDescent="0.2">
      <c r="A55" s="8" t="s">
        <v>4</v>
      </c>
      <c r="B55" s="5"/>
      <c r="C55" s="75" t="s">
        <v>453</v>
      </c>
      <c r="D55" s="6" t="s">
        <v>170</v>
      </c>
      <c r="E55" s="6" t="s">
        <v>171</v>
      </c>
      <c r="F55" s="6">
        <v>1</v>
      </c>
      <c r="G55" s="6"/>
      <c r="H55" s="6">
        <v>6</v>
      </c>
      <c r="I55" s="6"/>
    </row>
    <row r="56" spans="1:9" x14ac:dyDescent="0.2">
      <c r="A56" s="8" t="s">
        <v>5</v>
      </c>
      <c r="B56" s="5"/>
      <c r="C56" s="75" t="s">
        <v>454</v>
      </c>
      <c r="D56" s="6" t="s">
        <v>170</v>
      </c>
      <c r="E56" s="6" t="s">
        <v>171</v>
      </c>
      <c r="F56" s="6">
        <v>1</v>
      </c>
      <c r="G56" s="6"/>
      <c r="H56" s="6">
        <v>6</v>
      </c>
      <c r="I56" s="6"/>
    </row>
    <row r="57" spans="1:9" x14ac:dyDescent="0.2">
      <c r="A57" s="8" t="s">
        <v>6</v>
      </c>
      <c r="B57" s="5"/>
      <c r="C57" s="74" t="s">
        <v>455</v>
      </c>
      <c r="D57" s="6" t="s">
        <v>347</v>
      </c>
      <c r="E57" s="6" t="s">
        <v>174</v>
      </c>
      <c r="F57" s="6"/>
      <c r="G57" s="6">
        <v>1</v>
      </c>
      <c r="H57" s="6">
        <v>2</v>
      </c>
      <c r="I57" s="6"/>
    </row>
    <row r="58" spans="1:9" hidden="1" x14ac:dyDescent="0.2">
      <c r="A58" s="8" t="s">
        <v>7</v>
      </c>
      <c r="B58" s="5"/>
      <c r="C58" s="74"/>
      <c r="D58" s="6"/>
      <c r="E58" s="6"/>
      <c r="F58" s="6"/>
      <c r="G58" s="6"/>
      <c r="H58" s="6"/>
      <c r="I58" s="6"/>
    </row>
    <row r="59" spans="1:9" hidden="1" x14ac:dyDescent="0.2">
      <c r="A59" s="8" t="s">
        <v>8</v>
      </c>
      <c r="B59" s="5"/>
      <c r="C59" s="74"/>
      <c r="D59" s="6"/>
      <c r="E59" s="6"/>
      <c r="F59" s="6"/>
      <c r="G59" s="6"/>
      <c r="H59" s="6"/>
      <c r="I59" s="6"/>
    </row>
    <row r="60" spans="1:9" hidden="1" x14ac:dyDescent="0.2">
      <c r="A60" s="8" t="s">
        <v>9</v>
      </c>
      <c r="B60" s="5"/>
      <c r="C60" s="74"/>
      <c r="D60" s="6"/>
      <c r="E60" s="6"/>
      <c r="F60" s="6"/>
      <c r="G60" s="6"/>
      <c r="H60" s="6"/>
      <c r="I60" s="6"/>
    </row>
    <row r="61" spans="1:9" x14ac:dyDescent="0.2">
      <c r="A61" s="312" t="s">
        <v>10</v>
      </c>
      <c r="B61" s="313"/>
      <c r="C61" s="313"/>
      <c r="D61" s="313"/>
      <c r="E61" s="314"/>
      <c r="F61" s="11">
        <f>SUM(F51:F60)</f>
        <v>6</v>
      </c>
      <c r="G61" s="11">
        <f>SUM(G51:G60)</f>
        <v>1</v>
      </c>
      <c r="H61" s="11">
        <f>SUM(H51:H60)</f>
        <v>38</v>
      </c>
      <c r="I61" s="11"/>
    </row>
    <row r="62" spans="1:9" x14ac:dyDescent="0.2">
      <c r="A62" s="8" t="s">
        <v>0</v>
      </c>
      <c r="B62" s="5">
        <f>B51+1</f>
        <v>46112</v>
      </c>
      <c r="C62" s="75" t="s">
        <v>524</v>
      </c>
      <c r="D62" s="6" t="s">
        <v>253</v>
      </c>
      <c r="E62" s="6" t="s">
        <v>165</v>
      </c>
      <c r="F62" s="6">
        <v>1</v>
      </c>
      <c r="G62" s="6"/>
      <c r="H62" s="6">
        <v>2</v>
      </c>
      <c r="I62" s="6"/>
    </row>
    <row r="63" spans="1:9" x14ac:dyDescent="0.2">
      <c r="A63" s="8" t="s">
        <v>1</v>
      </c>
      <c r="B63" s="5"/>
      <c r="C63" s="75" t="s">
        <v>519</v>
      </c>
      <c r="D63" s="6" t="s">
        <v>170</v>
      </c>
      <c r="E63" s="6" t="s">
        <v>165</v>
      </c>
      <c r="F63" s="6">
        <v>1</v>
      </c>
      <c r="G63" s="6"/>
      <c r="H63" s="6">
        <v>2</v>
      </c>
      <c r="I63" s="6"/>
    </row>
    <row r="64" spans="1:9" hidden="1" x14ac:dyDescent="0.2">
      <c r="A64" s="8" t="s">
        <v>2</v>
      </c>
      <c r="B64" s="5"/>
      <c r="C64" s="75"/>
      <c r="D64" s="6"/>
      <c r="E64" s="6"/>
      <c r="F64" s="6"/>
      <c r="G64" s="6"/>
      <c r="H64" s="6"/>
      <c r="I64" s="6"/>
    </row>
    <row r="65" spans="1:9" hidden="1" x14ac:dyDescent="0.2">
      <c r="A65" s="8" t="s">
        <v>3</v>
      </c>
      <c r="B65" s="5"/>
      <c r="C65" s="75"/>
      <c r="D65" s="6"/>
      <c r="E65" s="6"/>
      <c r="F65" s="6"/>
      <c r="G65" s="6"/>
      <c r="H65" s="6"/>
      <c r="I65" s="6"/>
    </row>
    <row r="66" spans="1:9" hidden="1" x14ac:dyDescent="0.2">
      <c r="A66" s="8" t="s">
        <v>4</v>
      </c>
      <c r="B66" s="5"/>
      <c r="C66" s="75"/>
      <c r="D66" s="6"/>
      <c r="E66" s="6"/>
      <c r="F66" s="6"/>
      <c r="G66" s="6"/>
      <c r="H66" s="6"/>
      <c r="I66" s="6"/>
    </row>
    <row r="67" spans="1:9" hidden="1" x14ac:dyDescent="0.2">
      <c r="A67" s="8" t="s">
        <v>5</v>
      </c>
      <c r="B67" s="5"/>
      <c r="C67" s="75"/>
      <c r="D67" s="6"/>
      <c r="E67" s="6"/>
      <c r="F67" s="6"/>
      <c r="G67" s="6"/>
      <c r="H67" s="6"/>
      <c r="I67" s="6"/>
    </row>
    <row r="68" spans="1:9" hidden="1" x14ac:dyDescent="0.2">
      <c r="A68" s="8" t="s">
        <v>6</v>
      </c>
      <c r="B68" s="5"/>
      <c r="C68" s="75"/>
      <c r="D68" s="6"/>
      <c r="E68" s="6"/>
      <c r="F68" s="6"/>
      <c r="G68" s="6"/>
      <c r="H68" s="6"/>
      <c r="I68" s="6"/>
    </row>
    <row r="69" spans="1:9" hidden="1" x14ac:dyDescent="0.2">
      <c r="A69" s="8" t="s">
        <v>7</v>
      </c>
      <c r="B69" s="5"/>
      <c r="C69" s="75"/>
      <c r="D69" s="6"/>
      <c r="E69" s="6"/>
      <c r="F69" s="6"/>
      <c r="G69" s="6"/>
      <c r="H69" s="6"/>
      <c r="I69" s="6"/>
    </row>
    <row r="70" spans="1:9" hidden="1" x14ac:dyDescent="0.2">
      <c r="A70" s="8" t="s">
        <v>8</v>
      </c>
      <c r="B70" s="5"/>
      <c r="C70" s="75"/>
      <c r="D70" s="6"/>
      <c r="E70" s="6"/>
      <c r="F70" s="6"/>
      <c r="G70" s="6"/>
      <c r="H70" s="6"/>
      <c r="I70" s="6"/>
    </row>
    <row r="71" spans="1:9" hidden="1" x14ac:dyDescent="0.2">
      <c r="A71" s="8" t="s">
        <v>9</v>
      </c>
      <c r="B71" s="5"/>
      <c r="C71" s="75"/>
      <c r="D71" s="6"/>
      <c r="E71" s="6"/>
      <c r="F71" s="6"/>
      <c r="G71" s="6"/>
      <c r="H71" s="6"/>
      <c r="I71" s="6"/>
    </row>
    <row r="72" spans="1:9" x14ac:dyDescent="0.2">
      <c r="A72" s="312" t="s">
        <v>10</v>
      </c>
      <c r="B72" s="313"/>
      <c r="C72" s="313"/>
      <c r="D72" s="313"/>
      <c r="E72" s="314"/>
      <c r="F72" s="11">
        <f>SUM(F62:F71)</f>
        <v>2</v>
      </c>
      <c r="G72" s="11">
        <f>SUM(G62:G71)</f>
        <v>0</v>
      </c>
      <c r="H72" s="11">
        <f>SUM(H62:H71)</f>
        <v>4</v>
      </c>
      <c r="I72" s="11"/>
    </row>
    <row r="73" spans="1:9" x14ac:dyDescent="0.2">
      <c r="A73" s="8" t="s">
        <v>0</v>
      </c>
      <c r="B73" s="5">
        <f>B62+1</f>
        <v>46113</v>
      </c>
      <c r="C73" s="74" t="s">
        <v>592</v>
      </c>
      <c r="D73" s="6" t="s">
        <v>188</v>
      </c>
      <c r="E73" s="6" t="s">
        <v>165</v>
      </c>
      <c r="F73" s="6">
        <v>1</v>
      </c>
      <c r="G73" s="6"/>
      <c r="H73" s="6">
        <v>5</v>
      </c>
      <c r="I73" s="6"/>
    </row>
    <row r="74" spans="1:9" x14ac:dyDescent="0.2">
      <c r="A74" s="8" t="s">
        <v>1</v>
      </c>
      <c r="B74" s="5"/>
      <c r="C74" s="74" t="s">
        <v>593</v>
      </c>
      <c r="D74" s="6" t="s">
        <v>364</v>
      </c>
      <c r="E74" s="6" t="s">
        <v>165</v>
      </c>
      <c r="F74" s="6">
        <v>1</v>
      </c>
      <c r="G74" s="6"/>
      <c r="H74" s="6">
        <v>5</v>
      </c>
      <c r="I74" s="6"/>
    </row>
    <row r="75" spans="1:9" x14ac:dyDescent="0.2">
      <c r="A75" s="8" t="s">
        <v>2</v>
      </c>
      <c r="B75" s="5"/>
      <c r="C75" s="74" t="s">
        <v>594</v>
      </c>
      <c r="D75" s="6" t="s">
        <v>188</v>
      </c>
      <c r="E75" s="6" t="s">
        <v>165</v>
      </c>
      <c r="F75" s="6">
        <v>1</v>
      </c>
      <c r="G75" s="6"/>
      <c r="H75" s="6">
        <v>6</v>
      </c>
      <c r="I75" s="6"/>
    </row>
    <row r="76" spans="1:9" x14ac:dyDescent="0.2">
      <c r="A76" s="8" t="s">
        <v>3</v>
      </c>
      <c r="B76" s="5"/>
      <c r="C76" s="74" t="s">
        <v>595</v>
      </c>
      <c r="D76" s="6" t="s">
        <v>202</v>
      </c>
      <c r="E76" s="6" t="s">
        <v>596</v>
      </c>
      <c r="F76" s="6"/>
      <c r="G76" s="6">
        <v>1</v>
      </c>
      <c r="H76" s="6">
        <v>4.5</v>
      </c>
      <c r="I76" s="6"/>
    </row>
    <row r="77" spans="1:9" hidden="1" x14ac:dyDescent="0.2">
      <c r="A77" s="8" t="s">
        <v>4</v>
      </c>
      <c r="B77" s="5"/>
      <c r="C77" s="74"/>
      <c r="D77" s="6"/>
      <c r="E77" s="6"/>
      <c r="F77" s="6"/>
      <c r="G77" s="6"/>
      <c r="H77" s="6"/>
      <c r="I77" s="6"/>
    </row>
    <row r="78" spans="1:9" hidden="1" x14ac:dyDescent="0.2">
      <c r="A78" s="8" t="s">
        <v>5</v>
      </c>
      <c r="B78" s="5"/>
      <c r="C78" s="74"/>
      <c r="D78" s="6"/>
      <c r="E78" s="6"/>
      <c r="F78" s="6"/>
      <c r="G78" s="6"/>
      <c r="H78" s="6"/>
      <c r="I78" s="6"/>
    </row>
    <row r="79" spans="1:9" hidden="1" x14ac:dyDescent="0.2">
      <c r="A79" s="8" t="s">
        <v>6</v>
      </c>
      <c r="B79" s="5"/>
      <c r="C79" s="74"/>
      <c r="D79" s="6"/>
      <c r="E79" s="6"/>
      <c r="F79" s="6"/>
      <c r="G79" s="6"/>
      <c r="H79" s="6"/>
      <c r="I79" s="6"/>
    </row>
    <row r="80" spans="1:9" hidden="1" x14ac:dyDescent="0.2">
      <c r="A80" s="8" t="s">
        <v>7</v>
      </c>
      <c r="B80" s="5"/>
      <c r="C80" s="74"/>
      <c r="D80" s="6"/>
      <c r="E80" s="6"/>
      <c r="F80" s="6"/>
      <c r="G80" s="6"/>
      <c r="H80" s="6"/>
      <c r="I80" s="6"/>
    </row>
    <row r="81" spans="1:9" hidden="1" x14ac:dyDescent="0.2">
      <c r="A81" s="8" t="s">
        <v>8</v>
      </c>
      <c r="B81" s="5"/>
      <c r="C81" s="74"/>
      <c r="D81" s="6"/>
      <c r="E81" s="6"/>
      <c r="F81" s="6"/>
      <c r="G81" s="6"/>
      <c r="H81" s="6"/>
      <c r="I81" s="6"/>
    </row>
    <row r="82" spans="1:9" hidden="1" x14ac:dyDescent="0.2">
      <c r="A82" s="8" t="s">
        <v>9</v>
      </c>
      <c r="B82" s="5"/>
      <c r="C82" s="74"/>
      <c r="D82" s="6"/>
      <c r="E82" s="6"/>
      <c r="F82" s="6"/>
      <c r="G82" s="6"/>
      <c r="H82" s="6"/>
      <c r="I82" s="6"/>
    </row>
    <row r="83" spans="1:9" x14ac:dyDescent="0.2">
      <c r="A83" s="312" t="s">
        <v>10</v>
      </c>
      <c r="B83" s="313"/>
      <c r="C83" s="313"/>
      <c r="D83" s="313"/>
      <c r="E83" s="314"/>
      <c r="F83" s="11">
        <f>SUM(F73:F82)</f>
        <v>3</v>
      </c>
      <c r="G83" s="11">
        <f>SUM(G73:G82)</f>
        <v>1</v>
      </c>
      <c r="H83" s="11">
        <f>SUM(H73:H82)</f>
        <v>20.5</v>
      </c>
      <c r="I83" s="11"/>
    </row>
    <row r="84" spans="1:9" s="25" customFormat="1" ht="18" x14ac:dyDescent="0.2">
      <c r="A84" s="324" t="s">
        <v>39</v>
      </c>
      <c r="B84" s="325"/>
      <c r="C84" s="325"/>
      <c r="D84" s="325"/>
      <c r="E84" s="326"/>
      <c r="F84" s="24">
        <f>F17+F28+F39+F50+F61+F72+F83</f>
        <v>23</v>
      </c>
      <c r="G84" s="24">
        <f>G17+G28+G39+G50+G61+G72+G83</f>
        <v>3</v>
      </c>
      <c r="H84" s="24">
        <f>H17+H28+H39+H50+H61+H72+H83</f>
        <v>124.5</v>
      </c>
      <c r="I84" s="24"/>
    </row>
    <row r="85" spans="1:9" ht="21.95" customHeight="1" x14ac:dyDescent="0.2">
      <c r="A85" s="319" t="s">
        <v>14</v>
      </c>
      <c r="B85" s="319"/>
      <c r="C85" s="319"/>
      <c r="D85" s="319"/>
      <c r="E85" s="319"/>
      <c r="F85" s="319"/>
      <c r="G85" s="319"/>
      <c r="H85" s="319"/>
      <c r="I85" s="319"/>
    </row>
    <row r="86" spans="1:9" s="53" customFormat="1" ht="20.100000000000001" customHeight="1" x14ac:dyDescent="0.2">
      <c r="A86" s="323" t="s">
        <v>86</v>
      </c>
      <c r="B86" s="323"/>
      <c r="C86" s="323"/>
      <c r="D86" s="323"/>
      <c r="E86" s="323"/>
      <c r="F86" s="50" t="str">
        <f>F2</f>
        <v>เมษายน</v>
      </c>
      <c r="G86" s="50" t="s">
        <v>87</v>
      </c>
      <c r="H86" s="51">
        <f>H2</f>
        <v>2569</v>
      </c>
      <c r="I86" s="52"/>
    </row>
    <row r="87" spans="1:9" s="3" customFormat="1" ht="20.100000000000001" customHeight="1" x14ac:dyDescent="0.35">
      <c r="A87" s="318" t="s">
        <v>31</v>
      </c>
      <c r="B87" s="318"/>
      <c r="C87" s="318"/>
      <c r="D87" s="2"/>
      <c r="F87" s="4"/>
      <c r="G87" s="4"/>
      <c r="H87" s="4" t="s">
        <v>21</v>
      </c>
      <c r="I87" s="40">
        <f>I3+1</f>
        <v>2</v>
      </c>
    </row>
    <row r="88" spans="1:9" s="3" customFormat="1" ht="20.100000000000001" customHeight="1" x14ac:dyDescent="0.35">
      <c r="A88" s="311" t="s">
        <v>73</v>
      </c>
      <c r="B88" s="311"/>
      <c r="C88" s="311"/>
      <c r="D88" s="2"/>
      <c r="E88" s="39" t="s">
        <v>81</v>
      </c>
      <c r="F88" s="308">
        <f>F4</f>
        <v>46107</v>
      </c>
      <c r="G88" s="308"/>
      <c r="H88" s="39" t="s">
        <v>82</v>
      </c>
      <c r="I88" s="34">
        <f>$I$4</f>
        <v>46136</v>
      </c>
    </row>
    <row r="89" spans="1:9" x14ac:dyDescent="0.2">
      <c r="A89" s="12" t="s">
        <v>23</v>
      </c>
      <c r="B89" s="13" t="s">
        <v>11</v>
      </c>
      <c r="C89" s="72" t="s">
        <v>26</v>
      </c>
      <c r="D89" s="12" t="s">
        <v>16</v>
      </c>
      <c r="E89" s="12" t="s">
        <v>17</v>
      </c>
      <c r="F89" s="310" t="s">
        <v>46</v>
      </c>
      <c r="G89" s="310"/>
      <c r="H89" s="310"/>
      <c r="I89" s="12" t="s">
        <v>19</v>
      </c>
    </row>
    <row r="90" spans="1:9" x14ac:dyDescent="0.2">
      <c r="A90" s="15"/>
      <c r="B90" s="16"/>
      <c r="C90" s="73"/>
      <c r="D90" s="15"/>
      <c r="E90" s="15"/>
      <c r="F90" s="21" t="s">
        <v>113</v>
      </c>
      <c r="G90" s="21" t="s">
        <v>114</v>
      </c>
      <c r="H90" s="21" t="s">
        <v>20</v>
      </c>
      <c r="I90" s="15"/>
    </row>
    <row r="91" spans="1:9" x14ac:dyDescent="0.2">
      <c r="A91" s="8" t="s">
        <v>0</v>
      </c>
      <c r="B91" s="5">
        <f>B73+1</f>
        <v>46114</v>
      </c>
      <c r="C91" s="74" t="s">
        <v>641</v>
      </c>
      <c r="D91" s="6" t="s">
        <v>188</v>
      </c>
      <c r="E91" s="6" t="s">
        <v>165</v>
      </c>
      <c r="F91" s="6">
        <v>1</v>
      </c>
      <c r="G91" s="6"/>
      <c r="H91" s="6">
        <v>5</v>
      </c>
      <c r="I91" s="6"/>
    </row>
    <row r="92" spans="1:9" x14ac:dyDescent="0.2">
      <c r="A92" s="8" t="s">
        <v>1</v>
      </c>
      <c r="B92" s="5"/>
      <c r="C92" s="74" t="s">
        <v>642</v>
      </c>
      <c r="D92" s="6" t="s">
        <v>206</v>
      </c>
      <c r="E92" s="6" t="s">
        <v>632</v>
      </c>
      <c r="F92" s="6">
        <v>1</v>
      </c>
      <c r="G92" s="6"/>
      <c r="H92" s="6">
        <v>6</v>
      </c>
      <c r="I92" s="6"/>
    </row>
    <row r="93" spans="1:9" x14ac:dyDescent="0.2">
      <c r="A93" s="8" t="s">
        <v>2</v>
      </c>
      <c r="B93" s="5"/>
      <c r="C93" s="74" t="s">
        <v>643</v>
      </c>
      <c r="D93" s="6" t="s">
        <v>206</v>
      </c>
      <c r="E93" s="6" t="s">
        <v>632</v>
      </c>
      <c r="F93" s="6">
        <v>1</v>
      </c>
      <c r="G93" s="6"/>
      <c r="H93" s="6">
        <v>6</v>
      </c>
      <c r="I93" s="6"/>
    </row>
    <row r="94" spans="1:9" x14ac:dyDescent="0.2">
      <c r="A94" s="8" t="s">
        <v>3</v>
      </c>
      <c r="B94" s="5"/>
      <c r="C94" s="74" t="s">
        <v>644</v>
      </c>
      <c r="D94" s="6" t="s">
        <v>347</v>
      </c>
      <c r="E94" s="6" t="s">
        <v>441</v>
      </c>
      <c r="F94" s="6">
        <v>1</v>
      </c>
      <c r="G94" s="6"/>
      <c r="H94" s="6">
        <v>6</v>
      </c>
      <c r="I94" s="6"/>
    </row>
    <row r="95" spans="1:9" x14ac:dyDescent="0.2">
      <c r="A95" s="8" t="s">
        <v>4</v>
      </c>
      <c r="B95" s="5"/>
      <c r="C95" s="74" t="s">
        <v>645</v>
      </c>
      <c r="D95" s="6" t="s">
        <v>170</v>
      </c>
      <c r="E95" s="6" t="s">
        <v>171</v>
      </c>
      <c r="F95" s="6">
        <v>1</v>
      </c>
      <c r="G95" s="6"/>
      <c r="H95" s="6">
        <v>6</v>
      </c>
      <c r="I95" s="6"/>
    </row>
    <row r="96" spans="1:9" x14ac:dyDescent="0.2">
      <c r="A96" s="8" t="s">
        <v>5</v>
      </c>
      <c r="B96" s="5"/>
      <c r="C96" s="74" t="s">
        <v>646</v>
      </c>
      <c r="D96" s="6" t="s">
        <v>170</v>
      </c>
      <c r="E96" s="6" t="s">
        <v>171</v>
      </c>
      <c r="F96" s="6">
        <v>1</v>
      </c>
      <c r="G96" s="6"/>
      <c r="H96" s="6">
        <v>6</v>
      </c>
      <c r="I96" s="6"/>
    </row>
    <row r="97" spans="1:9" x14ac:dyDescent="0.2">
      <c r="A97" s="8" t="s">
        <v>6</v>
      </c>
      <c r="B97" s="5"/>
      <c r="C97" s="74" t="s">
        <v>647</v>
      </c>
      <c r="D97" s="6" t="s">
        <v>253</v>
      </c>
      <c r="E97" s="6" t="s">
        <v>165</v>
      </c>
      <c r="F97" s="6">
        <v>1</v>
      </c>
      <c r="G97" s="6"/>
      <c r="H97" s="6">
        <v>4</v>
      </c>
      <c r="I97" s="6"/>
    </row>
    <row r="98" spans="1:9" x14ac:dyDescent="0.2">
      <c r="A98" s="8" t="s">
        <v>7</v>
      </c>
      <c r="B98" s="5"/>
      <c r="C98" s="74" t="s">
        <v>648</v>
      </c>
      <c r="D98" s="6" t="s">
        <v>170</v>
      </c>
      <c r="E98" s="6" t="s">
        <v>171</v>
      </c>
      <c r="F98" s="6"/>
      <c r="G98" s="6">
        <v>1</v>
      </c>
      <c r="H98" s="6">
        <v>6</v>
      </c>
      <c r="I98" s="6"/>
    </row>
    <row r="99" spans="1:9" x14ac:dyDescent="0.2">
      <c r="A99" s="8" t="s">
        <v>8</v>
      </c>
      <c r="B99" s="5"/>
      <c r="C99" s="74" t="s">
        <v>649</v>
      </c>
      <c r="D99" s="6" t="s">
        <v>170</v>
      </c>
      <c r="E99" s="6" t="s">
        <v>171</v>
      </c>
      <c r="F99" s="6"/>
      <c r="G99" s="6">
        <v>1</v>
      </c>
      <c r="H99" s="6">
        <v>2</v>
      </c>
      <c r="I99" s="6"/>
    </row>
    <row r="100" spans="1:9" hidden="1" x14ac:dyDescent="0.2">
      <c r="A100" s="8" t="s">
        <v>9</v>
      </c>
      <c r="B100" s="5"/>
      <c r="C100" s="74"/>
      <c r="D100" s="6"/>
      <c r="E100" s="6"/>
      <c r="F100" s="6"/>
      <c r="G100" s="6"/>
      <c r="H100" s="6"/>
      <c r="I100" s="6"/>
    </row>
    <row r="101" spans="1:9" x14ac:dyDescent="0.2">
      <c r="A101" s="312" t="s">
        <v>10</v>
      </c>
      <c r="B101" s="313"/>
      <c r="C101" s="313"/>
      <c r="D101" s="313"/>
      <c r="E101" s="314"/>
      <c r="F101" s="11">
        <f>SUM(F91:F100)</f>
        <v>7</v>
      </c>
      <c r="G101" s="11">
        <f>SUM(G91:G100)</f>
        <v>2</v>
      </c>
      <c r="H101" s="11">
        <f>SUM(H91:H100)</f>
        <v>47</v>
      </c>
      <c r="I101" s="11"/>
    </row>
    <row r="102" spans="1:9" x14ac:dyDescent="0.2">
      <c r="A102" s="8" t="s">
        <v>0</v>
      </c>
      <c r="B102" s="5">
        <f>B91+1</f>
        <v>46115</v>
      </c>
      <c r="C102" s="74" t="s">
        <v>724</v>
      </c>
      <c r="D102" s="6" t="s">
        <v>342</v>
      </c>
      <c r="E102" s="6" t="s">
        <v>165</v>
      </c>
      <c r="F102" s="6">
        <v>1</v>
      </c>
      <c r="G102" s="6"/>
      <c r="H102" s="6">
        <v>6</v>
      </c>
      <c r="I102" s="6"/>
    </row>
    <row r="103" spans="1:9" x14ac:dyDescent="0.2">
      <c r="A103" s="8" t="s">
        <v>1</v>
      </c>
      <c r="B103" s="5"/>
      <c r="C103" s="74" t="s">
        <v>725</v>
      </c>
      <c r="D103" s="6" t="s">
        <v>713</v>
      </c>
      <c r="E103" s="6" t="s">
        <v>165</v>
      </c>
      <c r="F103" s="6">
        <v>1</v>
      </c>
      <c r="G103" s="6"/>
      <c r="H103" s="6">
        <v>2</v>
      </c>
      <c r="I103" s="6"/>
    </row>
    <row r="104" spans="1:9" x14ac:dyDescent="0.2">
      <c r="A104" s="8" t="s">
        <v>2</v>
      </c>
      <c r="B104" s="5"/>
      <c r="C104" s="74" t="s">
        <v>726</v>
      </c>
      <c r="D104" s="6" t="s">
        <v>170</v>
      </c>
      <c r="E104" s="6" t="s">
        <v>171</v>
      </c>
      <c r="F104" s="6">
        <v>1</v>
      </c>
      <c r="G104" s="6"/>
      <c r="H104" s="6">
        <v>6</v>
      </c>
      <c r="I104" s="6"/>
    </row>
    <row r="105" spans="1:9" x14ac:dyDescent="0.2">
      <c r="A105" s="8" t="s">
        <v>3</v>
      </c>
      <c r="B105" s="5"/>
      <c r="C105" s="74" t="s">
        <v>728</v>
      </c>
      <c r="D105" s="6" t="s">
        <v>173</v>
      </c>
      <c r="E105" s="6" t="s">
        <v>544</v>
      </c>
      <c r="F105" s="6">
        <v>1</v>
      </c>
      <c r="G105" s="6"/>
      <c r="H105" s="6">
        <v>5.5</v>
      </c>
      <c r="I105" s="6"/>
    </row>
    <row r="106" spans="1:9" x14ac:dyDescent="0.2">
      <c r="A106" s="8" t="s">
        <v>4</v>
      </c>
      <c r="B106" s="5"/>
      <c r="C106" s="74" t="s">
        <v>729</v>
      </c>
      <c r="D106" s="6" t="s">
        <v>170</v>
      </c>
      <c r="E106" s="6" t="s">
        <v>171</v>
      </c>
      <c r="F106" s="6"/>
      <c r="G106" s="6">
        <v>1</v>
      </c>
      <c r="H106" s="6">
        <v>6</v>
      </c>
      <c r="I106" s="6"/>
    </row>
    <row r="107" spans="1:9" x14ac:dyDescent="0.2">
      <c r="A107" s="8" t="s">
        <v>5</v>
      </c>
      <c r="B107" s="5"/>
      <c r="C107" s="74" t="s">
        <v>730</v>
      </c>
      <c r="D107" s="6" t="s">
        <v>170</v>
      </c>
      <c r="E107" s="6" t="s">
        <v>171</v>
      </c>
      <c r="F107" s="6"/>
      <c r="G107" s="6">
        <v>1</v>
      </c>
      <c r="H107" s="6">
        <v>6</v>
      </c>
      <c r="I107" s="6"/>
    </row>
    <row r="108" spans="1:9" x14ac:dyDescent="0.2">
      <c r="A108" s="8" t="s">
        <v>6</v>
      </c>
      <c r="B108" s="5"/>
      <c r="C108" s="74" t="s">
        <v>731</v>
      </c>
      <c r="D108" s="6" t="s">
        <v>170</v>
      </c>
      <c r="E108" s="6" t="s">
        <v>171</v>
      </c>
      <c r="F108" s="6"/>
      <c r="G108" s="6">
        <v>1</v>
      </c>
      <c r="H108" s="6">
        <v>6</v>
      </c>
      <c r="I108" s="6"/>
    </row>
    <row r="109" spans="1:9" hidden="1" x14ac:dyDescent="0.2">
      <c r="A109" s="8" t="s">
        <v>7</v>
      </c>
      <c r="B109" s="5"/>
      <c r="C109" s="74"/>
      <c r="D109" s="6"/>
      <c r="E109" s="6"/>
      <c r="F109" s="6"/>
      <c r="G109" s="6"/>
      <c r="H109" s="6"/>
      <c r="I109" s="6"/>
    </row>
    <row r="110" spans="1:9" hidden="1" x14ac:dyDescent="0.2">
      <c r="A110" s="8" t="s">
        <v>8</v>
      </c>
      <c r="B110" s="5"/>
      <c r="C110" s="74"/>
      <c r="D110" s="6"/>
      <c r="E110" s="6"/>
      <c r="F110" s="6"/>
      <c r="G110" s="6"/>
      <c r="H110" s="6"/>
      <c r="I110" s="6"/>
    </row>
    <row r="111" spans="1:9" hidden="1" x14ac:dyDescent="0.2">
      <c r="A111" s="8" t="s">
        <v>9</v>
      </c>
      <c r="B111" s="5"/>
      <c r="C111" s="74"/>
      <c r="D111" s="6"/>
      <c r="E111" s="6"/>
      <c r="F111" s="6"/>
      <c r="G111" s="6"/>
      <c r="H111" s="6"/>
      <c r="I111" s="6"/>
    </row>
    <row r="112" spans="1:9" x14ac:dyDescent="0.2">
      <c r="A112" s="312" t="s">
        <v>10</v>
      </c>
      <c r="B112" s="313"/>
      <c r="C112" s="313"/>
      <c r="D112" s="313"/>
      <c r="E112" s="314"/>
      <c r="F112" s="11">
        <f>SUM(F102:F111)</f>
        <v>4</v>
      </c>
      <c r="G112" s="11">
        <f>SUM(G102:G111)</f>
        <v>3</v>
      </c>
      <c r="H112" s="11">
        <f>SUM(H102:H111)</f>
        <v>37.5</v>
      </c>
      <c r="I112" s="11"/>
    </row>
    <row r="113" spans="1:9" hidden="1" x14ac:dyDescent="0.2">
      <c r="A113" s="8" t="s">
        <v>0</v>
      </c>
      <c r="B113" s="5">
        <f>B102+1</f>
        <v>46116</v>
      </c>
      <c r="C113" s="74"/>
      <c r="D113" s="6"/>
      <c r="E113" s="6"/>
      <c r="F113" s="6"/>
      <c r="G113" s="6"/>
      <c r="H113" s="6"/>
      <c r="I113" s="6"/>
    </row>
    <row r="114" spans="1:9" hidden="1" x14ac:dyDescent="0.2">
      <c r="A114" s="8" t="s">
        <v>1</v>
      </c>
      <c r="B114" s="5"/>
      <c r="C114" s="74"/>
      <c r="D114" s="6"/>
      <c r="E114" s="6"/>
      <c r="F114" s="6"/>
      <c r="G114" s="6"/>
      <c r="H114" s="6"/>
      <c r="I114" s="6"/>
    </row>
    <row r="115" spans="1:9" hidden="1" x14ac:dyDescent="0.2">
      <c r="A115" s="8" t="s">
        <v>2</v>
      </c>
      <c r="B115" s="5"/>
      <c r="C115" s="74"/>
      <c r="D115" s="6"/>
      <c r="E115" s="6"/>
      <c r="F115" s="6"/>
      <c r="G115" s="6"/>
      <c r="H115" s="6"/>
      <c r="I115" s="6"/>
    </row>
    <row r="116" spans="1:9" hidden="1" x14ac:dyDescent="0.2">
      <c r="A116" s="8" t="s">
        <v>3</v>
      </c>
      <c r="B116" s="5"/>
      <c r="C116" s="74"/>
      <c r="D116" s="6"/>
      <c r="E116" s="6"/>
      <c r="F116" s="6"/>
      <c r="G116" s="6"/>
      <c r="H116" s="6"/>
      <c r="I116" s="6"/>
    </row>
    <row r="117" spans="1:9" hidden="1" x14ac:dyDescent="0.2">
      <c r="A117" s="8" t="s">
        <v>4</v>
      </c>
      <c r="B117" s="5"/>
      <c r="C117" s="74"/>
      <c r="D117" s="6"/>
      <c r="E117" s="6"/>
      <c r="F117" s="6"/>
      <c r="G117" s="6"/>
      <c r="H117" s="6"/>
      <c r="I117" s="6"/>
    </row>
    <row r="118" spans="1:9" hidden="1" x14ac:dyDescent="0.2">
      <c r="A118" s="8" t="s">
        <v>5</v>
      </c>
      <c r="B118" s="5"/>
      <c r="C118" s="74"/>
      <c r="D118" s="6"/>
      <c r="E118" s="6"/>
      <c r="F118" s="6"/>
      <c r="G118" s="6"/>
      <c r="H118" s="6"/>
      <c r="I118" s="6"/>
    </row>
    <row r="119" spans="1:9" hidden="1" x14ac:dyDescent="0.2">
      <c r="A119" s="8" t="s">
        <v>6</v>
      </c>
      <c r="B119" s="5"/>
      <c r="C119" s="74"/>
      <c r="D119" s="6"/>
      <c r="E119" s="6"/>
      <c r="F119" s="6"/>
      <c r="G119" s="6"/>
      <c r="H119" s="6"/>
      <c r="I119" s="6"/>
    </row>
    <row r="120" spans="1:9" hidden="1" x14ac:dyDescent="0.2">
      <c r="A120" s="8" t="s">
        <v>7</v>
      </c>
      <c r="B120" s="5"/>
      <c r="C120" s="74"/>
      <c r="D120" s="6"/>
      <c r="E120" s="6"/>
      <c r="F120" s="6"/>
      <c r="G120" s="6"/>
      <c r="H120" s="6"/>
      <c r="I120" s="6"/>
    </row>
    <row r="121" spans="1:9" hidden="1" x14ac:dyDescent="0.2">
      <c r="A121" s="8" t="s">
        <v>8</v>
      </c>
      <c r="B121" s="5"/>
      <c r="C121" s="74"/>
      <c r="D121" s="6"/>
      <c r="E121" s="6"/>
      <c r="F121" s="6"/>
      <c r="G121" s="6"/>
      <c r="H121" s="6"/>
      <c r="I121" s="6"/>
    </row>
    <row r="122" spans="1:9" hidden="1" x14ac:dyDescent="0.2">
      <c r="A122" s="8" t="s">
        <v>9</v>
      </c>
      <c r="B122" s="5"/>
      <c r="C122" s="74"/>
      <c r="D122" s="6"/>
      <c r="E122" s="6"/>
      <c r="F122" s="6"/>
      <c r="G122" s="6"/>
      <c r="H122" s="6"/>
      <c r="I122" s="6"/>
    </row>
    <row r="123" spans="1:9" hidden="1" x14ac:dyDescent="0.2">
      <c r="A123" s="312" t="s">
        <v>10</v>
      </c>
      <c r="B123" s="313"/>
      <c r="C123" s="313"/>
      <c r="D123" s="313"/>
      <c r="E123" s="314"/>
      <c r="F123" s="11">
        <f>SUM(F113:F122)</f>
        <v>0</v>
      </c>
      <c r="G123" s="11">
        <f>SUM(G113:G122)</f>
        <v>0</v>
      </c>
      <c r="H123" s="11">
        <f>SUM(H113:H122)</f>
        <v>0</v>
      </c>
      <c r="I123" s="11"/>
    </row>
    <row r="124" spans="1:9" x14ac:dyDescent="0.2">
      <c r="A124" s="8" t="s">
        <v>0</v>
      </c>
      <c r="B124" s="5">
        <f>B113+1</f>
        <v>46117</v>
      </c>
      <c r="C124" s="75" t="s">
        <v>866</v>
      </c>
      <c r="D124" s="6" t="s">
        <v>342</v>
      </c>
      <c r="E124" s="6" t="s">
        <v>165</v>
      </c>
      <c r="F124" s="6">
        <v>1</v>
      </c>
      <c r="G124" s="6"/>
      <c r="H124" s="6">
        <v>6</v>
      </c>
      <c r="I124" s="6"/>
    </row>
    <row r="125" spans="1:9" x14ac:dyDescent="0.2">
      <c r="A125" s="8" t="s">
        <v>1</v>
      </c>
      <c r="B125" s="5"/>
      <c r="C125" s="75" t="s">
        <v>869</v>
      </c>
      <c r="D125" s="6" t="s">
        <v>870</v>
      </c>
      <c r="E125" s="6" t="s">
        <v>168</v>
      </c>
      <c r="F125" s="6">
        <v>1</v>
      </c>
      <c r="G125" s="6"/>
      <c r="H125" s="6">
        <v>3</v>
      </c>
      <c r="I125" s="6"/>
    </row>
    <row r="126" spans="1:9" x14ac:dyDescent="0.2">
      <c r="A126" s="8" t="s">
        <v>2</v>
      </c>
      <c r="B126" s="5"/>
      <c r="C126" s="75" t="s">
        <v>871</v>
      </c>
      <c r="D126" s="6" t="s">
        <v>170</v>
      </c>
      <c r="E126" s="6" t="s">
        <v>171</v>
      </c>
      <c r="F126" s="6">
        <v>1</v>
      </c>
      <c r="G126" s="6"/>
      <c r="H126" s="6">
        <v>6</v>
      </c>
      <c r="I126" s="6"/>
    </row>
    <row r="127" spans="1:9" x14ac:dyDescent="0.2">
      <c r="A127" s="8" t="s">
        <v>3</v>
      </c>
      <c r="B127" s="5"/>
      <c r="C127" s="75" t="s">
        <v>872</v>
      </c>
      <c r="D127" s="6" t="s">
        <v>170</v>
      </c>
      <c r="E127" s="6" t="s">
        <v>171</v>
      </c>
      <c r="F127" s="6">
        <v>1</v>
      </c>
      <c r="G127" s="6"/>
      <c r="H127" s="6">
        <v>6</v>
      </c>
      <c r="I127" s="6"/>
    </row>
    <row r="128" spans="1:9" x14ac:dyDescent="0.2">
      <c r="A128" s="8" t="s">
        <v>4</v>
      </c>
      <c r="B128" s="5"/>
      <c r="C128" s="75" t="s">
        <v>873</v>
      </c>
      <c r="D128" s="6" t="s">
        <v>170</v>
      </c>
      <c r="E128" s="6" t="s">
        <v>171</v>
      </c>
      <c r="F128" s="6">
        <v>1</v>
      </c>
      <c r="G128" s="6"/>
      <c r="H128" s="6">
        <v>6</v>
      </c>
      <c r="I128" s="6"/>
    </row>
    <row r="129" spans="1:9" x14ac:dyDescent="0.2">
      <c r="A129" s="8" t="s">
        <v>5</v>
      </c>
      <c r="B129" s="5"/>
      <c r="C129" s="75" t="s">
        <v>874</v>
      </c>
      <c r="D129" s="6" t="s">
        <v>170</v>
      </c>
      <c r="E129" s="6" t="s">
        <v>171</v>
      </c>
      <c r="F129" s="6"/>
      <c r="G129" s="6">
        <v>1</v>
      </c>
      <c r="H129" s="6">
        <v>6</v>
      </c>
      <c r="I129" s="6"/>
    </row>
    <row r="130" spans="1:9" hidden="1" x14ac:dyDescent="0.2">
      <c r="A130" s="8" t="s">
        <v>6</v>
      </c>
      <c r="B130" s="5"/>
      <c r="C130" s="75"/>
      <c r="D130" s="6"/>
      <c r="E130" s="6"/>
      <c r="F130" s="6"/>
      <c r="G130" s="6"/>
      <c r="H130" s="6"/>
      <c r="I130" s="6"/>
    </row>
    <row r="131" spans="1:9" hidden="1" x14ac:dyDescent="0.2">
      <c r="A131" s="8" t="s">
        <v>7</v>
      </c>
      <c r="B131" s="5"/>
      <c r="C131" s="74"/>
      <c r="D131" s="6"/>
      <c r="E131" s="6"/>
      <c r="F131" s="6"/>
      <c r="G131" s="6"/>
      <c r="H131" s="6"/>
      <c r="I131" s="6"/>
    </row>
    <row r="132" spans="1:9" hidden="1" x14ac:dyDescent="0.2">
      <c r="A132" s="8" t="s">
        <v>8</v>
      </c>
      <c r="B132" s="5"/>
      <c r="C132" s="74"/>
      <c r="D132" s="6"/>
      <c r="E132" s="6"/>
      <c r="F132" s="6"/>
      <c r="G132" s="6"/>
      <c r="H132" s="6"/>
      <c r="I132" s="6"/>
    </row>
    <row r="133" spans="1:9" hidden="1" x14ac:dyDescent="0.2">
      <c r="A133" s="8" t="s">
        <v>9</v>
      </c>
      <c r="B133" s="5"/>
      <c r="C133" s="74"/>
      <c r="D133" s="6"/>
      <c r="E133" s="6"/>
      <c r="F133" s="6"/>
      <c r="G133" s="6"/>
      <c r="H133" s="6"/>
      <c r="I133" s="6"/>
    </row>
    <row r="134" spans="1:9" x14ac:dyDescent="0.2">
      <c r="A134" s="312" t="s">
        <v>10</v>
      </c>
      <c r="B134" s="313"/>
      <c r="C134" s="313"/>
      <c r="D134" s="313"/>
      <c r="E134" s="314"/>
      <c r="F134" s="11">
        <f>SUM(F124:F133)</f>
        <v>5</v>
      </c>
      <c r="G134" s="11">
        <f>SUM(G124:G133)</f>
        <v>1</v>
      </c>
      <c r="H134" s="11">
        <f>SUM(H124:H133)</f>
        <v>33</v>
      </c>
      <c r="I134" s="11"/>
    </row>
    <row r="135" spans="1:9" x14ac:dyDescent="0.2">
      <c r="A135" s="8" t="s">
        <v>0</v>
      </c>
      <c r="B135" s="5">
        <f>B124+1</f>
        <v>46118</v>
      </c>
      <c r="C135" s="74" t="s">
        <v>929</v>
      </c>
      <c r="D135" s="6" t="s">
        <v>242</v>
      </c>
      <c r="E135" s="6" t="s">
        <v>171</v>
      </c>
      <c r="F135" s="6">
        <v>1</v>
      </c>
      <c r="G135" s="6"/>
      <c r="H135" s="6">
        <v>5.5</v>
      </c>
      <c r="I135" s="6"/>
    </row>
    <row r="136" spans="1:9" x14ac:dyDescent="0.2">
      <c r="A136" s="8" t="s">
        <v>1</v>
      </c>
      <c r="B136" s="5"/>
      <c r="C136" s="74" t="s">
        <v>930</v>
      </c>
      <c r="D136" s="6" t="s">
        <v>211</v>
      </c>
      <c r="E136" s="6" t="s">
        <v>165</v>
      </c>
      <c r="F136" s="6">
        <v>1</v>
      </c>
      <c r="G136" s="6"/>
      <c r="H136" s="6">
        <v>6</v>
      </c>
      <c r="I136" s="6"/>
    </row>
    <row r="137" spans="1:9" x14ac:dyDescent="0.2">
      <c r="A137" s="8" t="s">
        <v>2</v>
      </c>
      <c r="B137" s="5"/>
      <c r="C137" s="74" t="s">
        <v>931</v>
      </c>
      <c r="D137" s="6" t="s">
        <v>170</v>
      </c>
      <c r="E137" s="6" t="s">
        <v>165</v>
      </c>
      <c r="F137" s="6">
        <v>1</v>
      </c>
      <c r="G137" s="6"/>
      <c r="H137" s="6">
        <v>6</v>
      </c>
      <c r="I137" s="6"/>
    </row>
    <row r="138" spans="1:9" x14ac:dyDescent="0.2">
      <c r="A138" s="8" t="s">
        <v>3</v>
      </c>
      <c r="B138" s="5"/>
      <c r="C138" s="74" t="s">
        <v>932</v>
      </c>
      <c r="D138" s="6" t="s">
        <v>170</v>
      </c>
      <c r="E138" s="6" t="s">
        <v>171</v>
      </c>
      <c r="F138" s="6"/>
      <c r="G138" s="6">
        <v>1</v>
      </c>
      <c r="H138" s="6">
        <v>6</v>
      </c>
      <c r="I138" s="6"/>
    </row>
    <row r="139" spans="1:9" x14ac:dyDescent="0.2">
      <c r="A139" s="8" t="s">
        <v>4</v>
      </c>
      <c r="B139" s="5"/>
      <c r="C139" s="74" t="s">
        <v>936</v>
      </c>
      <c r="D139" s="6" t="s">
        <v>170</v>
      </c>
      <c r="E139" s="6" t="s">
        <v>171</v>
      </c>
      <c r="F139" s="6"/>
      <c r="G139" s="6">
        <v>1</v>
      </c>
      <c r="H139" s="6">
        <v>6</v>
      </c>
      <c r="I139" s="6"/>
    </row>
    <row r="140" spans="1:9" x14ac:dyDescent="0.2">
      <c r="A140" s="8" t="s">
        <v>5</v>
      </c>
      <c r="B140" s="5"/>
      <c r="C140" s="74" t="s">
        <v>938</v>
      </c>
      <c r="D140" s="6" t="s">
        <v>170</v>
      </c>
      <c r="E140" s="6" t="s">
        <v>171</v>
      </c>
      <c r="F140" s="6"/>
      <c r="G140" s="6">
        <v>1</v>
      </c>
      <c r="H140" s="6">
        <v>6</v>
      </c>
      <c r="I140" s="6"/>
    </row>
    <row r="141" spans="1:9" x14ac:dyDescent="0.2">
      <c r="A141" s="8" t="s">
        <v>6</v>
      </c>
      <c r="B141" s="5"/>
      <c r="C141" s="74" t="s">
        <v>939</v>
      </c>
      <c r="D141" s="6" t="s">
        <v>170</v>
      </c>
      <c r="E141" s="6" t="s">
        <v>171</v>
      </c>
      <c r="F141" s="6"/>
      <c r="G141" s="6">
        <v>1</v>
      </c>
      <c r="H141" s="6">
        <v>6</v>
      </c>
      <c r="I141" s="6"/>
    </row>
    <row r="142" spans="1:9" hidden="1" x14ac:dyDescent="0.2">
      <c r="A142" s="8" t="s">
        <v>7</v>
      </c>
      <c r="B142" s="5"/>
      <c r="C142" s="74"/>
      <c r="D142" s="6"/>
      <c r="E142" s="6"/>
      <c r="F142" s="6"/>
      <c r="G142" s="6"/>
      <c r="H142" s="6"/>
      <c r="I142" s="6"/>
    </row>
    <row r="143" spans="1:9" hidden="1" x14ac:dyDescent="0.2">
      <c r="A143" s="8" t="s">
        <v>8</v>
      </c>
      <c r="B143" s="5"/>
      <c r="C143" s="74"/>
      <c r="D143" s="6"/>
      <c r="E143" s="6"/>
      <c r="F143" s="6"/>
      <c r="G143" s="6"/>
      <c r="H143" s="6"/>
      <c r="I143" s="6"/>
    </row>
    <row r="144" spans="1:9" hidden="1" x14ac:dyDescent="0.2">
      <c r="A144" s="8" t="s">
        <v>9</v>
      </c>
      <c r="B144" s="5"/>
      <c r="C144" s="75"/>
      <c r="D144" s="6"/>
      <c r="E144" s="6"/>
      <c r="F144" s="6"/>
      <c r="G144" s="6"/>
      <c r="H144" s="6"/>
      <c r="I144" s="6"/>
    </row>
    <row r="145" spans="1:9" x14ac:dyDescent="0.2">
      <c r="A145" s="312" t="s">
        <v>10</v>
      </c>
      <c r="B145" s="313"/>
      <c r="C145" s="313"/>
      <c r="D145" s="313"/>
      <c r="E145" s="314"/>
      <c r="F145" s="11">
        <f>SUM(F135:F144)</f>
        <v>3</v>
      </c>
      <c r="G145" s="11">
        <f>SUM(G135:G144)</f>
        <v>4</v>
      </c>
      <c r="H145" s="11">
        <f>SUM(H135:H144)</f>
        <v>41.5</v>
      </c>
      <c r="I145" s="11"/>
    </row>
    <row r="146" spans="1:9" x14ac:dyDescent="0.2">
      <c r="A146" s="8" t="s">
        <v>0</v>
      </c>
      <c r="B146" s="5">
        <f>B135+1</f>
        <v>46119</v>
      </c>
      <c r="C146" s="74" t="s">
        <v>1007</v>
      </c>
      <c r="D146" s="6" t="s">
        <v>250</v>
      </c>
      <c r="E146" s="6" t="s">
        <v>168</v>
      </c>
      <c r="F146" s="6">
        <v>1</v>
      </c>
      <c r="G146" s="6"/>
      <c r="H146" s="6">
        <v>5</v>
      </c>
      <c r="I146" s="6"/>
    </row>
    <row r="147" spans="1:9" x14ac:dyDescent="0.2">
      <c r="A147" s="8" t="s">
        <v>1</v>
      </c>
      <c r="B147" s="5"/>
      <c r="C147" s="74" t="s">
        <v>1008</v>
      </c>
      <c r="D147" s="6" t="s">
        <v>211</v>
      </c>
      <c r="E147" s="6" t="s">
        <v>171</v>
      </c>
      <c r="F147" s="6">
        <v>1</v>
      </c>
      <c r="G147" s="6"/>
      <c r="H147" s="6">
        <v>6</v>
      </c>
      <c r="I147" s="6"/>
    </row>
    <row r="148" spans="1:9" x14ac:dyDescent="0.2">
      <c r="A148" s="8" t="s">
        <v>2</v>
      </c>
      <c r="B148" s="5"/>
      <c r="C148" s="74" t="s">
        <v>1009</v>
      </c>
      <c r="D148" s="6" t="s">
        <v>342</v>
      </c>
      <c r="E148" s="6" t="s">
        <v>165</v>
      </c>
      <c r="F148" s="6">
        <v>1</v>
      </c>
      <c r="G148" s="6"/>
      <c r="H148" s="6">
        <v>6</v>
      </c>
      <c r="I148" s="6"/>
    </row>
    <row r="149" spans="1:9" x14ac:dyDescent="0.2">
      <c r="A149" s="8" t="s">
        <v>3</v>
      </c>
      <c r="B149" s="5"/>
      <c r="C149" s="75" t="s">
        <v>1010</v>
      </c>
      <c r="D149" s="6" t="s">
        <v>347</v>
      </c>
      <c r="E149" s="6" t="s">
        <v>190</v>
      </c>
      <c r="F149" s="6">
        <v>1</v>
      </c>
      <c r="G149" s="6"/>
      <c r="H149" s="6">
        <v>3</v>
      </c>
      <c r="I149" s="6"/>
    </row>
    <row r="150" spans="1:9" x14ac:dyDescent="0.2">
      <c r="A150" s="8" t="s">
        <v>4</v>
      </c>
      <c r="B150" s="5"/>
      <c r="C150" s="75" t="s">
        <v>1011</v>
      </c>
      <c r="D150" s="6" t="s">
        <v>342</v>
      </c>
      <c r="E150" s="6" t="s">
        <v>165</v>
      </c>
      <c r="F150" s="6">
        <v>1</v>
      </c>
      <c r="G150" s="6"/>
      <c r="H150" s="6">
        <v>6</v>
      </c>
      <c r="I150" s="6"/>
    </row>
    <row r="151" spans="1:9" x14ac:dyDescent="0.2">
      <c r="A151" s="8" t="s">
        <v>5</v>
      </c>
      <c r="B151" s="5"/>
      <c r="C151" s="75" t="s">
        <v>1012</v>
      </c>
      <c r="D151" s="6" t="s">
        <v>823</v>
      </c>
      <c r="E151" s="6" t="s">
        <v>168</v>
      </c>
      <c r="F151" s="6"/>
      <c r="G151" s="6"/>
      <c r="H151" s="6">
        <v>4</v>
      </c>
      <c r="I151" s="6"/>
    </row>
    <row r="152" spans="1:9" hidden="1" x14ac:dyDescent="0.2">
      <c r="A152" s="8" t="s">
        <v>6</v>
      </c>
      <c r="B152" s="5"/>
      <c r="C152" s="75"/>
      <c r="D152" s="6"/>
      <c r="E152" s="6"/>
      <c r="F152" s="6"/>
      <c r="G152" s="6"/>
      <c r="H152" s="6"/>
      <c r="I152" s="6"/>
    </row>
    <row r="153" spans="1:9" hidden="1" x14ac:dyDescent="0.2">
      <c r="A153" s="8" t="s">
        <v>7</v>
      </c>
      <c r="B153" s="5"/>
      <c r="C153" s="75"/>
      <c r="D153" s="6"/>
      <c r="E153" s="6"/>
      <c r="F153" s="6"/>
      <c r="G153" s="6"/>
      <c r="H153" s="6"/>
      <c r="I153" s="6"/>
    </row>
    <row r="154" spans="1:9" hidden="1" x14ac:dyDescent="0.2">
      <c r="A154" s="8" t="s">
        <v>8</v>
      </c>
      <c r="B154" s="5"/>
      <c r="C154" s="75"/>
      <c r="D154" s="6"/>
      <c r="E154" s="6"/>
      <c r="F154" s="6"/>
      <c r="G154" s="6"/>
      <c r="H154" s="6"/>
      <c r="I154" s="6"/>
    </row>
    <row r="155" spans="1:9" hidden="1" x14ac:dyDescent="0.2">
      <c r="A155" s="8" t="s">
        <v>9</v>
      </c>
      <c r="B155" s="5"/>
      <c r="C155" s="75"/>
      <c r="D155" s="6"/>
      <c r="E155" s="6"/>
      <c r="F155" s="6"/>
      <c r="G155" s="6"/>
      <c r="H155" s="6"/>
      <c r="I155" s="6"/>
    </row>
    <row r="156" spans="1:9" x14ac:dyDescent="0.2">
      <c r="A156" s="312" t="s">
        <v>10</v>
      </c>
      <c r="B156" s="313"/>
      <c r="C156" s="313"/>
      <c r="D156" s="313"/>
      <c r="E156" s="314"/>
      <c r="F156" s="11">
        <f>SUM(F146:F155)</f>
        <v>5</v>
      </c>
      <c r="G156" s="11">
        <f>SUM(G146:G155)</f>
        <v>0</v>
      </c>
      <c r="H156" s="11">
        <f>SUM(H146:H155)</f>
        <v>30</v>
      </c>
      <c r="I156" s="11"/>
    </row>
    <row r="157" spans="1:9" x14ac:dyDescent="0.2">
      <c r="A157" s="8" t="s">
        <v>0</v>
      </c>
      <c r="B157" s="5">
        <f>B146+1</f>
        <v>46120</v>
      </c>
      <c r="C157" s="74" t="s">
        <v>1061</v>
      </c>
      <c r="D157" s="6" t="s">
        <v>334</v>
      </c>
      <c r="E157" s="6" t="s">
        <v>168</v>
      </c>
      <c r="F157" s="6">
        <v>1</v>
      </c>
      <c r="G157" s="6"/>
      <c r="H157" s="6">
        <v>5</v>
      </c>
      <c r="I157" s="6"/>
    </row>
    <row r="158" spans="1:9" x14ac:dyDescent="0.2">
      <c r="A158" s="8" t="s">
        <v>1</v>
      </c>
      <c r="B158" s="5"/>
      <c r="C158" s="74" t="s">
        <v>1062</v>
      </c>
      <c r="D158" s="6" t="s">
        <v>428</v>
      </c>
      <c r="E158" s="6" t="s">
        <v>168</v>
      </c>
      <c r="F158" s="6">
        <v>1</v>
      </c>
      <c r="G158" s="6"/>
      <c r="H158" s="6">
        <v>5</v>
      </c>
      <c r="I158" s="6"/>
    </row>
    <row r="159" spans="1:9" x14ac:dyDescent="0.2">
      <c r="A159" s="8" t="s">
        <v>2</v>
      </c>
      <c r="B159" s="5"/>
      <c r="C159" s="74" t="s">
        <v>1063</v>
      </c>
      <c r="D159" s="6" t="s">
        <v>211</v>
      </c>
      <c r="E159" s="6" t="s">
        <v>165</v>
      </c>
      <c r="F159" s="6">
        <v>1</v>
      </c>
      <c r="G159" s="6"/>
      <c r="H159" s="6">
        <v>6</v>
      </c>
      <c r="I159" s="6"/>
    </row>
    <row r="160" spans="1:9" x14ac:dyDescent="0.2">
      <c r="A160" s="8" t="s">
        <v>3</v>
      </c>
      <c r="B160" s="5"/>
      <c r="C160" s="74" t="s">
        <v>1064</v>
      </c>
      <c r="D160" s="6" t="s">
        <v>170</v>
      </c>
      <c r="E160" s="6" t="s">
        <v>165</v>
      </c>
      <c r="F160" s="6">
        <v>1</v>
      </c>
      <c r="G160" s="6"/>
      <c r="H160" s="6">
        <v>5</v>
      </c>
      <c r="I160" s="6"/>
    </row>
    <row r="161" spans="1:9" hidden="1" x14ac:dyDescent="0.2">
      <c r="A161" s="8" t="s">
        <v>4</v>
      </c>
      <c r="B161" s="5"/>
      <c r="C161" s="74"/>
      <c r="D161" s="6"/>
      <c r="E161" s="6"/>
      <c r="F161" s="6"/>
      <c r="G161" s="6"/>
      <c r="H161" s="6"/>
      <c r="I161" s="6"/>
    </row>
    <row r="162" spans="1:9" hidden="1" x14ac:dyDescent="0.2">
      <c r="A162" s="8" t="s">
        <v>5</v>
      </c>
      <c r="B162" s="5"/>
      <c r="C162" s="74"/>
      <c r="D162" s="6"/>
      <c r="E162" s="6"/>
      <c r="F162" s="6"/>
      <c r="G162" s="6"/>
      <c r="H162" s="6"/>
      <c r="I162" s="6"/>
    </row>
    <row r="163" spans="1:9" hidden="1" x14ac:dyDescent="0.2">
      <c r="A163" s="8" t="s">
        <v>6</v>
      </c>
      <c r="B163" s="5"/>
      <c r="C163" s="74"/>
      <c r="D163" s="6"/>
      <c r="E163" s="6"/>
      <c r="F163" s="6"/>
      <c r="G163" s="6"/>
      <c r="H163" s="6"/>
      <c r="I163" s="6"/>
    </row>
    <row r="164" spans="1:9" hidden="1" x14ac:dyDescent="0.2">
      <c r="A164" s="8" t="s">
        <v>7</v>
      </c>
      <c r="B164" s="5"/>
      <c r="C164" s="74"/>
      <c r="D164" s="6"/>
      <c r="E164" s="6"/>
      <c r="F164" s="6"/>
      <c r="G164" s="6"/>
      <c r="H164" s="6"/>
      <c r="I164" s="6"/>
    </row>
    <row r="165" spans="1:9" hidden="1" x14ac:dyDescent="0.2">
      <c r="A165" s="8" t="s">
        <v>8</v>
      </c>
      <c r="B165" s="5"/>
      <c r="C165" s="74"/>
      <c r="D165" s="6"/>
      <c r="E165" s="6"/>
      <c r="F165" s="6"/>
      <c r="G165" s="6"/>
      <c r="H165" s="6"/>
      <c r="I165" s="6"/>
    </row>
    <row r="166" spans="1:9" hidden="1" x14ac:dyDescent="0.2">
      <c r="A166" s="8" t="s">
        <v>9</v>
      </c>
      <c r="B166" s="5"/>
      <c r="C166" s="74"/>
      <c r="D166" s="6"/>
      <c r="E166" s="6"/>
      <c r="F166" s="6"/>
      <c r="G166" s="6"/>
      <c r="H166" s="6"/>
      <c r="I166" s="6"/>
    </row>
    <row r="167" spans="1:9" x14ac:dyDescent="0.2">
      <c r="A167" s="312" t="s">
        <v>10</v>
      </c>
      <c r="B167" s="313"/>
      <c r="C167" s="313"/>
      <c r="D167" s="313"/>
      <c r="E167" s="314"/>
      <c r="F167" s="11">
        <f>SUM(F157:F166)</f>
        <v>4</v>
      </c>
      <c r="G167" s="11">
        <f>SUM(G157:G166)</f>
        <v>0</v>
      </c>
      <c r="H167" s="11">
        <f>SUM(H157:H166)</f>
        <v>21</v>
      </c>
      <c r="I167" s="11"/>
    </row>
    <row r="168" spans="1:9" s="25" customFormat="1" ht="18" x14ac:dyDescent="0.2">
      <c r="A168" s="315" t="s">
        <v>39</v>
      </c>
      <c r="B168" s="316"/>
      <c r="C168" s="316"/>
      <c r="D168" s="316"/>
      <c r="E168" s="317"/>
      <c r="F168" s="22">
        <f>F101+F112+F123+F134+F145+F156+F167+F84</f>
        <v>51</v>
      </c>
      <c r="G168" s="22">
        <f>G101+G112+G123+G134+G145+G156+G167+G84</f>
        <v>13</v>
      </c>
      <c r="H168" s="22">
        <f>H101+H112+H123+H134+H145+H156+H167+H84</f>
        <v>334.5</v>
      </c>
      <c r="I168" s="22"/>
    </row>
    <row r="169" spans="1:9" ht="21.95" customHeight="1" x14ac:dyDescent="0.2">
      <c r="A169" s="319" t="s">
        <v>14</v>
      </c>
      <c r="B169" s="319"/>
      <c r="C169" s="319"/>
      <c r="D169" s="319"/>
      <c r="E169" s="319"/>
      <c r="F169" s="319"/>
      <c r="G169" s="319"/>
      <c r="H169" s="319"/>
      <c r="I169" s="319"/>
    </row>
    <row r="170" spans="1:9" s="53" customFormat="1" ht="20.100000000000001" customHeight="1" x14ac:dyDescent="0.2">
      <c r="A170" s="323" t="s">
        <v>86</v>
      </c>
      <c r="B170" s="323"/>
      <c r="C170" s="323"/>
      <c r="D170" s="323"/>
      <c r="E170" s="323"/>
      <c r="F170" s="50" t="str">
        <f>F86</f>
        <v>เมษายน</v>
      </c>
      <c r="G170" s="50" t="s">
        <v>87</v>
      </c>
      <c r="H170" s="51">
        <f>H86</f>
        <v>2569</v>
      </c>
      <c r="I170" s="52"/>
    </row>
    <row r="171" spans="1:9" s="3" customFormat="1" ht="20.100000000000001" customHeight="1" x14ac:dyDescent="0.35">
      <c r="A171" s="318" t="s">
        <v>31</v>
      </c>
      <c r="B171" s="318"/>
      <c r="C171" s="318"/>
      <c r="D171" s="2"/>
      <c r="F171" s="4"/>
      <c r="G171" s="4"/>
      <c r="H171" s="4" t="s">
        <v>21</v>
      </c>
      <c r="I171" s="40">
        <f>I87+1</f>
        <v>3</v>
      </c>
    </row>
    <row r="172" spans="1:9" s="3" customFormat="1" ht="20.100000000000001" customHeight="1" x14ac:dyDescent="0.35">
      <c r="A172" s="311" t="s">
        <v>73</v>
      </c>
      <c r="B172" s="311"/>
      <c r="C172" s="311"/>
      <c r="D172" s="2"/>
      <c r="E172" s="39" t="s">
        <v>81</v>
      </c>
      <c r="F172" s="308">
        <f>F4</f>
        <v>46107</v>
      </c>
      <c r="G172" s="308"/>
      <c r="H172" s="39" t="s">
        <v>82</v>
      </c>
      <c r="I172" s="34">
        <f>$I$4</f>
        <v>46136</v>
      </c>
    </row>
    <row r="173" spans="1:9" x14ac:dyDescent="0.2">
      <c r="A173" s="12" t="s">
        <v>23</v>
      </c>
      <c r="B173" s="13" t="s">
        <v>11</v>
      </c>
      <c r="C173" s="72" t="s">
        <v>26</v>
      </c>
      <c r="D173" s="12" t="s">
        <v>16</v>
      </c>
      <c r="E173" s="12" t="s">
        <v>17</v>
      </c>
      <c r="F173" s="310" t="s">
        <v>46</v>
      </c>
      <c r="G173" s="310"/>
      <c r="H173" s="310"/>
      <c r="I173" s="12" t="s">
        <v>19</v>
      </c>
    </row>
    <row r="174" spans="1:9" x14ac:dyDescent="0.2">
      <c r="A174" s="15"/>
      <c r="B174" s="16"/>
      <c r="C174" s="73"/>
      <c r="D174" s="15"/>
      <c r="E174" s="15"/>
      <c r="F174" s="21" t="s">
        <v>113</v>
      </c>
      <c r="G174" s="21" t="s">
        <v>114</v>
      </c>
      <c r="H174" s="21" t="s">
        <v>20</v>
      </c>
      <c r="I174" s="15"/>
    </row>
    <row r="175" spans="1:9" hidden="1" x14ac:dyDescent="0.2">
      <c r="A175" s="8" t="s">
        <v>0</v>
      </c>
      <c r="B175" s="5">
        <f>B157+1</f>
        <v>46121</v>
      </c>
      <c r="C175" s="74"/>
      <c r="D175" s="6"/>
      <c r="E175" s="6"/>
      <c r="F175" s="6"/>
      <c r="G175" s="6"/>
      <c r="H175" s="6"/>
      <c r="I175" s="6"/>
    </row>
    <row r="176" spans="1:9" hidden="1" x14ac:dyDescent="0.2">
      <c r="A176" s="8" t="s">
        <v>1</v>
      </c>
      <c r="B176" s="5"/>
      <c r="C176" s="74"/>
      <c r="D176" s="6"/>
      <c r="E176" s="6"/>
      <c r="F176" s="6"/>
      <c r="G176" s="6"/>
      <c r="H176" s="6"/>
      <c r="I176" s="6"/>
    </row>
    <row r="177" spans="1:9" hidden="1" x14ac:dyDescent="0.2">
      <c r="A177" s="8" t="s">
        <v>2</v>
      </c>
      <c r="B177" s="5"/>
      <c r="C177" s="74"/>
      <c r="D177" s="6"/>
      <c r="E177" s="6"/>
      <c r="F177" s="6"/>
      <c r="G177" s="6"/>
      <c r="H177" s="6"/>
      <c r="I177" s="6"/>
    </row>
    <row r="178" spans="1:9" hidden="1" x14ac:dyDescent="0.2">
      <c r="A178" s="8" t="s">
        <v>3</v>
      </c>
      <c r="B178" s="5"/>
      <c r="C178" s="74"/>
      <c r="D178" s="6"/>
      <c r="E178" s="6"/>
      <c r="F178" s="6"/>
      <c r="G178" s="6"/>
      <c r="H178" s="6"/>
      <c r="I178" s="6"/>
    </row>
    <row r="179" spans="1:9" hidden="1" x14ac:dyDescent="0.2">
      <c r="A179" s="8" t="s">
        <v>4</v>
      </c>
      <c r="B179" s="5"/>
      <c r="C179" s="74"/>
      <c r="D179" s="6"/>
      <c r="E179" s="6"/>
      <c r="F179" s="6"/>
      <c r="G179" s="6"/>
      <c r="H179" s="6"/>
      <c r="I179" s="6"/>
    </row>
    <row r="180" spans="1:9" hidden="1" x14ac:dyDescent="0.2">
      <c r="A180" s="8" t="s">
        <v>5</v>
      </c>
      <c r="B180" s="5"/>
      <c r="C180" s="74"/>
      <c r="D180" s="6"/>
      <c r="E180" s="6"/>
      <c r="F180" s="6"/>
      <c r="G180" s="6"/>
      <c r="H180" s="6"/>
      <c r="I180" s="6"/>
    </row>
    <row r="181" spans="1:9" hidden="1" x14ac:dyDescent="0.2">
      <c r="A181" s="8" t="s">
        <v>6</v>
      </c>
      <c r="B181" s="5"/>
      <c r="C181" s="74"/>
      <c r="D181" s="6"/>
      <c r="E181" s="6"/>
      <c r="F181" s="6"/>
      <c r="G181" s="6"/>
      <c r="H181" s="6"/>
      <c r="I181" s="6"/>
    </row>
    <row r="182" spans="1:9" hidden="1" x14ac:dyDescent="0.2">
      <c r="A182" s="8" t="s">
        <v>7</v>
      </c>
      <c r="B182" s="5"/>
      <c r="C182" s="74"/>
      <c r="D182" s="6"/>
      <c r="E182" s="6"/>
      <c r="F182" s="6"/>
      <c r="G182" s="6"/>
      <c r="H182" s="6"/>
      <c r="I182" s="6"/>
    </row>
    <row r="183" spans="1:9" hidden="1" x14ac:dyDescent="0.2">
      <c r="A183" s="8" t="s">
        <v>8</v>
      </c>
      <c r="B183" s="5"/>
      <c r="C183" s="74"/>
      <c r="D183" s="6"/>
      <c r="E183" s="6"/>
      <c r="F183" s="6"/>
      <c r="G183" s="6"/>
      <c r="H183" s="6"/>
      <c r="I183" s="6"/>
    </row>
    <row r="184" spans="1:9" hidden="1" x14ac:dyDescent="0.2">
      <c r="A184" s="8" t="s">
        <v>9</v>
      </c>
      <c r="B184" s="5"/>
      <c r="C184" s="74"/>
      <c r="D184" s="6"/>
      <c r="E184" s="6"/>
      <c r="F184" s="6"/>
      <c r="G184" s="6"/>
      <c r="H184" s="6"/>
      <c r="I184" s="6"/>
    </row>
    <row r="185" spans="1:9" hidden="1" x14ac:dyDescent="0.2">
      <c r="A185" s="312" t="s">
        <v>10</v>
      </c>
      <c r="B185" s="313"/>
      <c r="C185" s="313"/>
      <c r="D185" s="313"/>
      <c r="E185" s="314"/>
      <c r="F185" s="11">
        <f>SUM(F175:F184)</f>
        <v>0</v>
      </c>
      <c r="G185" s="11">
        <f>SUM(G175:G184)</f>
        <v>0</v>
      </c>
      <c r="H185" s="11">
        <f>SUM(H175:H184)</f>
        <v>0</v>
      </c>
      <c r="I185" s="11"/>
    </row>
    <row r="186" spans="1:9" x14ac:dyDescent="0.2">
      <c r="A186" s="8" t="s">
        <v>0</v>
      </c>
      <c r="B186" s="5">
        <f>B175+1</f>
        <v>46122</v>
      </c>
      <c r="C186" s="74" t="s">
        <v>1178</v>
      </c>
      <c r="D186" s="6" t="s">
        <v>250</v>
      </c>
      <c r="E186" s="6" t="s">
        <v>168</v>
      </c>
      <c r="F186" s="6">
        <v>1</v>
      </c>
      <c r="G186" s="6"/>
      <c r="H186" s="6">
        <v>5</v>
      </c>
      <c r="I186" s="6"/>
    </row>
    <row r="187" spans="1:9" x14ac:dyDescent="0.2">
      <c r="A187" s="8" t="s">
        <v>1</v>
      </c>
      <c r="B187" s="5"/>
      <c r="C187" s="74" t="s">
        <v>1179</v>
      </c>
      <c r="D187" s="6" t="s">
        <v>347</v>
      </c>
      <c r="E187" s="6" t="s">
        <v>441</v>
      </c>
      <c r="F187" s="6">
        <v>1</v>
      </c>
      <c r="G187" s="6"/>
      <c r="H187" s="6">
        <v>5</v>
      </c>
      <c r="I187" s="6"/>
    </row>
    <row r="188" spans="1:9" x14ac:dyDescent="0.2">
      <c r="A188" s="8" t="s">
        <v>2</v>
      </c>
      <c r="B188" s="5"/>
      <c r="C188" s="74" t="s">
        <v>1180</v>
      </c>
      <c r="D188" s="6" t="s">
        <v>188</v>
      </c>
      <c r="E188" s="6" t="s">
        <v>165</v>
      </c>
      <c r="F188" s="6">
        <v>1</v>
      </c>
      <c r="G188" s="6"/>
      <c r="H188" s="6">
        <v>6</v>
      </c>
      <c r="I188" s="6"/>
    </row>
    <row r="189" spans="1:9" x14ac:dyDescent="0.2">
      <c r="A189" s="8" t="s">
        <v>3</v>
      </c>
      <c r="B189" s="5"/>
      <c r="C189" s="74" t="s">
        <v>1181</v>
      </c>
      <c r="D189" s="6" t="s">
        <v>188</v>
      </c>
      <c r="E189" s="6" t="s">
        <v>165</v>
      </c>
      <c r="F189" s="6"/>
      <c r="G189" s="6">
        <v>1</v>
      </c>
      <c r="H189" s="6">
        <v>6</v>
      </c>
      <c r="I189" s="6"/>
    </row>
    <row r="190" spans="1:9" hidden="1" x14ac:dyDescent="0.2">
      <c r="A190" s="8" t="s">
        <v>4</v>
      </c>
      <c r="B190" s="5"/>
      <c r="C190" s="74"/>
      <c r="D190" s="6"/>
      <c r="E190" s="6"/>
      <c r="F190" s="6"/>
      <c r="G190" s="6"/>
      <c r="H190" s="6"/>
      <c r="I190" s="6"/>
    </row>
    <row r="191" spans="1:9" hidden="1" x14ac:dyDescent="0.2">
      <c r="A191" s="8" t="s">
        <v>5</v>
      </c>
      <c r="B191" s="5"/>
      <c r="C191" s="74"/>
      <c r="D191" s="6"/>
      <c r="E191" s="6"/>
      <c r="F191" s="6"/>
      <c r="G191" s="6"/>
      <c r="H191" s="6"/>
      <c r="I191" s="6"/>
    </row>
    <row r="192" spans="1:9" hidden="1" x14ac:dyDescent="0.2">
      <c r="A192" s="8" t="s">
        <v>6</v>
      </c>
      <c r="B192" s="5"/>
      <c r="C192" s="74"/>
      <c r="D192" s="6"/>
      <c r="E192" s="6"/>
      <c r="F192" s="6"/>
      <c r="G192" s="6"/>
      <c r="H192" s="6"/>
      <c r="I192" s="6"/>
    </row>
    <row r="193" spans="1:9" hidden="1" x14ac:dyDescent="0.2">
      <c r="A193" s="8" t="s">
        <v>7</v>
      </c>
      <c r="B193" s="5"/>
      <c r="C193" s="74"/>
      <c r="D193" s="6"/>
      <c r="E193" s="6"/>
      <c r="F193" s="6"/>
      <c r="G193" s="6"/>
      <c r="H193" s="6"/>
      <c r="I193" s="6"/>
    </row>
    <row r="194" spans="1:9" hidden="1" x14ac:dyDescent="0.2">
      <c r="A194" s="8" t="s">
        <v>8</v>
      </c>
      <c r="B194" s="5"/>
      <c r="C194" s="74"/>
      <c r="D194" s="6"/>
      <c r="E194" s="6"/>
      <c r="F194" s="6"/>
      <c r="G194" s="6"/>
      <c r="H194" s="6"/>
      <c r="I194" s="6"/>
    </row>
    <row r="195" spans="1:9" hidden="1" x14ac:dyDescent="0.2">
      <c r="A195" s="8" t="s">
        <v>9</v>
      </c>
      <c r="B195" s="5"/>
      <c r="C195" s="74"/>
      <c r="D195" s="6"/>
      <c r="E195" s="6"/>
      <c r="F195" s="6"/>
      <c r="G195" s="6"/>
      <c r="H195" s="6"/>
      <c r="I195" s="6"/>
    </row>
    <row r="196" spans="1:9" x14ac:dyDescent="0.2">
      <c r="A196" s="312" t="s">
        <v>10</v>
      </c>
      <c r="B196" s="313"/>
      <c r="C196" s="313"/>
      <c r="D196" s="313"/>
      <c r="E196" s="314"/>
      <c r="F196" s="11">
        <f>SUM(F186:F195)</f>
        <v>3</v>
      </c>
      <c r="G196" s="11">
        <f>SUM(G186:G195)</f>
        <v>1</v>
      </c>
      <c r="H196" s="11">
        <f>SUM(H186:H195)</f>
        <v>22</v>
      </c>
      <c r="I196" s="11"/>
    </row>
    <row r="197" spans="1:9" x14ac:dyDescent="0.2">
      <c r="A197" s="8" t="s">
        <v>0</v>
      </c>
      <c r="B197" s="5">
        <f>B186+1</f>
        <v>46123</v>
      </c>
      <c r="C197" s="74" t="s">
        <v>1230</v>
      </c>
      <c r="D197" s="6" t="s">
        <v>342</v>
      </c>
      <c r="E197" s="6" t="s">
        <v>165</v>
      </c>
      <c r="F197" s="6">
        <v>1</v>
      </c>
      <c r="G197" s="6"/>
      <c r="H197" s="6">
        <v>6</v>
      </c>
      <c r="I197" s="6"/>
    </row>
    <row r="198" spans="1:9" x14ac:dyDescent="0.2">
      <c r="A198" s="8" t="s">
        <v>1</v>
      </c>
      <c r="B198" s="5"/>
      <c r="C198" s="74" t="s">
        <v>1231</v>
      </c>
      <c r="D198" s="6" t="s">
        <v>347</v>
      </c>
      <c r="E198" s="6" t="s">
        <v>441</v>
      </c>
      <c r="F198" s="6">
        <v>1</v>
      </c>
      <c r="G198" s="6"/>
      <c r="H198" s="6">
        <v>6</v>
      </c>
      <c r="I198" s="6"/>
    </row>
    <row r="199" spans="1:9" x14ac:dyDescent="0.2">
      <c r="A199" s="8" t="s">
        <v>2</v>
      </c>
      <c r="B199" s="5"/>
      <c r="C199" s="74" t="s">
        <v>1232</v>
      </c>
      <c r="D199" s="6" t="s">
        <v>347</v>
      </c>
      <c r="E199" s="6" t="s">
        <v>441</v>
      </c>
      <c r="F199" s="6">
        <v>1</v>
      </c>
      <c r="G199" s="6"/>
      <c r="H199" s="6">
        <v>6</v>
      </c>
      <c r="I199" s="6"/>
    </row>
    <row r="200" spans="1:9" hidden="1" x14ac:dyDescent="0.2">
      <c r="A200" s="8" t="s">
        <v>3</v>
      </c>
      <c r="B200" s="5"/>
      <c r="C200" s="74"/>
      <c r="D200" s="6"/>
      <c r="E200" s="6"/>
      <c r="F200" s="6"/>
      <c r="G200" s="6"/>
      <c r="H200" s="6"/>
      <c r="I200" s="6"/>
    </row>
    <row r="201" spans="1:9" hidden="1" x14ac:dyDescent="0.2">
      <c r="A201" s="8" t="s">
        <v>4</v>
      </c>
      <c r="B201" s="5"/>
      <c r="C201" s="74"/>
      <c r="D201" s="6"/>
      <c r="E201" s="6"/>
      <c r="F201" s="6"/>
      <c r="G201" s="6"/>
      <c r="H201" s="6"/>
      <c r="I201" s="6"/>
    </row>
    <row r="202" spans="1:9" hidden="1" x14ac:dyDescent="0.2">
      <c r="A202" s="8" t="s">
        <v>5</v>
      </c>
      <c r="B202" s="5"/>
      <c r="C202" s="74"/>
      <c r="D202" s="6"/>
      <c r="E202" s="6"/>
      <c r="F202" s="6"/>
      <c r="G202" s="6"/>
      <c r="H202" s="6"/>
      <c r="I202" s="6"/>
    </row>
    <row r="203" spans="1:9" hidden="1" x14ac:dyDescent="0.2">
      <c r="A203" s="8" t="s">
        <v>6</v>
      </c>
      <c r="B203" s="5"/>
      <c r="C203" s="74"/>
      <c r="D203" s="6"/>
      <c r="E203" s="6"/>
      <c r="F203" s="6"/>
      <c r="G203" s="6"/>
      <c r="H203" s="6"/>
      <c r="I203" s="6"/>
    </row>
    <row r="204" spans="1:9" hidden="1" x14ac:dyDescent="0.2">
      <c r="A204" s="8" t="s">
        <v>7</v>
      </c>
      <c r="B204" s="5"/>
      <c r="C204" s="74"/>
      <c r="D204" s="6"/>
      <c r="E204" s="6"/>
      <c r="F204" s="6"/>
      <c r="G204" s="6"/>
      <c r="H204" s="6"/>
      <c r="I204" s="6"/>
    </row>
    <row r="205" spans="1:9" hidden="1" x14ac:dyDescent="0.2">
      <c r="A205" s="8" t="s">
        <v>8</v>
      </c>
      <c r="B205" s="5"/>
      <c r="C205" s="74"/>
      <c r="D205" s="6"/>
      <c r="E205" s="6"/>
      <c r="F205" s="6"/>
      <c r="G205" s="6"/>
      <c r="H205" s="6"/>
      <c r="I205" s="6"/>
    </row>
    <row r="206" spans="1:9" hidden="1" x14ac:dyDescent="0.2">
      <c r="A206" s="8" t="s">
        <v>9</v>
      </c>
      <c r="B206" s="5"/>
      <c r="C206" s="74"/>
      <c r="D206" s="6"/>
      <c r="E206" s="6"/>
      <c r="F206" s="6"/>
      <c r="G206" s="6"/>
      <c r="H206" s="6"/>
      <c r="I206" s="6"/>
    </row>
    <row r="207" spans="1:9" x14ac:dyDescent="0.2">
      <c r="A207" s="312" t="s">
        <v>10</v>
      </c>
      <c r="B207" s="313"/>
      <c r="C207" s="313"/>
      <c r="D207" s="313"/>
      <c r="E207" s="314"/>
      <c r="F207" s="11">
        <f>SUM(F197:F206)</f>
        <v>3</v>
      </c>
      <c r="G207" s="11">
        <f>SUM(G197:G206)</f>
        <v>0</v>
      </c>
      <c r="H207" s="11">
        <f>SUM(H197:H206)</f>
        <v>18</v>
      </c>
      <c r="I207" s="11"/>
    </row>
    <row r="208" spans="1:9" hidden="1" x14ac:dyDescent="0.2">
      <c r="A208" s="8" t="s">
        <v>0</v>
      </c>
      <c r="B208" s="5">
        <f>B197+1</f>
        <v>46124</v>
      </c>
      <c r="C208" s="75"/>
      <c r="D208" s="6"/>
      <c r="E208" s="6"/>
      <c r="F208" s="6"/>
      <c r="G208" s="6"/>
      <c r="H208" s="6"/>
      <c r="I208" s="6"/>
    </row>
    <row r="209" spans="1:9" hidden="1" x14ac:dyDescent="0.2">
      <c r="A209" s="8" t="s">
        <v>1</v>
      </c>
      <c r="B209" s="5"/>
      <c r="C209" s="75"/>
      <c r="D209" s="6"/>
      <c r="E209" s="6"/>
      <c r="F209" s="6"/>
      <c r="G209" s="6"/>
      <c r="H209" s="6"/>
      <c r="I209" s="6"/>
    </row>
    <row r="210" spans="1:9" hidden="1" x14ac:dyDescent="0.2">
      <c r="A210" s="8" t="s">
        <v>2</v>
      </c>
      <c r="B210" s="5"/>
      <c r="C210" s="75"/>
      <c r="D210" s="6"/>
      <c r="E210" s="6"/>
      <c r="F210" s="6"/>
      <c r="G210" s="6"/>
      <c r="H210" s="6"/>
      <c r="I210" s="6"/>
    </row>
    <row r="211" spans="1:9" hidden="1" x14ac:dyDescent="0.2">
      <c r="A211" s="8" t="s">
        <v>3</v>
      </c>
      <c r="B211" s="5"/>
      <c r="C211" s="75"/>
      <c r="D211" s="6"/>
      <c r="E211" s="6"/>
      <c r="F211" s="6"/>
      <c r="G211" s="6"/>
      <c r="H211" s="6"/>
      <c r="I211" s="6"/>
    </row>
    <row r="212" spans="1:9" hidden="1" x14ac:dyDescent="0.2">
      <c r="A212" s="8" t="s">
        <v>4</v>
      </c>
      <c r="B212" s="5"/>
      <c r="C212" s="75"/>
      <c r="D212" s="6"/>
      <c r="E212" s="6"/>
      <c r="F212" s="6"/>
      <c r="G212" s="6"/>
      <c r="H212" s="6"/>
      <c r="I212" s="6"/>
    </row>
    <row r="213" spans="1:9" hidden="1" x14ac:dyDescent="0.2">
      <c r="A213" s="8" t="s">
        <v>5</v>
      </c>
      <c r="B213" s="5"/>
      <c r="C213" s="75"/>
      <c r="D213" s="6"/>
      <c r="E213" s="6"/>
      <c r="F213" s="6"/>
      <c r="G213" s="6"/>
      <c r="H213" s="6"/>
      <c r="I213" s="6"/>
    </row>
    <row r="214" spans="1:9" hidden="1" x14ac:dyDescent="0.2">
      <c r="A214" s="8" t="s">
        <v>6</v>
      </c>
      <c r="B214" s="5"/>
      <c r="C214" s="75"/>
      <c r="D214" s="6"/>
      <c r="E214" s="6"/>
      <c r="F214" s="6"/>
      <c r="G214" s="6"/>
      <c r="H214" s="6"/>
      <c r="I214" s="6"/>
    </row>
    <row r="215" spans="1:9" hidden="1" x14ac:dyDescent="0.2">
      <c r="A215" s="8" t="s">
        <v>7</v>
      </c>
      <c r="B215" s="5"/>
      <c r="C215" s="74"/>
      <c r="D215" s="6"/>
      <c r="E215" s="6"/>
      <c r="F215" s="6"/>
      <c r="G215" s="6"/>
      <c r="H215" s="6"/>
      <c r="I215" s="6"/>
    </row>
    <row r="216" spans="1:9" hidden="1" x14ac:dyDescent="0.2">
      <c r="A216" s="8" t="s">
        <v>8</v>
      </c>
      <c r="B216" s="5"/>
      <c r="C216" s="74"/>
      <c r="D216" s="6"/>
      <c r="E216" s="6"/>
      <c r="F216" s="6"/>
      <c r="G216" s="6"/>
      <c r="H216" s="6"/>
      <c r="I216" s="6"/>
    </row>
    <row r="217" spans="1:9" hidden="1" x14ac:dyDescent="0.2">
      <c r="A217" s="8" t="s">
        <v>9</v>
      </c>
      <c r="B217" s="5"/>
      <c r="C217" s="74"/>
      <c r="D217" s="6"/>
      <c r="E217" s="6"/>
      <c r="F217" s="6"/>
      <c r="G217" s="6"/>
      <c r="H217" s="6"/>
      <c r="I217" s="6"/>
    </row>
    <row r="218" spans="1:9" hidden="1" x14ac:dyDescent="0.2">
      <c r="A218" s="312" t="s">
        <v>10</v>
      </c>
      <c r="B218" s="313"/>
      <c r="C218" s="313"/>
      <c r="D218" s="313"/>
      <c r="E218" s="314"/>
      <c r="F218" s="11">
        <f>SUM(F208:F217)</f>
        <v>0</v>
      </c>
      <c r="G218" s="11">
        <f>SUM(G208:G217)</f>
        <v>0</v>
      </c>
      <c r="H218" s="11">
        <f>SUM(H208:H217)</f>
        <v>0</v>
      </c>
      <c r="I218" s="11"/>
    </row>
    <row r="219" spans="1:9" hidden="1" x14ac:dyDescent="0.2">
      <c r="A219" s="8" t="s">
        <v>0</v>
      </c>
      <c r="B219" s="5">
        <f>B208+1</f>
        <v>46125</v>
      </c>
      <c r="C219" s="75"/>
      <c r="D219" s="6"/>
      <c r="E219" s="6"/>
      <c r="F219" s="6"/>
      <c r="G219" s="6"/>
      <c r="H219" s="6"/>
      <c r="I219" s="6"/>
    </row>
    <row r="220" spans="1:9" hidden="1" x14ac:dyDescent="0.2">
      <c r="A220" s="8" t="s">
        <v>1</v>
      </c>
      <c r="B220" s="5"/>
      <c r="C220" s="75"/>
      <c r="D220" s="6"/>
      <c r="E220" s="6"/>
      <c r="F220" s="6"/>
      <c r="G220" s="6"/>
      <c r="H220" s="6"/>
      <c r="I220" s="6"/>
    </row>
    <row r="221" spans="1:9" hidden="1" x14ac:dyDescent="0.2">
      <c r="A221" s="8" t="s">
        <v>2</v>
      </c>
      <c r="B221" s="5"/>
      <c r="C221" s="75"/>
      <c r="D221" s="6"/>
      <c r="E221" s="6"/>
      <c r="F221" s="6"/>
      <c r="G221" s="6"/>
      <c r="H221" s="6"/>
      <c r="I221" s="6"/>
    </row>
    <row r="222" spans="1:9" hidden="1" x14ac:dyDescent="0.2">
      <c r="A222" s="8" t="s">
        <v>3</v>
      </c>
      <c r="B222" s="5"/>
      <c r="C222" s="75"/>
      <c r="D222" s="6"/>
      <c r="E222" s="6"/>
      <c r="F222" s="6"/>
      <c r="G222" s="6"/>
      <c r="H222" s="6"/>
      <c r="I222" s="6"/>
    </row>
    <row r="223" spans="1:9" hidden="1" x14ac:dyDescent="0.2">
      <c r="A223" s="8" t="s">
        <v>4</v>
      </c>
      <c r="B223" s="5"/>
      <c r="C223" s="75"/>
      <c r="D223" s="6"/>
      <c r="E223" s="6"/>
      <c r="F223" s="6"/>
      <c r="G223" s="6"/>
      <c r="H223" s="6"/>
      <c r="I223" s="6"/>
    </row>
    <row r="224" spans="1:9" hidden="1" x14ac:dyDescent="0.2">
      <c r="A224" s="8" t="s">
        <v>5</v>
      </c>
      <c r="B224" s="5"/>
      <c r="C224" s="75"/>
      <c r="D224" s="6"/>
      <c r="E224" s="6"/>
      <c r="F224" s="6"/>
      <c r="G224" s="6"/>
      <c r="H224" s="6"/>
      <c r="I224" s="6"/>
    </row>
    <row r="225" spans="1:9" hidden="1" x14ac:dyDescent="0.2">
      <c r="A225" s="8" t="s">
        <v>6</v>
      </c>
      <c r="B225" s="5"/>
      <c r="C225" s="74"/>
      <c r="D225" s="6"/>
      <c r="E225" s="6"/>
      <c r="F225" s="6"/>
      <c r="G225" s="6"/>
      <c r="H225" s="6"/>
      <c r="I225" s="6"/>
    </row>
    <row r="226" spans="1:9" hidden="1" x14ac:dyDescent="0.2">
      <c r="A226" s="8" t="s">
        <v>7</v>
      </c>
      <c r="B226" s="5"/>
      <c r="C226" s="74"/>
      <c r="D226" s="6"/>
      <c r="E226" s="6"/>
      <c r="F226" s="6"/>
      <c r="G226" s="6"/>
      <c r="H226" s="6"/>
      <c r="I226" s="6"/>
    </row>
    <row r="227" spans="1:9" hidden="1" x14ac:dyDescent="0.2">
      <c r="A227" s="8" t="s">
        <v>8</v>
      </c>
      <c r="B227" s="5"/>
      <c r="C227" s="74"/>
      <c r="D227" s="6"/>
      <c r="E227" s="6"/>
      <c r="F227" s="6"/>
      <c r="G227" s="6"/>
      <c r="H227" s="6"/>
      <c r="I227" s="6"/>
    </row>
    <row r="228" spans="1:9" hidden="1" x14ac:dyDescent="0.2">
      <c r="A228" s="8" t="s">
        <v>9</v>
      </c>
      <c r="B228" s="5"/>
      <c r="C228" s="74"/>
      <c r="D228" s="6"/>
      <c r="E228" s="6"/>
      <c r="F228" s="6"/>
      <c r="G228" s="6"/>
      <c r="H228" s="6"/>
      <c r="I228" s="6"/>
    </row>
    <row r="229" spans="1:9" hidden="1" x14ac:dyDescent="0.2">
      <c r="A229" s="312" t="s">
        <v>10</v>
      </c>
      <c r="B229" s="313"/>
      <c r="C229" s="313"/>
      <c r="D229" s="313"/>
      <c r="E229" s="314"/>
      <c r="F229" s="11">
        <f>SUM(F219:F228)</f>
        <v>0</v>
      </c>
      <c r="G229" s="11">
        <f>SUM(G219:G228)</f>
        <v>0</v>
      </c>
      <c r="H229" s="11">
        <f>SUM(H219:H228)</f>
        <v>0</v>
      </c>
      <c r="I229" s="11"/>
    </row>
    <row r="230" spans="1:9" hidden="1" x14ac:dyDescent="0.2">
      <c r="A230" s="8" t="s">
        <v>0</v>
      </c>
      <c r="B230" s="5">
        <f>B219+1</f>
        <v>46126</v>
      </c>
      <c r="C230" s="75"/>
      <c r="D230" s="6"/>
      <c r="E230" s="6"/>
      <c r="F230" s="6"/>
      <c r="G230" s="6"/>
      <c r="H230" s="6"/>
      <c r="I230" s="6"/>
    </row>
    <row r="231" spans="1:9" hidden="1" x14ac:dyDescent="0.2">
      <c r="A231" s="8" t="s">
        <v>1</v>
      </c>
      <c r="B231" s="5"/>
      <c r="C231" s="75"/>
      <c r="D231" s="6"/>
      <c r="E231" s="6"/>
      <c r="F231" s="6"/>
      <c r="G231" s="6"/>
      <c r="H231" s="6"/>
      <c r="I231" s="6"/>
    </row>
    <row r="232" spans="1:9" hidden="1" x14ac:dyDescent="0.2">
      <c r="A232" s="8" t="s">
        <v>2</v>
      </c>
      <c r="B232" s="5"/>
      <c r="C232" s="75"/>
      <c r="D232" s="6"/>
      <c r="E232" s="6"/>
      <c r="F232" s="6"/>
      <c r="G232" s="6"/>
      <c r="H232" s="6"/>
      <c r="I232" s="6"/>
    </row>
    <row r="233" spans="1:9" hidden="1" x14ac:dyDescent="0.2">
      <c r="A233" s="8" t="s">
        <v>3</v>
      </c>
      <c r="B233" s="5"/>
      <c r="C233" s="75"/>
      <c r="D233" s="6"/>
      <c r="E233" s="6"/>
      <c r="F233" s="6"/>
      <c r="G233" s="6"/>
      <c r="H233" s="6"/>
      <c r="I233" s="6"/>
    </row>
    <row r="234" spans="1:9" hidden="1" x14ac:dyDescent="0.2">
      <c r="A234" s="8" t="s">
        <v>4</v>
      </c>
      <c r="B234" s="5"/>
      <c r="C234" s="75"/>
      <c r="D234" s="6"/>
      <c r="E234" s="6"/>
      <c r="F234" s="6"/>
      <c r="G234" s="6"/>
      <c r="H234" s="6"/>
      <c r="I234" s="6"/>
    </row>
    <row r="235" spans="1:9" hidden="1" x14ac:dyDescent="0.2">
      <c r="A235" s="8" t="s">
        <v>5</v>
      </c>
      <c r="B235" s="5"/>
      <c r="C235" s="75"/>
      <c r="D235" s="6"/>
      <c r="E235" s="6"/>
      <c r="F235" s="6"/>
      <c r="G235" s="6"/>
      <c r="H235" s="6"/>
      <c r="I235" s="6"/>
    </row>
    <row r="236" spans="1:9" hidden="1" x14ac:dyDescent="0.2">
      <c r="A236" s="8" t="s">
        <v>6</v>
      </c>
      <c r="B236" s="5"/>
      <c r="C236" s="75"/>
      <c r="D236" s="6"/>
      <c r="E236" s="6"/>
      <c r="F236" s="6"/>
      <c r="G236" s="6"/>
      <c r="H236" s="6"/>
      <c r="I236" s="6"/>
    </row>
    <row r="237" spans="1:9" hidden="1" x14ac:dyDescent="0.2">
      <c r="A237" s="8" t="s">
        <v>7</v>
      </c>
      <c r="B237" s="5"/>
      <c r="C237" s="75"/>
      <c r="D237" s="6"/>
      <c r="E237" s="6"/>
      <c r="F237" s="6"/>
      <c r="G237" s="6"/>
      <c r="H237" s="6"/>
      <c r="I237" s="6"/>
    </row>
    <row r="238" spans="1:9" hidden="1" x14ac:dyDescent="0.2">
      <c r="A238" s="8" t="s">
        <v>8</v>
      </c>
      <c r="B238" s="5"/>
      <c r="C238" s="75"/>
      <c r="D238" s="6"/>
      <c r="E238" s="6"/>
      <c r="F238" s="6"/>
      <c r="G238" s="6"/>
      <c r="H238" s="6"/>
      <c r="I238" s="6"/>
    </row>
    <row r="239" spans="1:9" hidden="1" x14ac:dyDescent="0.2">
      <c r="A239" s="8" t="s">
        <v>9</v>
      </c>
      <c r="B239" s="5"/>
      <c r="C239" s="75"/>
      <c r="D239" s="6"/>
      <c r="E239" s="6"/>
      <c r="F239" s="6"/>
      <c r="G239" s="6"/>
      <c r="H239" s="6"/>
      <c r="I239" s="6"/>
    </row>
    <row r="240" spans="1:9" hidden="1" x14ac:dyDescent="0.2">
      <c r="A240" s="312" t="s">
        <v>10</v>
      </c>
      <c r="B240" s="313"/>
      <c r="C240" s="313"/>
      <c r="D240" s="313"/>
      <c r="E240" s="314"/>
      <c r="F240" s="11">
        <f>SUM(F230:F239)</f>
        <v>0</v>
      </c>
      <c r="G240" s="11">
        <f>SUM(G230:G239)</f>
        <v>0</v>
      </c>
      <c r="H240" s="11">
        <f>SUM(H230:H239)</f>
        <v>0</v>
      </c>
      <c r="I240" s="11"/>
    </row>
    <row r="241" spans="1:9" hidden="1" x14ac:dyDescent="0.2">
      <c r="A241" s="8" t="s">
        <v>0</v>
      </c>
      <c r="B241" s="5">
        <f>B230+1</f>
        <v>46127</v>
      </c>
      <c r="C241" s="74"/>
      <c r="D241" s="6"/>
      <c r="E241" s="6"/>
      <c r="F241" s="6"/>
      <c r="G241" s="6"/>
      <c r="H241" s="6"/>
      <c r="I241" s="6"/>
    </row>
    <row r="242" spans="1:9" hidden="1" x14ac:dyDescent="0.2">
      <c r="A242" s="8" t="s">
        <v>1</v>
      </c>
      <c r="B242" s="5"/>
      <c r="C242" s="74"/>
      <c r="D242" s="6"/>
      <c r="E242" s="6"/>
      <c r="F242" s="6"/>
      <c r="G242" s="6"/>
      <c r="H242" s="6"/>
      <c r="I242" s="6"/>
    </row>
    <row r="243" spans="1:9" hidden="1" x14ac:dyDescent="0.2">
      <c r="A243" s="8" t="s">
        <v>2</v>
      </c>
      <c r="B243" s="5"/>
      <c r="C243" s="74"/>
      <c r="D243" s="6"/>
      <c r="E243" s="6"/>
      <c r="F243" s="6"/>
      <c r="G243" s="6"/>
      <c r="H243" s="6"/>
      <c r="I243" s="6"/>
    </row>
    <row r="244" spans="1:9" hidden="1" x14ac:dyDescent="0.2">
      <c r="A244" s="8" t="s">
        <v>3</v>
      </c>
      <c r="B244" s="5"/>
      <c r="C244" s="74"/>
      <c r="D244" s="6"/>
      <c r="E244" s="6"/>
      <c r="F244" s="6"/>
      <c r="G244" s="6"/>
      <c r="H244" s="6"/>
      <c r="I244" s="6"/>
    </row>
    <row r="245" spans="1:9" hidden="1" x14ac:dyDescent="0.2">
      <c r="A245" s="8" t="s">
        <v>4</v>
      </c>
      <c r="B245" s="5"/>
      <c r="C245" s="74"/>
      <c r="D245" s="6"/>
      <c r="E245" s="6"/>
      <c r="F245" s="6"/>
      <c r="G245" s="6"/>
      <c r="H245" s="6"/>
      <c r="I245" s="6"/>
    </row>
    <row r="246" spans="1:9" hidden="1" x14ac:dyDescent="0.2">
      <c r="A246" s="8" t="s">
        <v>5</v>
      </c>
      <c r="B246" s="5"/>
      <c r="C246" s="74"/>
      <c r="D246" s="6"/>
      <c r="E246" s="6"/>
      <c r="F246" s="6"/>
      <c r="G246" s="6"/>
      <c r="H246" s="6"/>
      <c r="I246" s="6"/>
    </row>
    <row r="247" spans="1:9" hidden="1" x14ac:dyDescent="0.2">
      <c r="A247" s="8" t="s">
        <v>6</v>
      </c>
      <c r="B247" s="5"/>
      <c r="C247" s="74"/>
      <c r="D247" s="6"/>
      <c r="E247" s="6"/>
      <c r="F247" s="6"/>
      <c r="G247" s="6"/>
      <c r="H247" s="6"/>
      <c r="I247" s="6"/>
    </row>
    <row r="248" spans="1:9" hidden="1" x14ac:dyDescent="0.2">
      <c r="A248" s="8" t="s">
        <v>7</v>
      </c>
      <c r="B248" s="5"/>
      <c r="C248" s="74"/>
      <c r="D248" s="6"/>
      <c r="E248" s="6"/>
      <c r="F248" s="6"/>
      <c r="G248" s="6"/>
      <c r="H248" s="6"/>
      <c r="I248" s="6"/>
    </row>
    <row r="249" spans="1:9" hidden="1" x14ac:dyDescent="0.2">
      <c r="A249" s="8" t="s">
        <v>8</v>
      </c>
      <c r="B249" s="5"/>
      <c r="C249" s="74"/>
      <c r="D249" s="6"/>
      <c r="E249" s="6"/>
      <c r="F249" s="6"/>
      <c r="G249" s="6"/>
      <c r="H249" s="6"/>
      <c r="I249" s="6"/>
    </row>
    <row r="250" spans="1:9" hidden="1" x14ac:dyDescent="0.2">
      <c r="A250" s="8" t="s">
        <v>9</v>
      </c>
      <c r="B250" s="5"/>
      <c r="C250" s="74"/>
      <c r="D250" s="6"/>
      <c r="E250" s="6"/>
      <c r="F250" s="6"/>
      <c r="G250" s="6"/>
      <c r="H250" s="6"/>
      <c r="I250" s="6"/>
    </row>
    <row r="251" spans="1:9" hidden="1" x14ac:dyDescent="0.2">
      <c r="A251" s="312" t="s">
        <v>10</v>
      </c>
      <c r="B251" s="313"/>
      <c r="C251" s="313"/>
      <c r="D251" s="313"/>
      <c r="E251" s="314"/>
      <c r="F251" s="11">
        <f>SUM(F241:F250)</f>
        <v>0</v>
      </c>
      <c r="G251" s="11">
        <f>SUM(G241:G250)</f>
        <v>0</v>
      </c>
      <c r="H251" s="11">
        <f>SUM(H241:H250)</f>
        <v>0</v>
      </c>
      <c r="I251" s="11"/>
    </row>
    <row r="252" spans="1:9" s="25" customFormat="1" ht="18" hidden="1" x14ac:dyDescent="0.2">
      <c r="A252" s="315" t="s">
        <v>39</v>
      </c>
      <c r="B252" s="316"/>
      <c r="C252" s="316"/>
      <c r="D252" s="316"/>
      <c r="E252" s="317"/>
      <c r="F252" s="22">
        <f>F185+F196+F207+F218+F229+F240+F251+F168</f>
        <v>57</v>
      </c>
      <c r="G252" s="22">
        <f>G185+G196+G207+G218+G229+G240+G251+G168</f>
        <v>14</v>
      </c>
      <c r="H252" s="22">
        <f>H185+H196+H207+H218+H229+H240+H251+H168</f>
        <v>374.5</v>
      </c>
      <c r="I252" s="22"/>
    </row>
    <row r="253" spans="1:9" ht="21.95" hidden="1" customHeight="1" x14ac:dyDescent="0.2">
      <c r="A253" s="319" t="s">
        <v>14</v>
      </c>
      <c r="B253" s="319"/>
      <c r="C253" s="319"/>
      <c r="D253" s="319"/>
      <c r="E253" s="319"/>
      <c r="F253" s="319"/>
      <c r="G253" s="319"/>
      <c r="H253" s="319"/>
      <c r="I253" s="319"/>
    </row>
    <row r="254" spans="1:9" s="53" customFormat="1" ht="20.100000000000001" hidden="1" customHeight="1" x14ac:dyDescent="0.2">
      <c r="A254" s="323" t="s">
        <v>86</v>
      </c>
      <c r="B254" s="323"/>
      <c r="C254" s="323"/>
      <c r="D254" s="323"/>
      <c r="E254" s="323"/>
      <c r="F254" s="50" t="str">
        <f>F170</f>
        <v>เมษายน</v>
      </c>
      <c r="G254" s="50" t="s">
        <v>87</v>
      </c>
      <c r="H254" s="51">
        <f>H170</f>
        <v>2569</v>
      </c>
      <c r="I254" s="52"/>
    </row>
    <row r="255" spans="1:9" s="3" customFormat="1" ht="20.100000000000001" hidden="1" customHeight="1" x14ac:dyDescent="0.35">
      <c r="A255" s="318" t="s">
        <v>31</v>
      </c>
      <c r="B255" s="318"/>
      <c r="C255" s="318"/>
      <c r="D255" s="2"/>
      <c r="F255" s="4"/>
      <c r="G255" s="4"/>
      <c r="H255" s="4" t="s">
        <v>21</v>
      </c>
      <c r="I255" s="40">
        <f>I171+1</f>
        <v>4</v>
      </c>
    </row>
    <row r="256" spans="1:9" s="3" customFormat="1" ht="20.100000000000001" hidden="1" customHeight="1" x14ac:dyDescent="0.35">
      <c r="A256" s="311" t="s">
        <v>73</v>
      </c>
      <c r="B256" s="311"/>
      <c r="C256" s="311"/>
      <c r="D256" s="2"/>
      <c r="E256" s="39" t="s">
        <v>81</v>
      </c>
      <c r="F256" s="308">
        <f>F4</f>
        <v>46107</v>
      </c>
      <c r="G256" s="308"/>
      <c r="H256" s="39" t="s">
        <v>82</v>
      </c>
      <c r="I256" s="34">
        <f>$I$4</f>
        <v>46136</v>
      </c>
    </row>
    <row r="257" spans="1:9" hidden="1" x14ac:dyDescent="0.2">
      <c r="A257" s="12" t="s">
        <v>23</v>
      </c>
      <c r="B257" s="13" t="s">
        <v>11</v>
      </c>
      <c r="C257" s="72" t="s">
        <v>26</v>
      </c>
      <c r="D257" s="12" t="s">
        <v>16</v>
      </c>
      <c r="E257" s="12" t="s">
        <v>17</v>
      </c>
      <c r="F257" s="310" t="s">
        <v>46</v>
      </c>
      <c r="G257" s="310"/>
      <c r="H257" s="310"/>
      <c r="I257" s="12" t="s">
        <v>19</v>
      </c>
    </row>
    <row r="258" spans="1:9" hidden="1" x14ac:dyDescent="0.2">
      <c r="A258" s="15"/>
      <c r="B258" s="16"/>
      <c r="C258" s="73"/>
      <c r="D258" s="15"/>
      <c r="E258" s="15"/>
      <c r="F258" s="21" t="s">
        <v>113</v>
      </c>
      <c r="G258" s="21" t="s">
        <v>114</v>
      </c>
      <c r="H258" s="21" t="s">
        <v>20</v>
      </c>
      <c r="I258" s="15"/>
    </row>
    <row r="259" spans="1:9" hidden="1" x14ac:dyDescent="0.2">
      <c r="A259" s="8" t="s">
        <v>0</v>
      </c>
      <c r="B259" s="5">
        <f>B241+1</f>
        <v>46128</v>
      </c>
      <c r="C259" s="74"/>
      <c r="D259" s="6"/>
      <c r="E259" s="6"/>
      <c r="F259" s="6"/>
      <c r="G259" s="6"/>
      <c r="H259" s="6"/>
      <c r="I259" s="6"/>
    </row>
    <row r="260" spans="1:9" hidden="1" x14ac:dyDescent="0.2">
      <c r="A260" s="8" t="s">
        <v>1</v>
      </c>
      <c r="B260" s="5"/>
      <c r="C260" s="74"/>
      <c r="D260" s="6"/>
      <c r="E260" s="6"/>
      <c r="F260" s="6"/>
      <c r="G260" s="6"/>
      <c r="H260" s="6"/>
      <c r="I260" s="6"/>
    </row>
    <row r="261" spans="1:9" hidden="1" x14ac:dyDescent="0.2">
      <c r="A261" s="8" t="s">
        <v>2</v>
      </c>
      <c r="B261" s="5"/>
      <c r="C261" s="74"/>
      <c r="D261" s="6"/>
      <c r="E261" s="6"/>
      <c r="F261" s="6"/>
      <c r="G261" s="6"/>
      <c r="H261" s="6"/>
      <c r="I261" s="6"/>
    </row>
    <row r="262" spans="1:9" hidden="1" x14ac:dyDescent="0.2">
      <c r="A262" s="8" t="s">
        <v>3</v>
      </c>
      <c r="B262" s="5"/>
      <c r="C262" s="74"/>
      <c r="D262" s="6"/>
      <c r="E262" s="6"/>
      <c r="F262" s="6"/>
      <c r="G262" s="6"/>
      <c r="H262" s="6"/>
      <c r="I262" s="6"/>
    </row>
    <row r="263" spans="1:9" hidden="1" x14ac:dyDescent="0.2">
      <c r="A263" s="8" t="s">
        <v>4</v>
      </c>
      <c r="B263" s="5"/>
      <c r="C263" s="74"/>
      <c r="D263" s="6"/>
      <c r="E263" s="6"/>
      <c r="F263" s="6"/>
      <c r="G263" s="6"/>
      <c r="H263" s="6"/>
      <c r="I263" s="6"/>
    </row>
    <row r="264" spans="1:9" hidden="1" x14ac:dyDescent="0.2">
      <c r="A264" s="8" t="s">
        <v>5</v>
      </c>
      <c r="B264" s="5"/>
      <c r="C264" s="74"/>
      <c r="D264" s="6"/>
      <c r="E264" s="6"/>
      <c r="F264" s="6"/>
      <c r="G264" s="6"/>
      <c r="H264" s="6"/>
      <c r="I264" s="6"/>
    </row>
    <row r="265" spans="1:9" hidden="1" x14ac:dyDescent="0.2">
      <c r="A265" s="8" t="s">
        <v>6</v>
      </c>
      <c r="B265" s="5"/>
      <c r="C265" s="74"/>
      <c r="D265" s="6"/>
      <c r="E265" s="6"/>
      <c r="F265" s="6"/>
      <c r="G265" s="6"/>
      <c r="H265" s="6"/>
      <c r="I265" s="6"/>
    </row>
    <row r="266" spans="1:9" hidden="1" x14ac:dyDescent="0.2">
      <c r="A266" s="8" t="s">
        <v>7</v>
      </c>
      <c r="B266" s="5"/>
      <c r="C266" s="74"/>
      <c r="D266" s="6"/>
      <c r="E266" s="6"/>
      <c r="F266" s="6"/>
      <c r="G266" s="6"/>
      <c r="H266" s="6"/>
      <c r="I266" s="6"/>
    </row>
    <row r="267" spans="1:9" hidden="1" x14ac:dyDescent="0.2">
      <c r="A267" s="8" t="s">
        <v>8</v>
      </c>
      <c r="B267" s="5"/>
      <c r="C267" s="74"/>
      <c r="D267" s="6"/>
      <c r="E267" s="6"/>
      <c r="F267" s="6"/>
      <c r="G267" s="6"/>
      <c r="H267" s="6"/>
      <c r="I267" s="6"/>
    </row>
    <row r="268" spans="1:9" hidden="1" x14ac:dyDescent="0.2">
      <c r="A268" s="8" t="s">
        <v>9</v>
      </c>
      <c r="B268" s="5"/>
      <c r="C268" s="74"/>
      <c r="D268" s="6"/>
      <c r="E268" s="6"/>
      <c r="F268" s="6"/>
      <c r="G268" s="6"/>
      <c r="H268" s="6"/>
      <c r="I268" s="6"/>
    </row>
    <row r="269" spans="1:9" hidden="1" x14ac:dyDescent="0.2">
      <c r="A269" s="312" t="s">
        <v>10</v>
      </c>
      <c r="B269" s="313"/>
      <c r="C269" s="313"/>
      <c r="D269" s="313"/>
      <c r="E269" s="314"/>
      <c r="F269" s="11">
        <f>SUM(F259:F268)</f>
        <v>0</v>
      </c>
      <c r="G269" s="11">
        <f>SUM(G259:G268)</f>
        <v>0</v>
      </c>
      <c r="H269" s="11">
        <f>SUM(H259:H268)</f>
        <v>0</v>
      </c>
      <c r="I269" s="11"/>
    </row>
    <row r="270" spans="1:9" hidden="1" x14ac:dyDescent="0.2">
      <c r="A270" s="8" t="s">
        <v>0</v>
      </c>
      <c r="B270" s="5">
        <f>B259+1</f>
        <v>46129</v>
      </c>
      <c r="C270" s="74"/>
      <c r="D270" s="6"/>
      <c r="E270" s="6"/>
      <c r="F270" s="6"/>
      <c r="G270" s="6"/>
      <c r="H270" s="6"/>
      <c r="I270" s="6"/>
    </row>
    <row r="271" spans="1:9" hidden="1" x14ac:dyDescent="0.2">
      <c r="A271" s="8" t="s">
        <v>1</v>
      </c>
      <c r="B271" s="5"/>
      <c r="C271" s="74"/>
      <c r="D271" s="6"/>
      <c r="E271" s="6"/>
      <c r="F271" s="6"/>
      <c r="G271" s="6"/>
      <c r="H271" s="6"/>
      <c r="I271" s="6"/>
    </row>
    <row r="272" spans="1:9" hidden="1" x14ac:dyDescent="0.2">
      <c r="A272" s="8" t="s">
        <v>2</v>
      </c>
      <c r="B272" s="5"/>
      <c r="C272" s="74"/>
      <c r="D272" s="6"/>
      <c r="E272" s="6"/>
      <c r="F272" s="6"/>
      <c r="G272" s="6"/>
      <c r="H272" s="6"/>
      <c r="I272" s="6"/>
    </row>
    <row r="273" spans="1:9" hidden="1" x14ac:dyDescent="0.2">
      <c r="A273" s="8" t="s">
        <v>3</v>
      </c>
      <c r="B273" s="5"/>
      <c r="C273" s="74"/>
      <c r="D273" s="6"/>
      <c r="E273" s="6"/>
      <c r="F273" s="6"/>
      <c r="G273" s="6"/>
      <c r="H273" s="6"/>
      <c r="I273" s="6"/>
    </row>
    <row r="274" spans="1:9" hidden="1" x14ac:dyDescent="0.2">
      <c r="A274" s="8" t="s">
        <v>4</v>
      </c>
      <c r="B274" s="5"/>
      <c r="C274" s="74"/>
      <c r="D274" s="6"/>
      <c r="E274" s="6"/>
      <c r="F274" s="6"/>
      <c r="G274" s="6"/>
      <c r="H274" s="6"/>
      <c r="I274" s="6"/>
    </row>
    <row r="275" spans="1:9" hidden="1" x14ac:dyDescent="0.2">
      <c r="A275" s="8" t="s">
        <v>5</v>
      </c>
      <c r="B275" s="5"/>
      <c r="C275" s="74"/>
      <c r="D275" s="6"/>
      <c r="E275" s="6"/>
      <c r="F275" s="6"/>
      <c r="G275" s="6"/>
      <c r="H275" s="6"/>
      <c r="I275" s="6"/>
    </row>
    <row r="276" spans="1:9" hidden="1" x14ac:dyDescent="0.2">
      <c r="A276" s="8" t="s">
        <v>6</v>
      </c>
      <c r="B276" s="5"/>
      <c r="C276" s="74"/>
      <c r="D276" s="6"/>
      <c r="E276" s="6"/>
      <c r="F276" s="6"/>
      <c r="G276" s="6"/>
      <c r="H276" s="6"/>
      <c r="I276" s="6"/>
    </row>
    <row r="277" spans="1:9" hidden="1" x14ac:dyDescent="0.2">
      <c r="A277" s="8" t="s">
        <v>7</v>
      </c>
      <c r="B277" s="5"/>
      <c r="C277" s="74"/>
      <c r="D277" s="6"/>
      <c r="E277" s="6"/>
      <c r="F277" s="6"/>
      <c r="G277" s="6"/>
      <c r="H277" s="6"/>
      <c r="I277" s="6"/>
    </row>
    <row r="278" spans="1:9" hidden="1" x14ac:dyDescent="0.2">
      <c r="A278" s="8" t="s">
        <v>8</v>
      </c>
      <c r="B278" s="5"/>
      <c r="C278" s="74"/>
      <c r="D278" s="6"/>
      <c r="E278" s="6"/>
      <c r="F278" s="6"/>
      <c r="G278" s="6"/>
      <c r="H278" s="6"/>
      <c r="I278" s="6"/>
    </row>
    <row r="279" spans="1:9" hidden="1" x14ac:dyDescent="0.2">
      <c r="A279" s="8" t="s">
        <v>9</v>
      </c>
      <c r="B279" s="5"/>
      <c r="C279" s="74"/>
      <c r="D279" s="6"/>
      <c r="E279" s="6"/>
      <c r="F279" s="6"/>
      <c r="G279" s="6"/>
      <c r="H279" s="6"/>
      <c r="I279" s="6"/>
    </row>
    <row r="280" spans="1:9" hidden="1" x14ac:dyDescent="0.2">
      <c r="A280" s="312" t="s">
        <v>10</v>
      </c>
      <c r="B280" s="313"/>
      <c r="C280" s="313"/>
      <c r="D280" s="313"/>
      <c r="E280" s="314"/>
      <c r="F280" s="11">
        <f>SUM(F270:F279)</f>
        <v>0</v>
      </c>
      <c r="G280" s="11">
        <f>SUM(G270:G279)</f>
        <v>0</v>
      </c>
      <c r="H280" s="11">
        <f>SUM(H270:H279)</f>
        <v>0</v>
      </c>
      <c r="I280" s="11"/>
    </row>
    <row r="281" spans="1:9" hidden="1" x14ac:dyDescent="0.2">
      <c r="A281" s="8" t="s">
        <v>0</v>
      </c>
      <c r="B281" s="5">
        <f>B270+1</f>
        <v>46130</v>
      </c>
      <c r="C281" s="74"/>
      <c r="D281" s="6"/>
      <c r="E281" s="6"/>
      <c r="F281" s="6"/>
      <c r="G281" s="6"/>
      <c r="H281" s="6"/>
      <c r="I281" s="6"/>
    </row>
    <row r="282" spans="1:9" hidden="1" x14ac:dyDescent="0.2">
      <c r="A282" s="8" t="s">
        <v>1</v>
      </c>
      <c r="B282" s="5"/>
      <c r="C282" s="74"/>
      <c r="D282" s="6"/>
      <c r="E282" s="6"/>
      <c r="F282" s="6"/>
      <c r="G282" s="6"/>
      <c r="H282" s="6"/>
      <c r="I282" s="6"/>
    </row>
    <row r="283" spans="1:9" hidden="1" x14ac:dyDescent="0.2">
      <c r="A283" s="8" t="s">
        <v>2</v>
      </c>
      <c r="B283" s="5"/>
      <c r="C283" s="74"/>
      <c r="D283" s="6"/>
      <c r="E283" s="6"/>
      <c r="F283" s="6"/>
      <c r="G283" s="6"/>
      <c r="H283" s="6"/>
      <c r="I283" s="6"/>
    </row>
    <row r="284" spans="1:9" hidden="1" x14ac:dyDescent="0.2">
      <c r="A284" s="8" t="s">
        <v>3</v>
      </c>
      <c r="B284" s="5"/>
      <c r="C284" s="74"/>
      <c r="D284" s="6"/>
      <c r="E284" s="6"/>
      <c r="F284" s="6"/>
      <c r="G284" s="6"/>
      <c r="H284" s="6"/>
      <c r="I284" s="6"/>
    </row>
    <row r="285" spans="1:9" hidden="1" x14ac:dyDescent="0.2">
      <c r="A285" s="8" t="s">
        <v>4</v>
      </c>
      <c r="B285" s="5"/>
      <c r="C285" s="74"/>
      <c r="D285" s="6"/>
      <c r="E285" s="6"/>
      <c r="F285" s="6"/>
      <c r="G285" s="6"/>
      <c r="H285" s="6"/>
      <c r="I285" s="6"/>
    </row>
    <row r="286" spans="1:9" hidden="1" x14ac:dyDescent="0.2">
      <c r="A286" s="8" t="s">
        <v>5</v>
      </c>
      <c r="B286" s="5"/>
      <c r="C286" s="74"/>
      <c r="D286" s="6"/>
      <c r="E286" s="6"/>
      <c r="F286" s="6"/>
      <c r="G286" s="6"/>
      <c r="H286" s="6"/>
      <c r="I286" s="6"/>
    </row>
    <row r="287" spans="1:9" hidden="1" x14ac:dyDescent="0.2">
      <c r="A287" s="8" t="s">
        <v>6</v>
      </c>
      <c r="B287" s="5"/>
      <c r="C287" s="74"/>
      <c r="D287" s="6"/>
      <c r="E287" s="6"/>
      <c r="F287" s="6"/>
      <c r="G287" s="6"/>
      <c r="H287" s="6"/>
      <c r="I287" s="6"/>
    </row>
    <row r="288" spans="1:9" hidden="1" x14ac:dyDescent="0.2">
      <c r="A288" s="8" t="s">
        <v>7</v>
      </c>
      <c r="B288" s="5"/>
      <c r="C288" s="74"/>
      <c r="D288" s="6"/>
      <c r="E288" s="6"/>
      <c r="F288" s="6"/>
      <c r="G288" s="6"/>
      <c r="H288" s="6"/>
      <c r="I288" s="6"/>
    </row>
    <row r="289" spans="1:9" hidden="1" x14ac:dyDescent="0.2">
      <c r="A289" s="8" t="s">
        <v>8</v>
      </c>
      <c r="B289" s="5"/>
      <c r="C289" s="74"/>
      <c r="D289" s="6"/>
      <c r="E289" s="6"/>
      <c r="F289" s="6"/>
      <c r="G289" s="6"/>
      <c r="H289" s="6"/>
      <c r="I289" s="6"/>
    </row>
    <row r="290" spans="1:9" hidden="1" x14ac:dyDescent="0.2">
      <c r="A290" s="8" t="s">
        <v>9</v>
      </c>
      <c r="B290" s="5"/>
      <c r="C290" s="74"/>
      <c r="D290" s="6"/>
      <c r="E290" s="6"/>
      <c r="F290" s="6"/>
      <c r="G290" s="6"/>
      <c r="H290" s="6"/>
      <c r="I290" s="6"/>
    </row>
    <row r="291" spans="1:9" hidden="1" x14ac:dyDescent="0.2">
      <c r="A291" s="312" t="s">
        <v>10</v>
      </c>
      <c r="B291" s="313"/>
      <c r="C291" s="313"/>
      <c r="D291" s="313"/>
      <c r="E291" s="314"/>
      <c r="F291" s="11">
        <f>SUM(F281:F290)</f>
        <v>0</v>
      </c>
      <c r="G291" s="11">
        <f>SUM(G281:G290)</f>
        <v>0</v>
      </c>
      <c r="H291" s="11">
        <f>SUM(H281:H290)</f>
        <v>0</v>
      </c>
      <c r="I291" s="11"/>
    </row>
    <row r="292" spans="1:9" hidden="1" x14ac:dyDescent="0.2">
      <c r="A292" s="8" t="s">
        <v>0</v>
      </c>
      <c r="B292" s="5">
        <f>B281+1</f>
        <v>46131</v>
      </c>
      <c r="C292" s="75"/>
      <c r="D292" s="6"/>
      <c r="E292" s="6"/>
      <c r="F292" s="6"/>
      <c r="G292" s="6"/>
      <c r="H292" s="6"/>
      <c r="I292" s="6"/>
    </row>
    <row r="293" spans="1:9" hidden="1" x14ac:dyDescent="0.2">
      <c r="A293" s="8" t="s">
        <v>1</v>
      </c>
      <c r="B293" s="5"/>
      <c r="C293" s="75"/>
      <c r="D293" s="6"/>
      <c r="E293" s="6"/>
      <c r="F293" s="6"/>
      <c r="G293" s="6"/>
      <c r="H293" s="6"/>
      <c r="I293" s="6"/>
    </row>
    <row r="294" spans="1:9" hidden="1" x14ac:dyDescent="0.2">
      <c r="A294" s="8" t="s">
        <v>2</v>
      </c>
      <c r="B294" s="5"/>
      <c r="C294" s="75"/>
      <c r="D294" s="6"/>
      <c r="E294" s="6"/>
      <c r="F294" s="6"/>
      <c r="G294" s="6"/>
      <c r="H294" s="6"/>
      <c r="I294" s="6"/>
    </row>
    <row r="295" spans="1:9" hidden="1" x14ac:dyDescent="0.2">
      <c r="A295" s="8" t="s">
        <v>3</v>
      </c>
      <c r="B295" s="5"/>
      <c r="C295" s="75"/>
      <c r="D295" s="6"/>
      <c r="E295" s="6"/>
      <c r="F295" s="6"/>
      <c r="G295" s="6"/>
      <c r="H295" s="6"/>
      <c r="I295" s="6"/>
    </row>
    <row r="296" spans="1:9" hidden="1" x14ac:dyDescent="0.2">
      <c r="A296" s="8" t="s">
        <v>4</v>
      </c>
      <c r="B296" s="5"/>
      <c r="C296" s="75"/>
      <c r="D296" s="6"/>
      <c r="E296" s="6"/>
      <c r="F296" s="6"/>
      <c r="G296" s="6"/>
      <c r="H296" s="6"/>
      <c r="I296" s="6"/>
    </row>
    <row r="297" spans="1:9" hidden="1" x14ac:dyDescent="0.2">
      <c r="A297" s="8" t="s">
        <v>5</v>
      </c>
      <c r="B297" s="5"/>
      <c r="C297" s="75"/>
      <c r="D297" s="6"/>
      <c r="E297" s="6"/>
      <c r="F297" s="6"/>
      <c r="G297" s="6"/>
      <c r="H297" s="6"/>
      <c r="I297" s="6"/>
    </row>
    <row r="298" spans="1:9" hidden="1" x14ac:dyDescent="0.2">
      <c r="A298" s="8" t="s">
        <v>6</v>
      </c>
      <c r="B298" s="5"/>
      <c r="C298" s="75"/>
      <c r="D298" s="6"/>
      <c r="E298" s="6"/>
      <c r="F298" s="6"/>
      <c r="G298" s="6"/>
      <c r="H298" s="6"/>
      <c r="I298" s="6"/>
    </row>
    <row r="299" spans="1:9" hidden="1" x14ac:dyDescent="0.2">
      <c r="A299" s="8" t="s">
        <v>7</v>
      </c>
      <c r="B299" s="5"/>
      <c r="C299" s="74"/>
      <c r="D299" s="6"/>
      <c r="E299" s="6"/>
      <c r="F299" s="6"/>
      <c r="G299" s="6"/>
      <c r="H299" s="6"/>
      <c r="I299" s="6"/>
    </row>
    <row r="300" spans="1:9" hidden="1" x14ac:dyDescent="0.2">
      <c r="A300" s="8" t="s">
        <v>8</v>
      </c>
      <c r="B300" s="5"/>
      <c r="C300" s="74"/>
      <c r="D300" s="6"/>
      <c r="E300" s="6"/>
      <c r="F300" s="6"/>
      <c r="G300" s="6"/>
      <c r="H300" s="6"/>
      <c r="I300" s="6"/>
    </row>
    <row r="301" spans="1:9" hidden="1" x14ac:dyDescent="0.2">
      <c r="A301" s="8" t="s">
        <v>9</v>
      </c>
      <c r="B301" s="5"/>
      <c r="C301" s="74"/>
      <c r="D301" s="6"/>
      <c r="E301" s="6"/>
      <c r="F301" s="6"/>
      <c r="G301" s="6"/>
      <c r="H301" s="6"/>
      <c r="I301" s="6"/>
    </row>
    <row r="302" spans="1:9" hidden="1" x14ac:dyDescent="0.2">
      <c r="A302" s="312" t="s">
        <v>10</v>
      </c>
      <c r="B302" s="313"/>
      <c r="C302" s="313"/>
      <c r="D302" s="313"/>
      <c r="E302" s="314"/>
      <c r="F302" s="11">
        <f>SUM(F292:F301)</f>
        <v>0</v>
      </c>
      <c r="G302" s="11">
        <f>SUM(G292:G301)</f>
        <v>0</v>
      </c>
      <c r="H302" s="11">
        <f>SUM(H292:H301)</f>
        <v>0</v>
      </c>
      <c r="I302" s="11"/>
    </row>
    <row r="303" spans="1:9" hidden="1" x14ac:dyDescent="0.2">
      <c r="A303" s="8" t="s">
        <v>0</v>
      </c>
      <c r="B303" s="5">
        <f>B292+1</f>
        <v>46132</v>
      </c>
      <c r="C303" s="75"/>
      <c r="D303" s="6"/>
      <c r="E303" s="6"/>
      <c r="F303" s="6"/>
      <c r="G303" s="6"/>
      <c r="H303" s="6"/>
      <c r="I303" s="6"/>
    </row>
    <row r="304" spans="1:9" hidden="1" x14ac:dyDescent="0.2">
      <c r="A304" s="8" t="s">
        <v>1</v>
      </c>
      <c r="B304" s="5"/>
      <c r="C304" s="75"/>
      <c r="D304" s="6"/>
      <c r="E304" s="6"/>
      <c r="F304" s="6"/>
      <c r="G304" s="6"/>
      <c r="H304" s="6"/>
      <c r="I304" s="6"/>
    </row>
    <row r="305" spans="1:9" hidden="1" x14ac:dyDescent="0.2">
      <c r="A305" s="8" t="s">
        <v>2</v>
      </c>
      <c r="B305" s="5"/>
      <c r="C305" s="75"/>
      <c r="D305" s="6"/>
      <c r="E305" s="6"/>
      <c r="F305" s="6"/>
      <c r="G305" s="6"/>
      <c r="H305" s="6"/>
      <c r="I305" s="6"/>
    </row>
    <row r="306" spans="1:9" hidden="1" x14ac:dyDescent="0.2">
      <c r="A306" s="8" t="s">
        <v>3</v>
      </c>
      <c r="B306" s="5"/>
      <c r="C306" s="75"/>
      <c r="D306" s="6"/>
      <c r="E306" s="6"/>
      <c r="F306" s="6"/>
      <c r="G306" s="6"/>
      <c r="H306" s="6"/>
      <c r="I306" s="6"/>
    </row>
    <row r="307" spans="1:9" hidden="1" x14ac:dyDescent="0.2">
      <c r="A307" s="8" t="s">
        <v>4</v>
      </c>
      <c r="B307" s="5"/>
      <c r="C307" s="75"/>
      <c r="D307" s="6"/>
      <c r="E307" s="6"/>
      <c r="F307" s="6"/>
      <c r="G307" s="6"/>
      <c r="H307" s="6"/>
      <c r="I307" s="6"/>
    </row>
    <row r="308" spans="1:9" hidden="1" x14ac:dyDescent="0.2">
      <c r="A308" s="8" t="s">
        <v>5</v>
      </c>
      <c r="B308" s="5"/>
      <c r="C308" s="75"/>
      <c r="D308" s="6"/>
      <c r="E308" s="6"/>
      <c r="F308" s="6"/>
      <c r="G308" s="6"/>
      <c r="H308" s="6"/>
      <c r="I308" s="6"/>
    </row>
    <row r="309" spans="1:9" hidden="1" x14ac:dyDescent="0.2">
      <c r="A309" s="8" t="s">
        <v>6</v>
      </c>
      <c r="B309" s="5"/>
      <c r="C309" s="74"/>
      <c r="D309" s="6"/>
      <c r="E309" s="6"/>
      <c r="F309" s="6"/>
      <c r="G309" s="6"/>
      <c r="H309" s="6"/>
      <c r="I309" s="6"/>
    </row>
    <row r="310" spans="1:9" hidden="1" x14ac:dyDescent="0.2">
      <c r="A310" s="8" t="s">
        <v>7</v>
      </c>
      <c r="B310" s="5"/>
      <c r="C310" s="74"/>
      <c r="D310" s="6"/>
      <c r="E310" s="6"/>
      <c r="F310" s="6"/>
      <c r="G310" s="6"/>
      <c r="H310" s="6"/>
      <c r="I310" s="6"/>
    </row>
    <row r="311" spans="1:9" hidden="1" x14ac:dyDescent="0.2">
      <c r="A311" s="8" t="s">
        <v>8</v>
      </c>
      <c r="B311" s="5"/>
      <c r="C311" s="74"/>
      <c r="D311" s="6"/>
      <c r="E311" s="6"/>
      <c r="F311" s="6"/>
      <c r="G311" s="6"/>
      <c r="H311" s="6"/>
      <c r="I311" s="6"/>
    </row>
    <row r="312" spans="1:9" hidden="1" x14ac:dyDescent="0.2">
      <c r="A312" s="8" t="s">
        <v>9</v>
      </c>
      <c r="B312" s="5"/>
      <c r="C312" s="74"/>
      <c r="D312" s="6"/>
      <c r="E312" s="6"/>
      <c r="F312" s="6"/>
      <c r="G312" s="6"/>
      <c r="H312" s="6"/>
      <c r="I312" s="6"/>
    </row>
    <row r="313" spans="1:9" hidden="1" x14ac:dyDescent="0.2">
      <c r="A313" s="312" t="s">
        <v>10</v>
      </c>
      <c r="B313" s="313"/>
      <c r="C313" s="313"/>
      <c r="D313" s="313"/>
      <c r="E313" s="314"/>
      <c r="F313" s="11">
        <f>SUM(F303:F312)</f>
        <v>0</v>
      </c>
      <c r="G313" s="11">
        <f>SUM(G303:G312)</f>
        <v>0</v>
      </c>
      <c r="H313" s="11">
        <f>SUM(H303:H312)</f>
        <v>0</v>
      </c>
      <c r="I313" s="11"/>
    </row>
    <row r="314" spans="1:9" hidden="1" x14ac:dyDescent="0.2">
      <c r="A314" s="8" t="s">
        <v>0</v>
      </c>
      <c r="B314" s="5">
        <f>B303+1</f>
        <v>46133</v>
      </c>
      <c r="C314" s="75"/>
      <c r="D314" s="6"/>
      <c r="E314" s="6"/>
      <c r="F314" s="6"/>
      <c r="G314" s="6"/>
      <c r="H314" s="6"/>
      <c r="I314" s="6"/>
    </row>
    <row r="315" spans="1:9" hidden="1" x14ac:dyDescent="0.2">
      <c r="A315" s="8" t="s">
        <v>1</v>
      </c>
      <c r="B315" s="5"/>
      <c r="C315" s="75"/>
      <c r="D315" s="6"/>
      <c r="E315" s="6"/>
      <c r="F315" s="6"/>
      <c r="G315" s="6"/>
      <c r="H315" s="6"/>
      <c r="I315" s="6"/>
    </row>
    <row r="316" spans="1:9" hidden="1" x14ac:dyDescent="0.2">
      <c r="A316" s="8" t="s">
        <v>2</v>
      </c>
      <c r="B316" s="5"/>
      <c r="C316" s="75"/>
      <c r="D316" s="6"/>
      <c r="E316" s="6"/>
      <c r="F316" s="6"/>
      <c r="G316" s="6"/>
      <c r="H316" s="6"/>
      <c r="I316" s="6"/>
    </row>
    <row r="317" spans="1:9" hidden="1" x14ac:dyDescent="0.2">
      <c r="A317" s="8" t="s">
        <v>3</v>
      </c>
      <c r="B317" s="5"/>
      <c r="C317" s="75"/>
      <c r="D317" s="6"/>
      <c r="E317" s="6"/>
      <c r="F317" s="6"/>
      <c r="G317" s="6"/>
      <c r="H317" s="6"/>
      <c r="I317" s="6"/>
    </row>
    <row r="318" spans="1:9" hidden="1" x14ac:dyDescent="0.2">
      <c r="A318" s="8" t="s">
        <v>4</v>
      </c>
      <c r="B318" s="5"/>
      <c r="C318" s="75"/>
      <c r="D318" s="6"/>
      <c r="E318" s="6"/>
      <c r="F318" s="6"/>
      <c r="G318" s="6"/>
      <c r="H318" s="6"/>
      <c r="I318" s="6"/>
    </row>
    <row r="319" spans="1:9" hidden="1" x14ac:dyDescent="0.2">
      <c r="A319" s="8" t="s">
        <v>5</v>
      </c>
      <c r="B319" s="5"/>
      <c r="C319" s="75"/>
      <c r="D319" s="6"/>
      <c r="E319" s="6"/>
      <c r="F319" s="6"/>
      <c r="G319" s="6"/>
      <c r="H319" s="6"/>
      <c r="I319" s="6"/>
    </row>
    <row r="320" spans="1:9" hidden="1" x14ac:dyDescent="0.2">
      <c r="A320" s="8" t="s">
        <v>6</v>
      </c>
      <c r="B320" s="5"/>
      <c r="C320" s="75"/>
      <c r="D320" s="6"/>
      <c r="E320" s="6"/>
      <c r="F320" s="6"/>
      <c r="G320" s="6"/>
      <c r="H320" s="6"/>
      <c r="I320" s="6"/>
    </row>
    <row r="321" spans="1:9" hidden="1" x14ac:dyDescent="0.2">
      <c r="A321" s="8" t="s">
        <v>7</v>
      </c>
      <c r="B321" s="5"/>
      <c r="C321" s="75"/>
      <c r="D321" s="6"/>
      <c r="E321" s="6"/>
      <c r="F321" s="6"/>
      <c r="G321" s="6"/>
      <c r="H321" s="6"/>
      <c r="I321" s="6"/>
    </row>
    <row r="322" spans="1:9" hidden="1" x14ac:dyDescent="0.2">
      <c r="A322" s="8" t="s">
        <v>8</v>
      </c>
      <c r="B322" s="5"/>
      <c r="C322" s="75"/>
      <c r="D322" s="6"/>
      <c r="E322" s="6"/>
      <c r="F322" s="6"/>
      <c r="G322" s="6"/>
      <c r="H322" s="6"/>
      <c r="I322" s="6"/>
    </row>
    <row r="323" spans="1:9" hidden="1" x14ac:dyDescent="0.2">
      <c r="A323" s="8" t="s">
        <v>9</v>
      </c>
      <c r="B323" s="5"/>
      <c r="C323" s="75"/>
      <c r="D323" s="6"/>
      <c r="E323" s="6"/>
      <c r="F323" s="6"/>
      <c r="G323" s="6"/>
      <c r="H323" s="6"/>
      <c r="I323" s="6"/>
    </row>
    <row r="324" spans="1:9" hidden="1" x14ac:dyDescent="0.2">
      <c r="A324" s="312" t="s">
        <v>10</v>
      </c>
      <c r="B324" s="313"/>
      <c r="C324" s="313"/>
      <c r="D324" s="313"/>
      <c r="E324" s="314"/>
      <c r="F324" s="11">
        <f>SUM(F314:F323)</f>
        <v>0</v>
      </c>
      <c r="G324" s="11">
        <f>SUM(G314:G323)</f>
        <v>0</v>
      </c>
      <c r="H324" s="11">
        <f>SUM(H314:H323)</f>
        <v>0</v>
      </c>
      <c r="I324" s="11"/>
    </row>
    <row r="325" spans="1:9" hidden="1" x14ac:dyDescent="0.2">
      <c r="A325" s="8" t="s">
        <v>0</v>
      </c>
      <c r="B325" s="5">
        <f>B314+1</f>
        <v>46134</v>
      </c>
      <c r="C325" s="74"/>
      <c r="D325" s="6"/>
      <c r="E325" s="6"/>
      <c r="F325" s="6"/>
      <c r="G325" s="6"/>
      <c r="H325" s="6"/>
      <c r="I325" s="6"/>
    </row>
    <row r="326" spans="1:9" hidden="1" x14ac:dyDescent="0.2">
      <c r="A326" s="8" t="s">
        <v>1</v>
      </c>
      <c r="B326" s="5"/>
      <c r="C326" s="74"/>
      <c r="D326" s="6"/>
      <c r="E326" s="6"/>
      <c r="F326" s="6"/>
      <c r="G326" s="6"/>
      <c r="H326" s="6"/>
      <c r="I326" s="6"/>
    </row>
    <row r="327" spans="1:9" hidden="1" x14ac:dyDescent="0.2">
      <c r="A327" s="8" t="s">
        <v>2</v>
      </c>
      <c r="B327" s="5"/>
      <c r="C327" s="74"/>
      <c r="D327" s="6"/>
      <c r="E327" s="6"/>
      <c r="F327" s="6"/>
      <c r="G327" s="6"/>
      <c r="H327" s="6"/>
      <c r="I327" s="6"/>
    </row>
    <row r="328" spans="1:9" hidden="1" x14ac:dyDescent="0.2">
      <c r="A328" s="8" t="s">
        <v>3</v>
      </c>
      <c r="B328" s="5"/>
      <c r="C328" s="74"/>
      <c r="D328" s="6"/>
      <c r="E328" s="6"/>
      <c r="F328" s="6"/>
      <c r="G328" s="6"/>
      <c r="H328" s="6"/>
      <c r="I328" s="6"/>
    </row>
    <row r="329" spans="1:9" hidden="1" x14ac:dyDescent="0.2">
      <c r="A329" s="8" t="s">
        <v>4</v>
      </c>
      <c r="B329" s="5"/>
      <c r="C329" s="74"/>
      <c r="D329" s="6"/>
      <c r="E329" s="6"/>
      <c r="F329" s="6"/>
      <c r="G329" s="6"/>
      <c r="H329" s="6"/>
      <c r="I329" s="6"/>
    </row>
    <row r="330" spans="1:9" hidden="1" x14ac:dyDescent="0.2">
      <c r="A330" s="8" t="s">
        <v>5</v>
      </c>
      <c r="B330" s="5"/>
      <c r="C330" s="74"/>
      <c r="D330" s="6"/>
      <c r="E330" s="6"/>
      <c r="F330" s="6"/>
      <c r="G330" s="6"/>
      <c r="H330" s="6"/>
      <c r="I330" s="6"/>
    </row>
    <row r="331" spans="1:9" hidden="1" x14ac:dyDescent="0.2">
      <c r="A331" s="8" t="s">
        <v>6</v>
      </c>
      <c r="B331" s="5"/>
      <c r="C331" s="74"/>
      <c r="D331" s="6"/>
      <c r="E331" s="6"/>
      <c r="F331" s="6"/>
      <c r="G331" s="6"/>
      <c r="H331" s="6"/>
      <c r="I331" s="6"/>
    </row>
    <row r="332" spans="1:9" hidden="1" x14ac:dyDescent="0.2">
      <c r="A332" s="8" t="s">
        <v>7</v>
      </c>
      <c r="B332" s="5"/>
      <c r="C332" s="74"/>
      <c r="D332" s="6"/>
      <c r="E332" s="6"/>
      <c r="F332" s="6"/>
      <c r="G332" s="6"/>
      <c r="H332" s="6"/>
      <c r="I332" s="6"/>
    </row>
    <row r="333" spans="1:9" hidden="1" x14ac:dyDescent="0.2">
      <c r="A333" s="8" t="s">
        <v>8</v>
      </c>
      <c r="B333" s="5"/>
      <c r="C333" s="74"/>
      <c r="D333" s="6"/>
      <c r="E333" s="6"/>
      <c r="F333" s="6"/>
      <c r="G333" s="6"/>
      <c r="H333" s="6"/>
      <c r="I333" s="6"/>
    </row>
    <row r="334" spans="1:9" hidden="1" x14ac:dyDescent="0.2">
      <c r="A334" s="8" t="s">
        <v>9</v>
      </c>
      <c r="B334" s="5"/>
      <c r="C334" s="74"/>
      <c r="D334" s="6"/>
      <c r="E334" s="6"/>
      <c r="F334" s="6"/>
      <c r="G334" s="6"/>
      <c r="H334" s="6"/>
      <c r="I334" s="6"/>
    </row>
    <row r="335" spans="1:9" hidden="1" x14ac:dyDescent="0.2">
      <c r="A335" s="312" t="s">
        <v>10</v>
      </c>
      <c r="B335" s="313"/>
      <c r="C335" s="313"/>
      <c r="D335" s="313"/>
      <c r="E335" s="314"/>
      <c r="F335" s="11">
        <f>SUM(F325:F334)</f>
        <v>0</v>
      </c>
      <c r="G335" s="11">
        <f>SUM(G325:G334)</f>
        <v>0</v>
      </c>
      <c r="H335" s="11">
        <f>SUM(H325:H334)</f>
        <v>0</v>
      </c>
      <c r="I335" s="11"/>
    </row>
    <row r="336" spans="1:9" s="25" customFormat="1" ht="18" hidden="1" x14ac:dyDescent="0.2">
      <c r="A336" s="315" t="s">
        <v>39</v>
      </c>
      <c r="B336" s="316"/>
      <c r="C336" s="316"/>
      <c r="D336" s="316"/>
      <c r="E336" s="317"/>
      <c r="F336" s="22">
        <f>F269+F280+F291+F302+F313+F324+F335+F252</f>
        <v>57</v>
      </c>
      <c r="G336" s="22">
        <f>G269+G280+G291+G302+G313+G324+G335+G252</f>
        <v>14</v>
      </c>
      <c r="H336" s="22">
        <f>H269+H280+H291+H302+H313+H324+H335+H252</f>
        <v>374.5</v>
      </c>
      <c r="I336" s="22"/>
    </row>
    <row r="337" spans="1:9" ht="21.95" hidden="1" customHeight="1" x14ac:dyDescent="0.2">
      <c r="A337" s="319" t="s">
        <v>14</v>
      </c>
      <c r="B337" s="319"/>
      <c r="C337" s="319"/>
      <c r="D337" s="319"/>
      <c r="E337" s="319"/>
      <c r="F337" s="319"/>
      <c r="G337" s="319"/>
      <c r="H337" s="319"/>
      <c r="I337" s="319"/>
    </row>
    <row r="338" spans="1:9" s="53" customFormat="1" ht="20.100000000000001" hidden="1" customHeight="1" x14ac:dyDescent="0.2">
      <c r="A338" s="323" t="s">
        <v>86</v>
      </c>
      <c r="B338" s="323"/>
      <c r="C338" s="323"/>
      <c r="D338" s="323"/>
      <c r="E338" s="323"/>
      <c r="F338" s="50" t="str">
        <f>F254</f>
        <v>เมษายน</v>
      </c>
      <c r="G338" s="50" t="s">
        <v>87</v>
      </c>
      <c r="H338" s="51">
        <f>H254</f>
        <v>2569</v>
      </c>
      <c r="I338" s="52"/>
    </row>
    <row r="339" spans="1:9" s="3" customFormat="1" ht="20.100000000000001" hidden="1" customHeight="1" x14ac:dyDescent="0.35">
      <c r="A339" s="318" t="s">
        <v>31</v>
      </c>
      <c r="B339" s="318"/>
      <c r="C339" s="318"/>
      <c r="D339" s="2"/>
      <c r="F339" s="4"/>
      <c r="G339" s="4"/>
      <c r="H339" s="4" t="s">
        <v>21</v>
      </c>
      <c r="I339" s="40">
        <f>I255+1</f>
        <v>5</v>
      </c>
    </row>
    <row r="340" spans="1:9" s="3" customFormat="1" ht="20.100000000000001" hidden="1" customHeight="1" x14ac:dyDescent="0.35">
      <c r="A340" s="311" t="s">
        <v>60</v>
      </c>
      <c r="B340" s="311"/>
      <c r="C340" s="311"/>
      <c r="D340" s="2"/>
      <c r="E340" s="39" t="s">
        <v>81</v>
      </c>
      <c r="F340" s="308">
        <f>$F$4</f>
        <v>46107</v>
      </c>
      <c r="G340" s="308"/>
      <c r="H340" s="39" t="s">
        <v>82</v>
      </c>
      <c r="I340" s="34">
        <f>$I$4</f>
        <v>46136</v>
      </c>
    </row>
    <row r="341" spans="1:9" hidden="1" x14ac:dyDescent="0.2">
      <c r="A341" s="12" t="s">
        <v>23</v>
      </c>
      <c r="B341" s="13" t="s">
        <v>11</v>
      </c>
      <c r="C341" s="72" t="s">
        <v>26</v>
      </c>
      <c r="D341" s="12" t="s">
        <v>16</v>
      </c>
      <c r="E341" s="12" t="s">
        <v>17</v>
      </c>
      <c r="F341" s="310" t="s">
        <v>46</v>
      </c>
      <c r="G341" s="310"/>
      <c r="H341" s="310"/>
      <c r="I341" s="12" t="s">
        <v>19</v>
      </c>
    </row>
    <row r="342" spans="1:9" hidden="1" x14ac:dyDescent="0.2">
      <c r="A342" s="15"/>
      <c r="B342" s="16"/>
      <c r="C342" s="73"/>
      <c r="D342" s="15"/>
      <c r="E342" s="15"/>
      <c r="F342" s="21" t="s">
        <v>113</v>
      </c>
      <c r="G342" s="21" t="s">
        <v>114</v>
      </c>
      <c r="H342" s="21" t="s">
        <v>20</v>
      </c>
      <c r="I342" s="15"/>
    </row>
    <row r="343" spans="1:9" hidden="1" x14ac:dyDescent="0.2">
      <c r="A343" s="8" t="s">
        <v>0</v>
      </c>
      <c r="B343" s="5">
        <f>B325+1</f>
        <v>46135</v>
      </c>
      <c r="C343" s="74"/>
      <c r="D343" s="6"/>
      <c r="E343" s="6"/>
      <c r="F343" s="6"/>
      <c r="G343" s="6"/>
      <c r="H343" s="6"/>
      <c r="I343" s="6"/>
    </row>
    <row r="344" spans="1:9" hidden="1" x14ac:dyDescent="0.2">
      <c r="A344" s="8" t="s">
        <v>1</v>
      </c>
      <c r="B344" s="5"/>
      <c r="C344" s="74"/>
      <c r="D344" s="6"/>
      <c r="E344" s="6"/>
      <c r="F344" s="6"/>
      <c r="G344" s="6"/>
      <c r="H344" s="6"/>
      <c r="I344" s="6"/>
    </row>
    <row r="345" spans="1:9" hidden="1" x14ac:dyDescent="0.2">
      <c r="A345" s="8" t="s">
        <v>2</v>
      </c>
      <c r="B345" s="5"/>
      <c r="C345" s="74"/>
      <c r="D345" s="6"/>
      <c r="E345" s="6"/>
      <c r="F345" s="6"/>
      <c r="G345" s="6"/>
      <c r="H345" s="6"/>
      <c r="I345" s="6"/>
    </row>
    <row r="346" spans="1:9" hidden="1" x14ac:dyDescent="0.2">
      <c r="A346" s="8" t="s">
        <v>3</v>
      </c>
      <c r="B346" s="5"/>
      <c r="C346" s="74"/>
      <c r="D346" s="6"/>
      <c r="E346" s="6"/>
      <c r="F346" s="6"/>
      <c r="G346" s="6"/>
      <c r="H346" s="6"/>
      <c r="I346" s="6"/>
    </row>
    <row r="347" spans="1:9" hidden="1" x14ac:dyDescent="0.2">
      <c r="A347" s="8" t="s">
        <v>4</v>
      </c>
      <c r="B347" s="5"/>
      <c r="C347" s="74"/>
      <c r="D347" s="6"/>
      <c r="E347" s="6"/>
      <c r="F347" s="6"/>
      <c r="G347" s="6"/>
      <c r="H347" s="6"/>
      <c r="I347" s="6"/>
    </row>
    <row r="348" spans="1:9" hidden="1" x14ac:dyDescent="0.2">
      <c r="A348" s="8" t="s">
        <v>5</v>
      </c>
      <c r="B348" s="5"/>
      <c r="C348" s="74"/>
      <c r="D348" s="6"/>
      <c r="E348" s="6"/>
      <c r="F348" s="6"/>
      <c r="G348" s="6"/>
      <c r="H348" s="6"/>
      <c r="I348" s="6"/>
    </row>
    <row r="349" spans="1:9" hidden="1" x14ac:dyDescent="0.2">
      <c r="A349" s="8" t="s">
        <v>6</v>
      </c>
      <c r="B349" s="5"/>
      <c r="C349" s="74"/>
      <c r="D349" s="6"/>
      <c r="E349" s="6"/>
      <c r="F349" s="6"/>
      <c r="G349" s="6"/>
      <c r="H349" s="6"/>
      <c r="I349" s="6"/>
    </row>
    <row r="350" spans="1:9" hidden="1" x14ac:dyDescent="0.2">
      <c r="A350" s="8" t="s">
        <v>7</v>
      </c>
      <c r="B350" s="5"/>
      <c r="C350" s="74"/>
      <c r="D350" s="6"/>
      <c r="E350" s="6"/>
      <c r="F350" s="6"/>
      <c r="G350" s="6"/>
      <c r="H350" s="6"/>
      <c r="I350" s="6"/>
    </row>
    <row r="351" spans="1:9" hidden="1" x14ac:dyDescent="0.2">
      <c r="A351" s="8" t="s">
        <v>8</v>
      </c>
      <c r="B351" s="5"/>
      <c r="C351" s="74"/>
      <c r="D351" s="6"/>
      <c r="E351" s="6"/>
      <c r="F351" s="6"/>
      <c r="G351" s="6"/>
      <c r="H351" s="6"/>
      <c r="I351" s="6"/>
    </row>
    <row r="352" spans="1:9" hidden="1" x14ac:dyDescent="0.2">
      <c r="A352" s="8" t="s">
        <v>9</v>
      </c>
      <c r="B352" s="5"/>
      <c r="C352" s="74"/>
      <c r="D352" s="6"/>
      <c r="E352" s="6"/>
      <c r="F352" s="6"/>
      <c r="G352" s="6"/>
      <c r="H352" s="6"/>
      <c r="I352" s="6"/>
    </row>
    <row r="353" spans="1:9" hidden="1" x14ac:dyDescent="0.2">
      <c r="A353" s="312" t="s">
        <v>10</v>
      </c>
      <c r="B353" s="313"/>
      <c r="C353" s="313"/>
      <c r="D353" s="313"/>
      <c r="E353" s="314"/>
      <c r="F353" s="11">
        <f>SUM(F343:F352)</f>
        <v>0</v>
      </c>
      <c r="G353" s="11">
        <f>SUM(G343:G352)</f>
        <v>0</v>
      </c>
      <c r="H353" s="11">
        <f>SUM(H343:H352)</f>
        <v>0</v>
      </c>
      <c r="I353" s="11"/>
    </row>
    <row r="354" spans="1:9" hidden="1" x14ac:dyDescent="0.2">
      <c r="A354" s="8" t="s">
        <v>0</v>
      </c>
      <c r="B354" s="5">
        <f>B343+1</f>
        <v>46136</v>
      </c>
      <c r="C354" s="74"/>
      <c r="D354" s="6"/>
      <c r="E354" s="6"/>
      <c r="F354" s="6"/>
      <c r="G354" s="6"/>
      <c r="H354" s="6"/>
      <c r="I354" s="6"/>
    </row>
    <row r="355" spans="1:9" hidden="1" x14ac:dyDescent="0.2">
      <c r="A355" s="8" t="s">
        <v>1</v>
      </c>
      <c r="B355" s="5"/>
      <c r="C355" s="74"/>
      <c r="D355" s="6"/>
      <c r="E355" s="6"/>
      <c r="F355" s="6"/>
      <c r="G355" s="6"/>
      <c r="H355" s="6"/>
      <c r="I355" s="6"/>
    </row>
    <row r="356" spans="1:9" hidden="1" x14ac:dyDescent="0.2">
      <c r="A356" s="8" t="s">
        <v>2</v>
      </c>
      <c r="B356" s="5"/>
      <c r="C356" s="74"/>
      <c r="D356" s="6"/>
      <c r="E356" s="6"/>
      <c r="F356" s="6"/>
      <c r="G356" s="6"/>
      <c r="H356" s="6"/>
      <c r="I356" s="6"/>
    </row>
    <row r="357" spans="1:9" hidden="1" x14ac:dyDescent="0.2">
      <c r="A357" s="8" t="s">
        <v>3</v>
      </c>
      <c r="B357" s="5"/>
      <c r="C357" s="74"/>
      <c r="D357" s="6"/>
      <c r="E357" s="6"/>
      <c r="F357" s="6"/>
      <c r="G357" s="6"/>
      <c r="H357" s="6"/>
      <c r="I357" s="6"/>
    </row>
    <row r="358" spans="1:9" hidden="1" x14ac:dyDescent="0.2">
      <c r="A358" s="8" t="s">
        <v>4</v>
      </c>
      <c r="B358" s="5"/>
      <c r="C358" s="74"/>
      <c r="D358" s="6"/>
      <c r="E358" s="6"/>
      <c r="F358" s="6"/>
      <c r="G358" s="6"/>
      <c r="H358" s="6"/>
      <c r="I358" s="6"/>
    </row>
    <row r="359" spans="1:9" hidden="1" x14ac:dyDescent="0.2">
      <c r="A359" s="8" t="s">
        <v>5</v>
      </c>
      <c r="B359" s="5"/>
      <c r="C359" s="74"/>
      <c r="D359" s="6"/>
      <c r="E359" s="6"/>
      <c r="F359" s="6"/>
      <c r="G359" s="6"/>
      <c r="H359" s="6"/>
      <c r="I359" s="6"/>
    </row>
    <row r="360" spans="1:9" hidden="1" x14ac:dyDescent="0.2">
      <c r="A360" s="8" t="s">
        <v>6</v>
      </c>
      <c r="B360" s="5"/>
      <c r="C360" s="74"/>
      <c r="D360" s="6"/>
      <c r="E360" s="6"/>
      <c r="F360" s="6"/>
      <c r="G360" s="6"/>
      <c r="H360" s="6"/>
      <c r="I360" s="6"/>
    </row>
    <row r="361" spans="1:9" hidden="1" x14ac:dyDescent="0.2">
      <c r="A361" s="8" t="s">
        <v>7</v>
      </c>
      <c r="B361" s="5"/>
      <c r="C361" s="74"/>
      <c r="D361" s="6"/>
      <c r="E361" s="6"/>
      <c r="F361" s="6"/>
      <c r="G361" s="6"/>
      <c r="H361" s="6"/>
      <c r="I361" s="6"/>
    </row>
    <row r="362" spans="1:9" hidden="1" x14ac:dyDescent="0.2">
      <c r="A362" s="8" t="s">
        <v>8</v>
      </c>
      <c r="B362" s="5"/>
      <c r="C362" s="74"/>
      <c r="D362" s="6"/>
      <c r="E362" s="6"/>
      <c r="F362" s="6"/>
      <c r="G362" s="6"/>
      <c r="H362" s="6"/>
      <c r="I362" s="6"/>
    </row>
    <row r="363" spans="1:9" hidden="1" x14ac:dyDescent="0.2">
      <c r="A363" s="8" t="s">
        <v>9</v>
      </c>
      <c r="B363" s="5"/>
      <c r="C363" s="74"/>
      <c r="D363" s="6"/>
      <c r="E363" s="6"/>
      <c r="F363" s="6"/>
      <c r="G363" s="6"/>
      <c r="H363" s="6"/>
      <c r="I363" s="6"/>
    </row>
    <row r="364" spans="1:9" hidden="1" x14ac:dyDescent="0.2">
      <c r="A364" s="312" t="s">
        <v>10</v>
      </c>
      <c r="B364" s="313"/>
      <c r="C364" s="313"/>
      <c r="D364" s="313"/>
      <c r="E364" s="314"/>
      <c r="F364" s="11">
        <f>SUM(F354:F363)</f>
        <v>0</v>
      </c>
      <c r="G364" s="11">
        <f>SUM(G354:G363)</f>
        <v>0</v>
      </c>
      <c r="H364" s="11">
        <f>SUM(H354:H363)</f>
        <v>0</v>
      </c>
      <c r="I364" s="11"/>
    </row>
    <row r="365" spans="1:9" hidden="1" x14ac:dyDescent="0.2">
      <c r="A365" s="8">
        <v>1</v>
      </c>
      <c r="B365" s="5">
        <f>B354+1</f>
        <v>46137</v>
      </c>
      <c r="C365" s="74"/>
      <c r="D365" s="6"/>
      <c r="E365" s="6"/>
      <c r="F365" s="6"/>
      <c r="G365" s="6"/>
      <c r="H365" s="6"/>
      <c r="I365" s="6"/>
    </row>
    <row r="366" spans="1:9" hidden="1" x14ac:dyDescent="0.2">
      <c r="A366" s="8">
        <v>2</v>
      </c>
      <c r="B366" s="5"/>
      <c r="C366" s="74"/>
      <c r="D366" s="6"/>
      <c r="E366" s="6"/>
      <c r="F366" s="6"/>
      <c r="G366" s="6"/>
      <c r="H366" s="6"/>
      <c r="I366" s="6"/>
    </row>
    <row r="367" spans="1:9" hidden="1" x14ac:dyDescent="0.2">
      <c r="A367" s="8">
        <v>3</v>
      </c>
      <c r="B367" s="5"/>
      <c r="C367" s="74"/>
      <c r="D367" s="6"/>
      <c r="E367" s="6"/>
      <c r="F367" s="6"/>
      <c r="G367" s="6"/>
      <c r="H367" s="6"/>
      <c r="I367" s="6"/>
    </row>
    <row r="368" spans="1:9" hidden="1" x14ac:dyDescent="0.2">
      <c r="A368" s="8">
        <v>4</v>
      </c>
      <c r="B368" s="5"/>
      <c r="C368" s="74"/>
      <c r="D368" s="6"/>
      <c r="E368" s="6"/>
      <c r="F368" s="6"/>
      <c r="G368" s="6"/>
      <c r="H368" s="6"/>
      <c r="I368" s="6"/>
    </row>
    <row r="369" spans="1:9" hidden="1" x14ac:dyDescent="0.2">
      <c r="A369" s="8">
        <v>5</v>
      </c>
      <c r="B369" s="5"/>
      <c r="C369" s="74"/>
      <c r="D369" s="6"/>
      <c r="E369" s="6"/>
      <c r="F369" s="6"/>
      <c r="G369" s="6"/>
      <c r="H369" s="6"/>
      <c r="I369" s="6"/>
    </row>
    <row r="370" spans="1:9" hidden="1" x14ac:dyDescent="0.2">
      <c r="A370" s="8">
        <v>6</v>
      </c>
      <c r="B370" s="5"/>
      <c r="C370" s="74"/>
      <c r="D370" s="6"/>
      <c r="E370" s="6"/>
      <c r="F370" s="6"/>
      <c r="G370" s="6"/>
      <c r="H370" s="6"/>
      <c r="I370" s="6"/>
    </row>
    <row r="371" spans="1:9" hidden="1" x14ac:dyDescent="0.2">
      <c r="A371" s="8">
        <v>7</v>
      </c>
      <c r="B371" s="5"/>
      <c r="C371" s="74"/>
      <c r="D371" s="6"/>
      <c r="E371" s="6"/>
      <c r="F371" s="6"/>
      <c r="G371" s="6"/>
      <c r="H371" s="6"/>
      <c r="I371" s="6"/>
    </row>
    <row r="372" spans="1:9" hidden="1" x14ac:dyDescent="0.2">
      <c r="A372" s="8">
        <v>8</v>
      </c>
      <c r="B372" s="5"/>
      <c r="C372" s="74"/>
      <c r="D372" s="6"/>
      <c r="E372" s="6"/>
      <c r="F372" s="6"/>
      <c r="G372" s="6"/>
      <c r="H372" s="6"/>
      <c r="I372" s="6"/>
    </row>
    <row r="373" spans="1:9" hidden="1" x14ac:dyDescent="0.2">
      <c r="A373" s="8">
        <v>9</v>
      </c>
      <c r="B373" s="5"/>
      <c r="C373" s="74"/>
      <c r="D373" s="6"/>
      <c r="E373" s="6"/>
      <c r="F373" s="6"/>
      <c r="G373" s="6"/>
      <c r="H373" s="6"/>
      <c r="I373" s="6"/>
    </row>
    <row r="374" spans="1:9" hidden="1" x14ac:dyDescent="0.2">
      <c r="A374" s="8">
        <v>10</v>
      </c>
      <c r="B374" s="5"/>
      <c r="C374" s="74"/>
      <c r="D374" s="6"/>
      <c r="E374" s="6"/>
      <c r="F374" s="6"/>
      <c r="G374" s="6"/>
      <c r="H374" s="6"/>
      <c r="I374" s="6"/>
    </row>
    <row r="375" spans="1:9" hidden="1" x14ac:dyDescent="0.2">
      <c r="A375" s="312"/>
      <c r="B375" s="313"/>
      <c r="C375" s="313"/>
      <c r="D375" s="313"/>
      <c r="E375" s="314"/>
      <c r="F375" s="11">
        <f>SUM(F365:F374)</f>
        <v>0</v>
      </c>
      <c r="G375" s="11">
        <f>SUM(G365:G374)</f>
        <v>0</v>
      </c>
      <c r="H375" s="11">
        <f>SUM(H365:H374)</f>
        <v>0</v>
      </c>
      <c r="I375" s="11"/>
    </row>
    <row r="376" spans="1:9" hidden="1" x14ac:dyDescent="0.2">
      <c r="A376" s="8" t="s">
        <v>0</v>
      </c>
      <c r="B376" s="5">
        <f>B365+1</f>
        <v>46138</v>
      </c>
      <c r="C376" s="75"/>
      <c r="D376" s="6"/>
      <c r="E376" s="6"/>
      <c r="F376" s="6"/>
      <c r="G376" s="6"/>
      <c r="H376" s="6"/>
      <c r="I376" s="6"/>
    </row>
    <row r="377" spans="1:9" hidden="1" x14ac:dyDescent="0.2">
      <c r="A377" s="8" t="s">
        <v>1</v>
      </c>
      <c r="B377" s="5"/>
      <c r="C377" s="75"/>
      <c r="D377" s="6"/>
      <c r="E377" s="6"/>
      <c r="F377" s="6"/>
      <c r="G377" s="6"/>
      <c r="H377" s="6"/>
      <c r="I377" s="6"/>
    </row>
    <row r="378" spans="1:9" hidden="1" x14ac:dyDescent="0.2">
      <c r="A378" s="8" t="s">
        <v>2</v>
      </c>
      <c r="B378" s="5"/>
      <c r="C378" s="75"/>
      <c r="D378" s="6"/>
      <c r="E378" s="6"/>
      <c r="F378" s="6"/>
      <c r="G378" s="6"/>
      <c r="H378" s="6"/>
      <c r="I378" s="6"/>
    </row>
    <row r="379" spans="1:9" hidden="1" x14ac:dyDescent="0.2">
      <c r="A379" s="8" t="s">
        <v>3</v>
      </c>
      <c r="B379" s="5"/>
      <c r="C379" s="75"/>
      <c r="D379" s="6"/>
      <c r="E379" s="6"/>
      <c r="F379" s="6"/>
      <c r="G379" s="6"/>
      <c r="H379" s="6"/>
      <c r="I379" s="6"/>
    </row>
    <row r="380" spans="1:9" hidden="1" x14ac:dyDescent="0.2">
      <c r="A380" s="8" t="s">
        <v>4</v>
      </c>
      <c r="B380" s="5"/>
      <c r="C380" s="75"/>
      <c r="D380" s="6"/>
      <c r="E380" s="6"/>
      <c r="F380" s="6"/>
      <c r="G380" s="6"/>
      <c r="H380" s="6"/>
      <c r="I380" s="6"/>
    </row>
    <row r="381" spans="1:9" hidden="1" x14ac:dyDescent="0.2">
      <c r="A381" s="8" t="s">
        <v>5</v>
      </c>
      <c r="B381" s="5"/>
      <c r="C381" s="75"/>
      <c r="D381" s="6"/>
      <c r="E381" s="6"/>
      <c r="F381" s="6"/>
      <c r="G381" s="6"/>
      <c r="H381" s="6"/>
      <c r="I381" s="6"/>
    </row>
    <row r="382" spans="1:9" hidden="1" x14ac:dyDescent="0.2">
      <c r="A382" s="8" t="s">
        <v>6</v>
      </c>
      <c r="B382" s="5"/>
      <c r="C382" s="75"/>
      <c r="D382" s="6"/>
      <c r="E382" s="6"/>
      <c r="F382" s="6"/>
      <c r="G382" s="6"/>
      <c r="H382" s="6"/>
      <c r="I382" s="6"/>
    </row>
    <row r="383" spans="1:9" hidden="1" x14ac:dyDescent="0.2">
      <c r="A383" s="8" t="s">
        <v>7</v>
      </c>
      <c r="B383" s="5"/>
      <c r="C383" s="74"/>
      <c r="D383" s="6"/>
      <c r="E383" s="6"/>
      <c r="F383" s="6"/>
      <c r="G383" s="6"/>
      <c r="H383" s="6"/>
      <c r="I383" s="6"/>
    </row>
    <row r="384" spans="1:9" hidden="1" x14ac:dyDescent="0.2">
      <c r="A384" s="8" t="s">
        <v>8</v>
      </c>
      <c r="B384" s="5"/>
      <c r="C384" s="74"/>
      <c r="D384" s="6"/>
      <c r="E384" s="6"/>
      <c r="F384" s="6"/>
      <c r="G384" s="6"/>
      <c r="H384" s="6"/>
      <c r="I384" s="6"/>
    </row>
    <row r="385" spans="1:9" hidden="1" x14ac:dyDescent="0.2">
      <c r="A385" s="8" t="s">
        <v>9</v>
      </c>
      <c r="B385" s="5"/>
      <c r="C385" s="74"/>
      <c r="D385" s="6"/>
      <c r="E385" s="6"/>
      <c r="F385" s="6"/>
      <c r="G385" s="6"/>
      <c r="H385" s="6"/>
      <c r="I385" s="6"/>
    </row>
    <row r="386" spans="1:9" hidden="1" x14ac:dyDescent="0.2">
      <c r="A386" s="312" t="s">
        <v>10</v>
      </c>
      <c r="B386" s="313"/>
      <c r="C386" s="313"/>
      <c r="D386" s="313"/>
      <c r="E386" s="314"/>
      <c r="F386" s="11">
        <f>SUM(F376:F385)</f>
        <v>0</v>
      </c>
      <c r="G386" s="11">
        <f>SUM(G376:G385)</f>
        <v>0</v>
      </c>
      <c r="H386" s="11">
        <f>SUM(H376:H385)</f>
        <v>0</v>
      </c>
      <c r="I386" s="11"/>
    </row>
    <row r="387" spans="1:9" hidden="1" x14ac:dyDescent="0.2">
      <c r="A387" s="8" t="s">
        <v>0</v>
      </c>
      <c r="B387" s="5">
        <f>B376+1</f>
        <v>46139</v>
      </c>
      <c r="C387" s="75"/>
      <c r="D387" s="6"/>
      <c r="E387" s="6"/>
      <c r="F387" s="6"/>
      <c r="G387" s="6"/>
      <c r="H387" s="6"/>
      <c r="I387" s="6"/>
    </row>
    <row r="388" spans="1:9" hidden="1" x14ac:dyDescent="0.2">
      <c r="A388" s="8" t="s">
        <v>1</v>
      </c>
      <c r="B388" s="5"/>
      <c r="C388" s="75"/>
      <c r="D388" s="6"/>
      <c r="E388" s="6"/>
      <c r="F388" s="6"/>
      <c r="G388" s="6"/>
      <c r="H388" s="6"/>
      <c r="I388" s="6"/>
    </row>
    <row r="389" spans="1:9" hidden="1" x14ac:dyDescent="0.2">
      <c r="A389" s="8" t="s">
        <v>2</v>
      </c>
      <c r="B389" s="5"/>
      <c r="C389" s="75"/>
      <c r="D389" s="6"/>
      <c r="E389" s="6"/>
      <c r="F389" s="6"/>
      <c r="G389" s="6"/>
      <c r="H389" s="6"/>
      <c r="I389" s="6"/>
    </row>
    <row r="390" spans="1:9" hidden="1" x14ac:dyDescent="0.2">
      <c r="A390" s="8" t="s">
        <v>3</v>
      </c>
      <c r="B390" s="5"/>
      <c r="C390" s="75"/>
      <c r="D390" s="6"/>
      <c r="E390" s="6"/>
      <c r="F390" s="6"/>
      <c r="G390" s="6"/>
      <c r="H390" s="6"/>
      <c r="I390" s="6"/>
    </row>
    <row r="391" spans="1:9" hidden="1" x14ac:dyDescent="0.2">
      <c r="A391" s="8" t="s">
        <v>4</v>
      </c>
      <c r="B391" s="5"/>
      <c r="C391" s="75"/>
      <c r="D391" s="6"/>
      <c r="E391" s="6"/>
      <c r="F391" s="6"/>
      <c r="G391" s="6"/>
      <c r="H391" s="6"/>
      <c r="I391" s="6"/>
    </row>
    <row r="392" spans="1:9" hidden="1" x14ac:dyDescent="0.2">
      <c r="A392" s="8" t="s">
        <v>5</v>
      </c>
      <c r="B392" s="5"/>
      <c r="C392" s="75"/>
      <c r="D392" s="6"/>
      <c r="E392" s="6"/>
      <c r="F392" s="6"/>
      <c r="G392" s="6"/>
      <c r="H392" s="6"/>
      <c r="I392" s="6"/>
    </row>
    <row r="393" spans="1:9" hidden="1" x14ac:dyDescent="0.2">
      <c r="A393" s="8" t="s">
        <v>6</v>
      </c>
      <c r="B393" s="5"/>
      <c r="C393" s="74"/>
      <c r="D393" s="6"/>
      <c r="E393" s="6"/>
      <c r="F393" s="6"/>
      <c r="G393" s="6"/>
      <c r="H393" s="6"/>
      <c r="I393" s="6"/>
    </row>
    <row r="394" spans="1:9" hidden="1" x14ac:dyDescent="0.2">
      <c r="A394" s="8" t="s">
        <v>7</v>
      </c>
      <c r="B394" s="5"/>
      <c r="C394" s="74"/>
      <c r="D394" s="6"/>
      <c r="E394" s="6"/>
      <c r="F394" s="6"/>
      <c r="G394" s="6"/>
      <c r="H394" s="6"/>
      <c r="I394" s="6"/>
    </row>
    <row r="395" spans="1:9" hidden="1" x14ac:dyDescent="0.2">
      <c r="A395" s="8" t="s">
        <v>8</v>
      </c>
      <c r="B395" s="5"/>
      <c r="C395" s="74"/>
      <c r="D395" s="6"/>
      <c r="E395" s="6"/>
      <c r="F395" s="6"/>
      <c r="G395" s="6"/>
      <c r="H395" s="6"/>
      <c r="I395" s="6"/>
    </row>
    <row r="396" spans="1:9" hidden="1" x14ac:dyDescent="0.2">
      <c r="A396" s="8" t="s">
        <v>9</v>
      </c>
      <c r="B396" s="5"/>
      <c r="C396" s="74"/>
      <c r="D396" s="6"/>
      <c r="E396" s="6"/>
      <c r="F396" s="6"/>
      <c r="G396" s="6"/>
      <c r="H396" s="6"/>
      <c r="I396" s="6"/>
    </row>
    <row r="397" spans="1:9" hidden="1" x14ac:dyDescent="0.2">
      <c r="A397" s="312" t="s">
        <v>10</v>
      </c>
      <c r="B397" s="313"/>
      <c r="C397" s="313"/>
      <c r="D397" s="313"/>
      <c r="E397" s="314"/>
      <c r="F397" s="11">
        <f>SUM(F387:F396)</f>
        <v>0</v>
      </c>
      <c r="G397" s="11">
        <f>SUM(G387:G396)</f>
        <v>0</v>
      </c>
      <c r="H397" s="11">
        <f>SUM(H387:H396)</f>
        <v>0</v>
      </c>
      <c r="I397" s="11"/>
    </row>
    <row r="398" spans="1:9" hidden="1" x14ac:dyDescent="0.2">
      <c r="A398" s="8" t="s">
        <v>0</v>
      </c>
      <c r="B398" s="5">
        <f>B387+1</f>
        <v>46140</v>
      </c>
      <c r="C398" s="75"/>
      <c r="D398" s="6"/>
      <c r="E398" s="6"/>
      <c r="F398" s="6"/>
      <c r="G398" s="6"/>
      <c r="H398" s="6"/>
      <c r="I398" s="6"/>
    </row>
    <row r="399" spans="1:9" hidden="1" x14ac:dyDescent="0.2">
      <c r="A399" s="8" t="s">
        <v>1</v>
      </c>
      <c r="B399" s="5"/>
      <c r="C399" s="75"/>
      <c r="D399" s="6"/>
      <c r="E399" s="6"/>
      <c r="F399" s="6"/>
      <c r="G399" s="6"/>
      <c r="H399" s="6"/>
      <c r="I399" s="6"/>
    </row>
    <row r="400" spans="1:9" hidden="1" x14ac:dyDescent="0.2">
      <c r="A400" s="8" t="s">
        <v>2</v>
      </c>
      <c r="B400" s="5"/>
      <c r="C400" s="75"/>
      <c r="D400" s="6"/>
      <c r="E400" s="6"/>
      <c r="F400" s="6"/>
      <c r="G400" s="6"/>
      <c r="H400" s="6"/>
      <c r="I400" s="6"/>
    </row>
    <row r="401" spans="1:9" hidden="1" x14ac:dyDescent="0.2">
      <c r="A401" s="8" t="s">
        <v>3</v>
      </c>
      <c r="B401" s="5"/>
      <c r="C401" s="75"/>
      <c r="D401" s="6"/>
      <c r="E401" s="6"/>
      <c r="F401" s="6"/>
      <c r="G401" s="6"/>
      <c r="H401" s="6"/>
      <c r="I401" s="6"/>
    </row>
    <row r="402" spans="1:9" hidden="1" x14ac:dyDescent="0.2">
      <c r="A402" s="8" t="s">
        <v>4</v>
      </c>
      <c r="B402" s="5"/>
      <c r="C402" s="75"/>
      <c r="D402" s="6"/>
      <c r="E402" s="6"/>
      <c r="F402" s="6"/>
      <c r="G402" s="6"/>
      <c r="H402" s="6"/>
      <c r="I402" s="6"/>
    </row>
    <row r="403" spans="1:9" hidden="1" x14ac:dyDescent="0.2">
      <c r="A403" s="8" t="s">
        <v>5</v>
      </c>
      <c r="B403" s="5"/>
      <c r="C403" s="75"/>
      <c r="D403" s="6"/>
      <c r="E403" s="6"/>
      <c r="F403" s="6"/>
      <c r="G403" s="6"/>
      <c r="H403" s="6"/>
      <c r="I403" s="6"/>
    </row>
    <row r="404" spans="1:9" hidden="1" x14ac:dyDescent="0.2">
      <c r="A404" s="8" t="s">
        <v>6</v>
      </c>
      <c r="B404" s="5"/>
      <c r="C404" s="75"/>
      <c r="D404" s="6"/>
      <c r="E404" s="6"/>
      <c r="F404" s="6"/>
      <c r="G404" s="6"/>
      <c r="H404" s="6"/>
      <c r="I404" s="6"/>
    </row>
    <row r="405" spans="1:9" hidden="1" x14ac:dyDescent="0.2">
      <c r="A405" s="8" t="s">
        <v>7</v>
      </c>
      <c r="B405" s="5"/>
      <c r="C405" s="75"/>
      <c r="D405" s="6"/>
      <c r="E405" s="6"/>
      <c r="F405" s="6"/>
      <c r="G405" s="6"/>
      <c r="H405" s="6"/>
      <c r="I405" s="6"/>
    </row>
    <row r="406" spans="1:9" hidden="1" x14ac:dyDescent="0.2">
      <c r="A406" s="8" t="s">
        <v>8</v>
      </c>
      <c r="B406" s="5"/>
      <c r="C406" s="75"/>
      <c r="D406" s="6"/>
      <c r="E406" s="6"/>
      <c r="F406" s="6"/>
      <c r="G406" s="6"/>
      <c r="H406" s="6"/>
      <c r="I406" s="6"/>
    </row>
    <row r="407" spans="1:9" hidden="1" x14ac:dyDescent="0.2">
      <c r="A407" s="8" t="s">
        <v>9</v>
      </c>
      <c r="B407" s="5"/>
      <c r="C407" s="75"/>
      <c r="D407" s="6"/>
      <c r="E407" s="6"/>
      <c r="F407" s="6"/>
      <c r="G407" s="6"/>
      <c r="H407" s="6"/>
      <c r="I407" s="6"/>
    </row>
    <row r="408" spans="1:9" hidden="1" x14ac:dyDescent="0.2">
      <c r="A408" s="312" t="s">
        <v>10</v>
      </c>
      <c r="B408" s="313"/>
      <c r="C408" s="313"/>
      <c r="D408" s="313"/>
      <c r="E408" s="314"/>
      <c r="F408" s="11">
        <f>SUM(F398:F407)</f>
        <v>0</v>
      </c>
      <c r="G408" s="11">
        <f>SUM(G398:G407)</f>
        <v>0</v>
      </c>
      <c r="H408" s="11">
        <f>SUM(H398:H407)</f>
        <v>0</v>
      </c>
      <c r="I408" s="11"/>
    </row>
    <row r="409" spans="1:9" hidden="1" x14ac:dyDescent="0.2">
      <c r="A409" s="8" t="s">
        <v>0</v>
      </c>
      <c r="B409" s="5">
        <f>B398+1</f>
        <v>46141</v>
      </c>
      <c r="C409" s="74"/>
      <c r="D409" s="6"/>
      <c r="E409" s="6"/>
      <c r="F409" s="6"/>
      <c r="G409" s="6"/>
      <c r="H409" s="6"/>
      <c r="I409" s="6"/>
    </row>
    <row r="410" spans="1:9" hidden="1" x14ac:dyDescent="0.2">
      <c r="A410" s="8" t="s">
        <v>1</v>
      </c>
      <c r="B410" s="5"/>
      <c r="C410" s="74"/>
      <c r="D410" s="6"/>
      <c r="E410" s="6"/>
      <c r="F410" s="6"/>
      <c r="G410" s="6"/>
      <c r="H410" s="6"/>
      <c r="I410" s="6"/>
    </row>
    <row r="411" spans="1:9" hidden="1" x14ac:dyDescent="0.2">
      <c r="A411" s="8" t="s">
        <v>2</v>
      </c>
      <c r="B411" s="5"/>
      <c r="C411" s="74"/>
      <c r="D411" s="6"/>
      <c r="E411" s="6"/>
      <c r="F411" s="6"/>
      <c r="G411" s="6"/>
      <c r="H411" s="6"/>
      <c r="I411" s="6"/>
    </row>
    <row r="412" spans="1:9" hidden="1" x14ac:dyDescent="0.2">
      <c r="A412" s="8" t="s">
        <v>3</v>
      </c>
      <c r="B412" s="5"/>
      <c r="C412" s="74"/>
      <c r="D412" s="6"/>
      <c r="E412" s="6"/>
      <c r="F412" s="6"/>
      <c r="G412" s="6"/>
      <c r="H412" s="6"/>
      <c r="I412" s="6"/>
    </row>
    <row r="413" spans="1:9" hidden="1" x14ac:dyDescent="0.2">
      <c r="A413" s="8" t="s">
        <v>4</v>
      </c>
      <c r="B413" s="5"/>
      <c r="C413" s="74"/>
      <c r="D413" s="6"/>
      <c r="E413" s="6"/>
      <c r="F413" s="6"/>
      <c r="G413" s="6"/>
      <c r="H413" s="6"/>
      <c r="I413" s="6"/>
    </row>
    <row r="414" spans="1:9" hidden="1" x14ac:dyDescent="0.2">
      <c r="A414" s="8" t="s">
        <v>5</v>
      </c>
      <c r="B414" s="5"/>
      <c r="C414" s="74"/>
      <c r="D414" s="6"/>
      <c r="E414" s="6"/>
      <c r="F414" s="6"/>
      <c r="G414" s="6"/>
      <c r="H414" s="6"/>
      <c r="I414" s="6"/>
    </row>
    <row r="415" spans="1:9" hidden="1" x14ac:dyDescent="0.2">
      <c r="A415" s="8" t="s">
        <v>6</v>
      </c>
      <c r="B415" s="5"/>
      <c r="C415" s="74"/>
      <c r="D415" s="6"/>
      <c r="E415" s="6"/>
      <c r="F415" s="6"/>
      <c r="G415" s="6"/>
      <c r="H415" s="6"/>
      <c r="I415" s="6"/>
    </row>
    <row r="416" spans="1:9" hidden="1" x14ac:dyDescent="0.2">
      <c r="A416" s="8" t="s">
        <v>7</v>
      </c>
      <c r="B416" s="5"/>
      <c r="C416" s="74"/>
      <c r="D416" s="6"/>
      <c r="E416" s="6"/>
      <c r="F416" s="6"/>
      <c r="G416" s="6"/>
      <c r="H416" s="6"/>
      <c r="I416" s="6"/>
    </row>
    <row r="417" spans="1:9" hidden="1" x14ac:dyDescent="0.2">
      <c r="A417" s="8" t="s">
        <v>8</v>
      </c>
      <c r="B417" s="5"/>
      <c r="C417" s="74"/>
      <c r="D417" s="6"/>
      <c r="E417" s="6"/>
      <c r="F417" s="6"/>
      <c r="G417" s="6"/>
      <c r="H417" s="6"/>
      <c r="I417" s="6"/>
    </row>
    <row r="418" spans="1:9" hidden="1" x14ac:dyDescent="0.2">
      <c r="A418" s="8" t="s">
        <v>9</v>
      </c>
      <c r="B418" s="5"/>
      <c r="C418" s="74"/>
      <c r="D418" s="6"/>
      <c r="E418" s="6"/>
      <c r="F418" s="6"/>
      <c r="G418" s="6"/>
      <c r="H418" s="6"/>
      <c r="I418" s="6"/>
    </row>
    <row r="419" spans="1:9" hidden="1" x14ac:dyDescent="0.2">
      <c r="A419" s="312" t="s">
        <v>10</v>
      </c>
      <c r="B419" s="313"/>
      <c r="C419" s="313"/>
      <c r="D419" s="313"/>
      <c r="E419" s="314"/>
      <c r="F419" s="11">
        <f>SUM(F409:F418)</f>
        <v>0</v>
      </c>
      <c r="G419" s="11">
        <f>SUM(G409:G418)</f>
        <v>0</v>
      </c>
      <c r="H419" s="11">
        <f>SUM(H409:H418)</f>
        <v>0</v>
      </c>
      <c r="I419" s="11"/>
    </row>
    <row r="420" spans="1:9" s="25" customFormat="1" ht="18" x14ac:dyDescent="0.2">
      <c r="A420" s="315" t="s">
        <v>39</v>
      </c>
      <c r="B420" s="316"/>
      <c r="C420" s="316"/>
      <c r="D420" s="316"/>
      <c r="E420" s="317"/>
      <c r="F420" s="22">
        <f>F353+F364+F375+F386+F397+F408+F419+F336</f>
        <v>57</v>
      </c>
      <c r="G420" s="22">
        <f>G353+G364+G375+G386+G397+G408+G419+G336</f>
        <v>14</v>
      </c>
      <c r="H420" s="22">
        <f>H353+H364+H375+H386+H397+H408+H419+H336</f>
        <v>374.5</v>
      </c>
      <c r="I420" s="22"/>
    </row>
  </sheetData>
  <mergeCells count="70">
    <mergeCell ref="A337:I337"/>
    <mergeCell ref="A339:C339"/>
    <mergeCell ref="A340:C340"/>
    <mergeCell ref="A83:E83"/>
    <mergeCell ref="A85:I85"/>
    <mergeCell ref="F89:H89"/>
    <mergeCell ref="F340:G340"/>
    <mergeCell ref="A313:E313"/>
    <mergeCell ref="A72:E72"/>
    <mergeCell ref="A291:E291"/>
    <mergeCell ref="A218:E218"/>
    <mergeCell ref="A145:E145"/>
    <mergeCell ref="A87:C87"/>
    <mergeCell ref="A101:E101"/>
    <mergeCell ref="A112:E112"/>
    <mergeCell ref="A123:E123"/>
    <mergeCell ref="A240:E240"/>
    <mergeCell ref="A156:E156"/>
    <mergeCell ref="A167:E167"/>
    <mergeCell ref="A169:I169"/>
    <mergeCell ref="A171:C171"/>
    <mergeCell ref="A17:E17"/>
    <mergeCell ref="A28:E28"/>
    <mergeCell ref="A39:E39"/>
    <mergeCell ref="A50:E50"/>
    <mergeCell ref="A61:E61"/>
    <mergeCell ref="A1:I1"/>
    <mergeCell ref="A3:C3"/>
    <mergeCell ref="A4:C4"/>
    <mergeCell ref="F5:H5"/>
    <mergeCell ref="A2:E2"/>
    <mergeCell ref="F4:G4"/>
    <mergeCell ref="A420:E420"/>
    <mergeCell ref="A419:E419"/>
    <mergeCell ref="A375:E375"/>
    <mergeCell ref="A386:E386"/>
    <mergeCell ref="A397:E397"/>
    <mergeCell ref="A408:E408"/>
    <mergeCell ref="F341:H341"/>
    <mergeCell ref="A353:E353"/>
    <mergeCell ref="A84:E84"/>
    <mergeCell ref="A168:E168"/>
    <mergeCell ref="A252:E252"/>
    <mergeCell ref="A336:E336"/>
    <mergeCell ref="A172:C172"/>
    <mergeCell ref="F173:H173"/>
    <mergeCell ref="A185:E185"/>
    <mergeCell ref="A196:E196"/>
    <mergeCell ref="A207:E207"/>
    <mergeCell ref="F257:H257"/>
    <mergeCell ref="A269:E269"/>
    <mergeCell ref="A280:E280"/>
    <mergeCell ref="F172:G172"/>
    <mergeCell ref="F256:G256"/>
    <mergeCell ref="A364:E364"/>
    <mergeCell ref="A88:C88"/>
    <mergeCell ref="A86:E86"/>
    <mergeCell ref="A170:E170"/>
    <mergeCell ref="A254:E254"/>
    <mergeCell ref="A338:E338"/>
    <mergeCell ref="A335:E335"/>
    <mergeCell ref="A251:E251"/>
    <mergeCell ref="A253:I253"/>
    <mergeCell ref="A255:C255"/>
    <mergeCell ref="A256:C256"/>
    <mergeCell ref="A302:E302"/>
    <mergeCell ref="F88:G88"/>
    <mergeCell ref="A229:E229"/>
    <mergeCell ref="A134:E134"/>
    <mergeCell ref="A324:E324"/>
  </mergeCells>
  <pageMargins left="0.59055118110236227" right="0.39370078740157483" top="0.59055118110236227" bottom="0.39370078740157483" header="0.31496062992125984" footer="0.31496062992125984"/>
  <pageSetup paperSize="9" scale="99" fitToHeight="5" orientation="portrait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0"/>
  <sheetViews>
    <sheetView topLeftCell="A348" zoomScale="150" zoomScaleNormal="150" workbookViewId="0">
      <selection activeCell="H422" sqref="H422"/>
    </sheetView>
  </sheetViews>
  <sheetFormatPr defaultColWidth="9" defaultRowHeight="17.25" x14ac:dyDescent="0.2"/>
  <cols>
    <col min="1" max="1" width="4" style="1" bestFit="1" customWidth="1"/>
    <col min="2" max="2" width="10.625" style="7" customWidth="1"/>
    <col min="3" max="3" width="11.375" style="76" customWidth="1"/>
    <col min="4" max="4" width="15.625" style="1" customWidth="1"/>
    <col min="5" max="5" width="10.625" style="1" customWidth="1"/>
    <col min="6" max="8" width="7.625" style="1" customWidth="1"/>
    <col min="9" max="9" width="18" style="1" customWidth="1"/>
    <col min="10" max="16384" width="9" style="1"/>
  </cols>
  <sheetData>
    <row r="1" spans="1:9" ht="21.95" customHeight="1" x14ac:dyDescent="0.2">
      <c r="A1" s="319" t="s">
        <v>14</v>
      </c>
      <c r="B1" s="319"/>
      <c r="C1" s="319"/>
      <c r="D1" s="319"/>
      <c r="E1" s="319"/>
      <c r="F1" s="319"/>
      <c r="G1" s="319"/>
      <c r="H1" s="319"/>
      <c r="I1" s="319"/>
    </row>
    <row r="2" spans="1:9" s="53" customFormat="1" ht="20.100000000000001" customHeight="1" x14ac:dyDescent="0.2">
      <c r="A2" s="323" t="s">
        <v>86</v>
      </c>
      <c r="B2" s="323"/>
      <c r="C2" s="323"/>
      <c r="D2" s="323"/>
      <c r="E2" s="323"/>
      <c r="F2" s="104" t="str">
        <f>'1'!$F$2</f>
        <v>เมษายน</v>
      </c>
      <c r="G2" s="50" t="s">
        <v>87</v>
      </c>
      <c r="H2" s="51">
        <f>'1'!$H$2</f>
        <v>2569</v>
      </c>
      <c r="I2" s="52"/>
    </row>
    <row r="3" spans="1:9" s="3" customFormat="1" ht="20.100000000000001" customHeight="1" x14ac:dyDescent="0.4">
      <c r="A3" s="318" t="s">
        <v>32</v>
      </c>
      <c r="B3" s="318"/>
      <c r="C3" s="318"/>
      <c r="D3" s="2"/>
      <c r="F3" s="4"/>
      <c r="G3" s="4"/>
      <c r="H3" s="4" t="s">
        <v>21</v>
      </c>
      <c r="I3" s="41">
        <v>1</v>
      </c>
    </row>
    <row r="4" spans="1:9" s="49" customFormat="1" ht="20.100000000000001" customHeight="1" x14ac:dyDescent="0.35">
      <c r="A4" s="327" t="s">
        <v>61</v>
      </c>
      <c r="B4" s="327"/>
      <c r="C4" s="327"/>
      <c r="D4" s="46"/>
      <c r="E4" s="47" t="s">
        <v>81</v>
      </c>
      <c r="F4" s="328">
        <f>'1'!$F$4</f>
        <v>46107</v>
      </c>
      <c r="G4" s="328"/>
      <c r="H4" s="47" t="s">
        <v>82</v>
      </c>
      <c r="I4" s="48">
        <f>'1'!$I$4</f>
        <v>46136</v>
      </c>
    </row>
    <row r="5" spans="1:9" x14ac:dyDescent="0.2">
      <c r="A5" s="12" t="s">
        <v>23</v>
      </c>
      <c r="B5" s="13" t="s">
        <v>11</v>
      </c>
      <c r="C5" s="72" t="s">
        <v>26</v>
      </c>
      <c r="D5" s="12" t="s">
        <v>16</v>
      </c>
      <c r="E5" s="12" t="s">
        <v>17</v>
      </c>
      <c r="F5" s="310" t="s">
        <v>46</v>
      </c>
      <c r="G5" s="310"/>
      <c r="H5" s="310"/>
      <c r="I5" s="12" t="s">
        <v>19</v>
      </c>
    </row>
    <row r="6" spans="1:9" x14ac:dyDescent="0.2">
      <c r="A6" s="15"/>
      <c r="B6" s="16"/>
      <c r="C6" s="73"/>
      <c r="D6" s="15"/>
      <c r="E6" s="15"/>
      <c r="F6" s="21" t="s">
        <v>113</v>
      </c>
      <c r="G6" s="21" t="s">
        <v>114</v>
      </c>
      <c r="H6" s="21" t="s">
        <v>20</v>
      </c>
      <c r="I6" s="15"/>
    </row>
    <row r="7" spans="1:9" x14ac:dyDescent="0.2">
      <c r="A7" s="8" t="s">
        <v>0</v>
      </c>
      <c r="B7" s="5">
        <f>'2'!B7</f>
        <v>46107</v>
      </c>
      <c r="C7" s="74" t="s">
        <v>181</v>
      </c>
      <c r="D7" s="6" t="s">
        <v>178</v>
      </c>
      <c r="E7" s="6" t="s">
        <v>165</v>
      </c>
      <c r="F7" s="6">
        <v>1</v>
      </c>
      <c r="G7" s="6"/>
      <c r="H7" s="6">
        <v>6</v>
      </c>
      <c r="I7" s="6"/>
    </row>
    <row r="8" spans="1:9" x14ac:dyDescent="0.2">
      <c r="A8" s="8" t="s">
        <v>1</v>
      </c>
      <c r="B8" s="5"/>
      <c r="C8" s="74" t="s">
        <v>182</v>
      </c>
      <c r="D8" s="6" t="s">
        <v>178</v>
      </c>
      <c r="E8" s="6" t="s">
        <v>165</v>
      </c>
      <c r="F8" s="6">
        <v>1</v>
      </c>
      <c r="G8" s="6"/>
      <c r="H8" s="6">
        <v>6</v>
      </c>
      <c r="I8" s="6"/>
    </row>
    <row r="9" spans="1:9" x14ac:dyDescent="0.2">
      <c r="A9" s="8" t="s">
        <v>2</v>
      </c>
      <c r="B9" s="5"/>
      <c r="C9" s="74" t="s">
        <v>183</v>
      </c>
      <c r="D9" s="6" t="s">
        <v>170</v>
      </c>
      <c r="E9" s="6" t="s">
        <v>184</v>
      </c>
      <c r="F9" s="54">
        <v>1</v>
      </c>
      <c r="G9" s="6"/>
      <c r="H9" s="6">
        <v>1</v>
      </c>
      <c r="I9" s="6"/>
    </row>
    <row r="10" spans="1:9" x14ac:dyDescent="0.2">
      <c r="A10" s="8" t="s">
        <v>3</v>
      </c>
      <c r="B10" s="5"/>
      <c r="C10" s="74" t="s">
        <v>185</v>
      </c>
      <c r="D10" s="6" t="s">
        <v>170</v>
      </c>
      <c r="E10" s="6" t="s">
        <v>171</v>
      </c>
      <c r="F10" s="6">
        <v>1</v>
      </c>
      <c r="G10" s="6"/>
      <c r="H10" s="6">
        <v>6</v>
      </c>
      <c r="I10" s="6"/>
    </row>
    <row r="11" spans="1:9" x14ac:dyDescent="0.2">
      <c r="A11" s="8">
        <v>5</v>
      </c>
      <c r="B11" s="5"/>
      <c r="C11" s="74" t="s">
        <v>186</v>
      </c>
      <c r="D11" s="6" t="s">
        <v>170</v>
      </c>
      <c r="E11" s="6" t="s">
        <v>171</v>
      </c>
      <c r="F11" s="6">
        <v>1</v>
      </c>
      <c r="G11" s="6"/>
      <c r="H11" s="6">
        <v>6</v>
      </c>
      <c r="I11" s="6"/>
    </row>
    <row r="12" spans="1:9" x14ac:dyDescent="0.2">
      <c r="A12" s="8" t="s">
        <v>5</v>
      </c>
      <c r="B12" s="5"/>
      <c r="C12" s="74" t="s">
        <v>187</v>
      </c>
      <c r="D12" s="6" t="s">
        <v>188</v>
      </c>
      <c r="E12" s="6" t="s">
        <v>174</v>
      </c>
      <c r="F12" s="6">
        <v>1</v>
      </c>
      <c r="G12" s="6"/>
      <c r="H12" s="6">
        <v>6</v>
      </c>
      <c r="I12" s="6"/>
    </row>
    <row r="13" spans="1:9" hidden="1" x14ac:dyDescent="0.2">
      <c r="A13" s="8" t="s">
        <v>6</v>
      </c>
      <c r="B13" s="5"/>
      <c r="C13" s="74"/>
      <c r="D13" s="6"/>
      <c r="E13" s="6"/>
      <c r="F13" s="6"/>
      <c r="G13" s="6"/>
      <c r="H13" s="6"/>
      <c r="I13" s="6"/>
    </row>
    <row r="14" spans="1:9" hidden="1" x14ac:dyDescent="0.2">
      <c r="A14" s="8" t="s">
        <v>7</v>
      </c>
      <c r="B14" s="5"/>
      <c r="C14" s="74"/>
      <c r="D14" s="6"/>
      <c r="E14" s="6"/>
      <c r="F14" s="6"/>
      <c r="G14" s="6"/>
      <c r="H14" s="6"/>
      <c r="I14" s="6"/>
    </row>
    <row r="15" spans="1:9" hidden="1" x14ac:dyDescent="0.2">
      <c r="A15" s="8" t="s">
        <v>8</v>
      </c>
      <c r="B15" s="5"/>
      <c r="C15" s="74"/>
      <c r="D15" s="6"/>
      <c r="E15" s="6"/>
      <c r="F15" s="6"/>
      <c r="G15" s="6"/>
      <c r="H15" s="6"/>
      <c r="I15" s="6"/>
    </row>
    <row r="16" spans="1:9" hidden="1" x14ac:dyDescent="0.2">
      <c r="A16" s="8" t="s">
        <v>9</v>
      </c>
      <c r="B16" s="5"/>
      <c r="C16" s="74"/>
      <c r="D16" s="6"/>
      <c r="E16" s="6"/>
      <c r="F16" s="6"/>
      <c r="G16" s="6"/>
      <c r="H16" s="6"/>
      <c r="I16" s="6"/>
    </row>
    <row r="17" spans="1:9" x14ac:dyDescent="0.2">
      <c r="A17" s="312" t="s">
        <v>10</v>
      </c>
      <c r="B17" s="313"/>
      <c r="C17" s="313"/>
      <c r="D17" s="313"/>
      <c r="E17" s="314"/>
      <c r="F17" s="11">
        <f>SUM(F7:F16)</f>
        <v>6</v>
      </c>
      <c r="G17" s="11">
        <f>SUM(G7:G16)</f>
        <v>0</v>
      </c>
      <c r="H17" s="11">
        <f>SUM(H7:H16)</f>
        <v>31</v>
      </c>
      <c r="I17" s="11"/>
    </row>
    <row r="18" spans="1:9" x14ac:dyDescent="0.2">
      <c r="A18" s="8" t="s">
        <v>0</v>
      </c>
      <c r="B18" s="5">
        <f>B7+1</f>
        <v>46108</v>
      </c>
      <c r="C18" s="74" t="s">
        <v>249</v>
      </c>
      <c r="D18" s="6" t="s">
        <v>250</v>
      </c>
      <c r="E18" s="6" t="s">
        <v>168</v>
      </c>
      <c r="F18" s="6">
        <v>1</v>
      </c>
      <c r="G18" s="6"/>
      <c r="H18" s="6">
        <v>5</v>
      </c>
      <c r="I18" s="6"/>
    </row>
    <row r="19" spans="1:9" x14ac:dyDescent="0.2">
      <c r="A19" s="8" t="s">
        <v>1</v>
      </c>
      <c r="B19" s="5"/>
      <c r="C19" s="74" t="s">
        <v>251</v>
      </c>
      <c r="D19" s="6" t="s">
        <v>253</v>
      </c>
      <c r="E19" s="6" t="s">
        <v>165</v>
      </c>
      <c r="F19" s="6">
        <v>1</v>
      </c>
      <c r="G19" s="6"/>
      <c r="H19" s="6">
        <v>4</v>
      </c>
      <c r="I19" s="6"/>
    </row>
    <row r="20" spans="1:9" x14ac:dyDescent="0.2">
      <c r="A20" s="8" t="s">
        <v>2</v>
      </c>
      <c r="B20" s="5"/>
      <c r="C20" s="74" t="s">
        <v>254</v>
      </c>
      <c r="D20" s="6" t="s">
        <v>242</v>
      </c>
      <c r="E20" s="6" t="s">
        <v>171</v>
      </c>
      <c r="F20" s="6">
        <v>1</v>
      </c>
      <c r="G20" s="6"/>
      <c r="H20" s="6">
        <v>5</v>
      </c>
      <c r="I20" s="6"/>
    </row>
    <row r="21" spans="1:9" x14ac:dyDescent="0.2">
      <c r="A21" s="8" t="s">
        <v>3</v>
      </c>
      <c r="B21" s="5"/>
      <c r="C21" s="74" t="s">
        <v>255</v>
      </c>
      <c r="D21" s="6" t="s">
        <v>170</v>
      </c>
      <c r="E21" s="6" t="s">
        <v>171</v>
      </c>
      <c r="F21" s="6">
        <v>1</v>
      </c>
      <c r="G21" s="6"/>
      <c r="H21" s="6">
        <v>6</v>
      </c>
      <c r="I21" s="6"/>
    </row>
    <row r="22" spans="1:9" x14ac:dyDescent="0.2">
      <c r="A22" s="8" t="s">
        <v>4</v>
      </c>
      <c r="B22" s="5"/>
      <c r="C22" s="74" t="s">
        <v>256</v>
      </c>
      <c r="D22" s="6" t="s">
        <v>170</v>
      </c>
      <c r="E22" s="6" t="s">
        <v>171</v>
      </c>
      <c r="F22" s="6">
        <v>1</v>
      </c>
      <c r="G22" s="6"/>
      <c r="H22" s="6">
        <v>6</v>
      </c>
      <c r="I22" s="6"/>
    </row>
    <row r="23" spans="1:9" x14ac:dyDescent="0.2">
      <c r="A23" s="8" t="s">
        <v>5</v>
      </c>
      <c r="B23" s="5"/>
      <c r="C23" s="74" t="s">
        <v>257</v>
      </c>
      <c r="D23" s="6" t="s">
        <v>170</v>
      </c>
      <c r="E23" s="6" t="s">
        <v>171</v>
      </c>
      <c r="F23" s="6"/>
      <c r="G23" s="6">
        <v>1</v>
      </c>
      <c r="H23" s="6">
        <v>6</v>
      </c>
      <c r="I23" s="6"/>
    </row>
    <row r="24" spans="1:9" x14ac:dyDescent="0.2">
      <c r="A24" s="8" t="s">
        <v>6</v>
      </c>
      <c r="B24" s="5"/>
      <c r="C24" s="74" t="s">
        <v>258</v>
      </c>
      <c r="D24" s="6" t="s">
        <v>242</v>
      </c>
      <c r="E24" s="6" t="s">
        <v>171</v>
      </c>
      <c r="F24" s="6"/>
      <c r="G24" s="6">
        <v>1</v>
      </c>
      <c r="H24" s="6">
        <v>6</v>
      </c>
      <c r="I24" s="6"/>
    </row>
    <row r="25" spans="1:9" x14ac:dyDescent="0.2">
      <c r="A25" s="8" t="s">
        <v>7</v>
      </c>
      <c r="B25" s="5"/>
      <c r="C25" s="74" t="s">
        <v>259</v>
      </c>
      <c r="D25" s="6" t="s">
        <v>170</v>
      </c>
      <c r="E25" s="6" t="s">
        <v>171</v>
      </c>
      <c r="F25" s="6"/>
      <c r="G25" s="6">
        <v>1</v>
      </c>
      <c r="H25" s="6">
        <v>2.5</v>
      </c>
      <c r="I25" s="6"/>
    </row>
    <row r="26" spans="1:9" hidden="1" x14ac:dyDescent="0.2">
      <c r="A26" s="8" t="s">
        <v>8</v>
      </c>
      <c r="B26" s="5"/>
      <c r="C26" s="74"/>
      <c r="D26" s="6"/>
      <c r="E26" s="6"/>
      <c r="F26" s="6"/>
      <c r="G26" s="6"/>
      <c r="H26" s="6"/>
      <c r="I26" s="6"/>
    </row>
    <row r="27" spans="1:9" hidden="1" x14ac:dyDescent="0.2">
      <c r="A27" s="8" t="s">
        <v>9</v>
      </c>
      <c r="B27" s="5"/>
      <c r="C27" s="74"/>
      <c r="D27" s="6"/>
      <c r="E27" s="6"/>
      <c r="F27" s="6"/>
      <c r="G27" s="6"/>
      <c r="H27" s="6"/>
      <c r="I27" s="6"/>
    </row>
    <row r="28" spans="1:9" x14ac:dyDescent="0.2">
      <c r="A28" s="312" t="s">
        <v>10</v>
      </c>
      <c r="B28" s="313"/>
      <c r="C28" s="313"/>
      <c r="D28" s="313"/>
      <c r="E28" s="314"/>
      <c r="F28" s="11">
        <f>SUM(F18:F27)</f>
        <v>5</v>
      </c>
      <c r="G28" s="11">
        <f>SUM(G18:G27)</f>
        <v>3</v>
      </c>
      <c r="H28" s="11">
        <f>SUM(H18:H27)</f>
        <v>40.5</v>
      </c>
      <c r="I28" s="11"/>
    </row>
    <row r="29" spans="1:9" x14ac:dyDescent="0.2">
      <c r="A29" s="8" t="s">
        <v>0</v>
      </c>
      <c r="B29" s="5">
        <f>B18+1</f>
        <v>46109</v>
      </c>
      <c r="C29" s="74" t="s">
        <v>345</v>
      </c>
      <c r="D29" s="6" t="s">
        <v>253</v>
      </c>
      <c r="E29" s="6" t="s">
        <v>165</v>
      </c>
      <c r="F29" s="6">
        <v>1</v>
      </c>
      <c r="G29" s="6"/>
      <c r="H29" s="6">
        <v>6</v>
      </c>
      <c r="I29" s="6"/>
    </row>
    <row r="30" spans="1:9" x14ac:dyDescent="0.2">
      <c r="A30" s="8" t="s">
        <v>1</v>
      </c>
      <c r="B30" s="5"/>
      <c r="C30" s="74" t="s">
        <v>346</v>
      </c>
      <c r="D30" s="6" t="s">
        <v>173</v>
      </c>
      <c r="E30" s="6" t="s">
        <v>174</v>
      </c>
      <c r="F30" s="6">
        <v>1</v>
      </c>
      <c r="G30" s="6"/>
      <c r="H30" s="6">
        <v>4</v>
      </c>
      <c r="I30" s="6"/>
    </row>
    <row r="31" spans="1:9" x14ac:dyDescent="0.2">
      <c r="A31" s="8" t="s">
        <v>2</v>
      </c>
      <c r="B31" s="5"/>
      <c r="C31" s="74" t="s">
        <v>348</v>
      </c>
      <c r="D31" s="6" t="s">
        <v>342</v>
      </c>
      <c r="E31" s="6" t="s">
        <v>165</v>
      </c>
      <c r="F31" s="6"/>
      <c r="G31" s="6">
        <v>1</v>
      </c>
      <c r="H31" s="6">
        <v>5</v>
      </c>
      <c r="I31" s="6"/>
    </row>
    <row r="32" spans="1:9" hidden="1" x14ac:dyDescent="0.2">
      <c r="A32" s="8" t="s">
        <v>3</v>
      </c>
      <c r="B32" s="5"/>
      <c r="C32" s="74"/>
      <c r="D32" s="6"/>
      <c r="E32" s="6"/>
      <c r="F32" s="6"/>
      <c r="G32" s="6"/>
      <c r="H32" s="6"/>
      <c r="I32" s="6"/>
    </row>
    <row r="33" spans="1:9" hidden="1" x14ac:dyDescent="0.2">
      <c r="A33" s="8" t="s">
        <v>4</v>
      </c>
      <c r="B33" s="5"/>
      <c r="C33" s="74"/>
      <c r="D33" s="6"/>
      <c r="E33" s="6"/>
      <c r="F33" s="6"/>
      <c r="G33" s="6"/>
      <c r="H33" s="6"/>
      <c r="I33" s="6"/>
    </row>
    <row r="34" spans="1:9" hidden="1" x14ac:dyDescent="0.2">
      <c r="A34" s="8" t="s">
        <v>5</v>
      </c>
      <c r="B34" s="5"/>
      <c r="C34" s="74"/>
      <c r="D34" s="6"/>
      <c r="E34" s="6"/>
      <c r="F34" s="6"/>
      <c r="G34" s="6"/>
      <c r="H34" s="6"/>
      <c r="I34" s="6"/>
    </row>
    <row r="35" spans="1:9" hidden="1" x14ac:dyDescent="0.2">
      <c r="A35" s="8" t="s">
        <v>6</v>
      </c>
      <c r="B35" s="5"/>
      <c r="C35" s="74"/>
      <c r="D35" s="6"/>
      <c r="E35" s="6"/>
      <c r="F35" s="6"/>
      <c r="G35" s="6"/>
      <c r="H35" s="6"/>
      <c r="I35" s="6"/>
    </row>
    <row r="36" spans="1:9" hidden="1" x14ac:dyDescent="0.2">
      <c r="A36" s="8" t="s">
        <v>7</v>
      </c>
      <c r="B36" s="5"/>
      <c r="C36" s="74"/>
      <c r="D36" s="6"/>
      <c r="E36" s="6"/>
      <c r="F36" s="6"/>
      <c r="G36" s="6"/>
      <c r="H36" s="6"/>
      <c r="I36" s="6"/>
    </row>
    <row r="37" spans="1:9" hidden="1" x14ac:dyDescent="0.2">
      <c r="A37" s="8" t="s">
        <v>8</v>
      </c>
      <c r="B37" s="5"/>
      <c r="C37" s="74"/>
      <c r="D37" s="6"/>
      <c r="E37" s="6"/>
      <c r="F37" s="6"/>
      <c r="G37" s="6"/>
      <c r="H37" s="6"/>
      <c r="I37" s="6"/>
    </row>
    <row r="38" spans="1:9" hidden="1" x14ac:dyDescent="0.2">
      <c r="A38" s="8" t="s">
        <v>9</v>
      </c>
      <c r="B38" s="5"/>
      <c r="C38" s="74"/>
      <c r="D38" s="6"/>
      <c r="E38" s="6"/>
      <c r="F38" s="6"/>
      <c r="G38" s="6"/>
      <c r="H38" s="6"/>
      <c r="I38" s="6"/>
    </row>
    <row r="39" spans="1:9" x14ac:dyDescent="0.2">
      <c r="A39" s="312" t="s">
        <v>10</v>
      </c>
      <c r="B39" s="313"/>
      <c r="C39" s="313"/>
      <c r="D39" s="313"/>
      <c r="E39" s="314"/>
      <c r="F39" s="11">
        <f>SUM(F29:F38)</f>
        <v>2</v>
      </c>
      <c r="G39" s="11">
        <f>SUM(G29:G38)</f>
        <v>1</v>
      </c>
      <c r="H39" s="11">
        <f>SUM(H29:H38)</f>
        <v>15</v>
      </c>
      <c r="I39" s="11"/>
    </row>
    <row r="40" spans="1:9" x14ac:dyDescent="0.2">
      <c r="A40" s="8" t="s">
        <v>0</v>
      </c>
      <c r="B40" s="5">
        <f>B29+1</f>
        <v>46110</v>
      </c>
      <c r="C40" s="75" t="s">
        <v>378</v>
      </c>
      <c r="D40" s="6" t="s">
        <v>379</v>
      </c>
      <c r="E40" s="6" t="s">
        <v>165</v>
      </c>
      <c r="F40" s="6">
        <v>1</v>
      </c>
      <c r="G40" s="6"/>
      <c r="H40" s="6">
        <v>2</v>
      </c>
      <c r="I40" s="6"/>
    </row>
    <row r="41" spans="1:9" x14ac:dyDescent="0.2">
      <c r="A41" s="8" t="s">
        <v>1</v>
      </c>
      <c r="B41" s="5"/>
      <c r="C41" s="75" t="s">
        <v>380</v>
      </c>
      <c r="D41" s="6" t="s">
        <v>242</v>
      </c>
      <c r="E41" s="6" t="s">
        <v>171</v>
      </c>
      <c r="F41" s="6">
        <v>1</v>
      </c>
      <c r="G41" s="6"/>
      <c r="H41" s="6">
        <v>5.5</v>
      </c>
      <c r="I41" s="6"/>
    </row>
    <row r="42" spans="1:9" x14ac:dyDescent="0.2">
      <c r="A42" s="8" t="s">
        <v>2</v>
      </c>
      <c r="B42" s="5"/>
      <c r="C42" s="75" t="s">
        <v>381</v>
      </c>
      <c r="D42" s="6" t="s">
        <v>242</v>
      </c>
      <c r="E42" s="6" t="s">
        <v>171</v>
      </c>
      <c r="F42" s="6">
        <v>1</v>
      </c>
      <c r="G42" s="6"/>
      <c r="H42" s="6">
        <v>5.5</v>
      </c>
      <c r="I42" s="6"/>
    </row>
    <row r="43" spans="1:9" x14ac:dyDescent="0.2">
      <c r="A43" s="8" t="s">
        <v>3</v>
      </c>
      <c r="B43" s="5"/>
      <c r="C43" s="75" t="s">
        <v>382</v>
      </c>
      <c r="D43" s="6" t="s">
        <v>188</v>
      </c>
      <c r="E43" s="6" t="s">
        <v>165</v>
      </c>
      <c r="F43" s="6">
        <v>1</v>
      </c>
      <c r="G43" s="6"/>
      <c r="H43" s="6">
        <v>5</v>
      </c>
      <c r="I43" s="6"/>
    </row>
    <row r="44" spans="1:9" x14ac:dyDescent="0.2">
      <c r="A44" s="8" t="s">
        <v>4</v>
      </c>
      <c r="B44" s="5"/>
      <c r="C44" s="75" t="s">
        <v>383</v>
      </c>
      <c r="D44" s="6" t="s">
        <v>371</v>
      </c>
      <c r="E44" s="6" t="s">
        <v>165</v>
      </c>
      <c r="F44" s="6">
        <v>1</v>
      </c>
      <c r="G44" s="6"/>
      <c r="H44" s="6">
        <v>6</v>
      </c>
      <c r="I44" s="6"/>
    </row>
    <row r="45" spans="1:9" x14ac:dyDescent="0.2">
      <c r="A45" s="8" t="s">
        <v>5</v>
      </c>
      <c r="B45" s="5"/>
      <c r="C45" s="75" t="s">
        <v>384</v>
      </c>
      <c r="D45" s="6" t="s">
        <v>253</v>
      </c>
      <c r="E45" s="6" t="s">
        <v>351</v>
      </c>
      <c r="F45" s="6">
        <v>1</v>
      </c>
      <c r="G45" s="6"/>
      <c r="H45" s="6">
        <v>4.5</v>
      </c>
      <c r="I45" s="6"/>
    </row>
    <row r="46" spans="1:9" hidden="1" x14ac:dyDescent="0.2">
      <c r="A46" s="8" t="s">
        <v>6</v>
      </c>
      <c r="B46" s="5"/>
      <c r="C46" s="75"/>
      <c r="D46" s="6"/>
      <c r="E46" s="6"/>
      <c r="F46" s="6"/>
      <c r="G46" s="6"/>
      <c r="H46" s="6"/>
      <c r="I46" s="6"/>
    </row>
    <row r="47" spans="1:9" hidden="1" x14ac:dyDescent="0.2">
      <c r="A47" s="8" t="s">
        <v>7</v>
      </c>
      <c r="B47" s="5"/>
      <c r="C47" s="74"/>
      <c r="D47" s="6"/>
      <c r="E47" s="6"/>
      <c r="F47" s="6"/>
      <c r="G47" s="6"/>
      <c r="H47" s="6"/>
      <c r="I47" s="6"/>
    </row>
    <row r="48" spans="1:9" hidden="1" x14ac:dyDescent="0.2">
      <c r="A48" s="8" t="s">
        <v>8</v>
      </c>
      <c r="B48" s="5"/>
      <c r="C48" s="74"/>
      <c r="D48" s="6"/>
      <c r="E48" s="6"/>
      <c r="F48" s="6"/>
      <c r="G48" s="6"/>
      <c r="H48" s="6"/>
      <c r="I48" s="6"/>
    </row>
    <row r="49" spans="1:9" hidden="1" x14ac:dyDescent="0.2">
      <c r="A49" s="8" t="s">
        <v>9</v>
      </c>
      <c r="B49" s="5"/>
      <c r="C49" s="74"/>
      <c r="D49" s="6"/>
      <c r="E49" s="6"/>
      <c r="F49" s="6"/>
      <c r="G49" s="6"/>
      <c r="H49" s="6"/>
      <c r="I49" s="6"/>
    </row>
    <row r="50" spans="1:9" x14ac:dyDescent="0.2">
      <c r="A50" s="312" t="s">
        <v>10</v>
      </c>
      <c r="B50" s="313"/>
      <c r="C50" s="313"/>
      <c r="D50" s="313"/>
      <c r="E50" s="314"/>
      <c r="F50" s="11">
        <f>SUM(F40:F49)</f>
        <v>6</v>
      </c>
      <c r="G50" s="11">
        <f>SUM(G40:G49)</f>
        <v>0</v>
      </c>
      <c r="H50" s="11">
        <f>SUM(H40:H49)</f>
        <v>28.5</v>
      </c>
      <c r="I50" s="11"/>
    </row>
    <row r="51" spans="1:9" hidden="1" x14ac:dyDescent="0.2">
      <c r="A51" s="8" t="s">
        <v>0</v>
      </c>
      <c r="B51" s="5">
        <f>B40+1</f>
        <v>46111</v>
      </c>
      <c r="C51" s="74"/>
      <c r="D51" s="6"/>
      <c r="E51" s="6"/>
      <c r="F51" s="6"/>
      <c r="G51" s="6"/>
      <c r="H51" s="6"/>
      <c r="I51" s="6"/>
    </row>
    <row r="52" spans="1:9" hidden="1" x14ac:dyDescent="0.2">
      <c r="A52" s="8" t="s">
        <v>1</v>
      </c>
      <c r="B52" s="5"/>
      <c r="C52" s="74"/>
      <c r="D52" s="6"/>
      <c r="E52" s="6"/>
      <c r="F52" s="6"/>
      <c r="G52" s="6"/>
      <c r="H52" s="6"/>
      <c r="I52" s="6"/>
    </row>
    <row r="53" spans="1:9" hidden="1" x14ac:dyDescent="0.2">
      <c r="A53" s="8" t="s">
        <v>2</v>
      </c>
      <c r="B53" s="5"/>
      <c r="C53" s="74"/>
      <c r="D53" s="6"/>
      <c r="E53" s="6"/>
      <c r="F53" s="6"/>
      <c r="G53" s="6"/>
      <c r="H53" s="6"/>
      <c r="I53" s="6"/>
    </row>
    <row r="54" spans="1:9" hidden="1" x14ac:dyDescent="0.2">
      <c r="A54" s="8" t="s">
        <v>3</v>
      </c>
      <c r="B54" s="5"/>
      <c r="C54" s="74"/>
      <c r="D54" s="6"/>
      <c r="E54" s="6"/>
      <c r="F54" s="6"/>
      <c r="G54" s="6"/>
      <c r="H54" s="6"/>
      <c r="I54" s="6"/>
    </row>
    <row r="55" spans="1:9" hidden="1" x14ac:dyDescent="0.2">
      <c r="A55" s="8" t="s">
        <v>4</v>
      </c>
      <c r="B55" s="5"/>
      <c r="C55" s="74"/>
      <c r="D55" s="6"/>
      <c r="E55" s="6"/>
      <c r="F55" s="6"/>
      <c r="G55" s="6"/>
      <c r="H55" s="6"/>
      <c r="I55" s="6"/>
    </row>
    <row r="56" spans="1:9" hidden="1" x14ac:dyDescent="0.2">
      <c r="A56" s="8" t="s">
        <v>5</v>
      </c>
      <c r="B56" s="5"/>
      <c r="C56" s="74"/>
      <c r="D56" s="6"/>
      <c r="E56" s="6"/>
      <c r="F56" s="6"/>
      <c r="G56" s="6"/>
      <c r="H56" s="6"/>
      <c r="I56" s="6"/>
    </row>
    <row r="57" spans="1:9" hidden="1" x14ac:dyDescent="0.2">
      <c r="A57" s="8" t="s">
        <v>6</v>
      </c>
      <c r="B57" s="5"/>
      <c r="C57" s="74"/>
      <c r="D57" s="6"/>
      <c r="E57" s="6"/>
      <c r="F57" s="6"/>
      <c r="G57" s="6"/>
      <c r="H57" s="6"/>
      <c r="I57" s="6"/>
    </row>
    <row r="58" spans="1:9" hidden="1" x14ac:dyDescent="0.2">
      <c r="A58" s="8" t="s">
        <v>7</v>
      </c>
      <c r="B58" s="5"/>
      <c r="C58" s="74"/>
      <c r="D58" s="6"/>
      <c r="E58" s="6"/>
      <c r="F58" s="6"/>
      <c r="G58" s="6"/>
      <c r="H58" s="6"/>
      <c r="I58" s="6"/>
    </row>
    <row r="59" spans="1:9" hidden="1" x14ac:dyDescent="0.2">
      <c r="A59" s="8" t="s">
        <v>8</v>
      </c>
      <c r="B59" s="5"/>
      <c r="C59" s="74"/>
      <c r="D59" s="6"/>
      <c r="E59" s="6"/>
      <c r="F59" s="6"/>
      <c r="G59" s="6"/>
      <c r="H59" s="6"/>
      <c r="I59" s="6"/>
    </row>
    <row r="60" spans="1:9" hidden="1" x14ac:dyDescent="0.2">
      <c r="A60" s="8" t="s">
        <v>9</v>
      </c>
      <c r="B60" s="5"/>
      <c r="C60" s="74"/>
      <c r="D60" s="6"/>
      <c r="E60" s="6"/>
      <c r="F60" s="6"/>
      <c r="G60" s="6"/>
      <c r="H60" s="6"/>
      <c r="I60" s="6"/>
    </row>
    <row r="61" spans="1:9" hidden="1" x14ac:dyDescent="0.2">
      <c r="A61" s="312" t="s">
        <v>10</v>
      </c>
      <c r="B61" s="313"/>
      <c r="C61" s="313"/>
      <c r="D61" s="313"/>
      <c r="E61" s="314"/>
      <c r="F61" s="11">
        <f>SUM(F51:F60)</f>
        <v>0</v>
      </c>
      <c r="G61" s="11">
        <f>SUM(G51:G60)</f>
        <v>0</v>
      </c>
      <c r="H61" s="11">
        <f>SUM(H51:H60)</f>
        <v>0</v>
      </c>
      <c r="I61" s="11"/>
    </row>
    <row r="62" spans="1:9" x14ac:dyDescent="0.2">
      <c r="A62" s="8" t="s">
        <v>0</v>
      </c>
      <c r="B62" s="5">
        <f>B51+1</f>
        <v>46112</v>
      </c>
      <c r="C62" s="75" t="s">
        <v>525</v>
      </c>
      <c r="D62" s="6" t="s">
        <v>342</v>
      </c>
      <c r="E62" s="6" t="s">
        <v>165</v>
      </c>
      <c r="F62" s="6">
        <v>1</v>
      </c>
      <c r="G62" s="6"/>
      <c r="H62" s="6">
        <v>6</v>
      </c>
      <c r="I62" s="6"/>
    </row>
    <row r="63" spans="1:9" x14ac:dyDescent="0.2">
      <c r="A63" s="8" t="s">
        <v>1</v>
      </c>
      <c r="B63" s="5"/>
      <c r="C63" s="75" t="s">
        <v>526</v>
      </c>
      <c r="D63" s="6" t="s">
        <v>178</v>
      </c>
      <c r="E63" s="6" t="s">
        <v>165</v>
      </c>
      <c r="F63" s="6">
        <v>1</v>
      </c>
      <c r="G63" s="6"/>
      <c r="H63" s="6">
        <v>6</v>
      </c>
      <c r="I63" s="6"/>
    </row>
    <row r="64" spans="1:9" x14ac:dyDescent="0.2">
      <c r="A64" s="8" t="s">
        <v>2</v>
      </c>
      <c r="B64" s="5"/>
      <c r="C64" s="75" t="s">
        <v>527</v>
      </c>
      <c r="D64" s="6" t="s">
        <v>170</v>
      </c>
      <c r="E64" s="6" t="s">
        <v>184</v>
      </c>
      <c r="F64" s="6">
        <v>1</v>
      </c>
      <c r="G64" s="6"/>
      <c r="H64" s="6">
        <v>1</v>
      </c>
      <c r="I64" s="6"/>
    </row>
    <row r="65" spans="1:9" x14ac:dyDescent="0.2">
      <c r="A65" s="8" t="s">
        <v>3</v>
      </c>
      <c r="B65" s="5"/>
      <c r="C65" s="75" t="s">
        <v>516</v>
      </c>
      <c r="D65" s="6" t="s">
        <v>170</v>
      </c>
      <c r="E65" s="6" t="s">
        <v>171</v>
      </c>
      <c r="F65" s="6">
        <v>1</v>
      </c>
      <c r="G65" s="6"/>
      <c r="H65" s="6">
        <v>6</v>
      </c>
      <c r="I65" s="6"/>
    </row>
    <row r="66" spans="1:9" x14ac:dyDescent="0.2">
      <c r="A66" s="8" t="s">
        <v>4</v>
      </c>
      <c r="B66" s="5"/>
      <c r="C66" s="75" t="s">
        <v>528</v>
      </c>
      <c r="D66" s="6" t="s">
        <v>170</v>
      </c>
      <c r="E66" s="6" t="s">
        <v>171</v>
      </c>
      <c r="F66" s="6">
        <v>1</v>
      </c>
      <c r="G66" s="6"/>
      <c r="H66" s="6">
        <v>6</v>
      </c>
      <c r="I66" s="6"/>
    </row>
    <row r="67" spans="1:9" x14ac:dyDescent="0.2">
      <c r="A67" s="8" t="s">
        <v>5</v>
      </c>
      <c r="B67" s="5"/>
      <c r="C67" s="75" t="s">
        <v>529</v>
      </c>
      <c r="D67" s="6" t="s">
        <v>170</v>
      </c>
      <c r="E67" s="6" t="s">
        <v>171</v>
      </c>
      <c r="F67" s="6">
        <v>1</v>
      </c>
      <c r="G67" s="6"/>
      <c r="H67" s="6">
        <v>6</v>
      </c>
      <c r="I67" s="6"/>
    </row>
    <row r="68" spans="1:9" x14ac:dyDescent="0.2">
      <c r="A68" s="8" t="s">
        <v>6</v>
      </c>
      <c r="B68" s="5"/>
      <c r="C68" s="75" t="s">
        <v>530</v>
      </c>
      <c r="D68" s="6" t="s">
        <v>170</v>
      </c>
      <c r="E68" s="6" t="s">
        <v>171</v>
      </c>
      <c r="F68" s="6"/>
      <c r="G68" s="6">
        <v>1</v>
      </c>
      <c r="H68" s="6">
        <v>6</v>
      </c>
      <c r="I68" s="6"/>
    </row>
    <row r="69" spans="1:9" hidden="1" x14ac:dyDescent="0.2">
      <c r="A69" s="8" t="s">
        <v>7</v>
      </c>
      <c r="B69" s="5"/>
      <c r="C69" s="75"/>
      <c r="D69" s="6"/>
      <c r="E69" s="6"/>
      <c r="F69" s="6"/>
      <c r="G69" s="6"/>
      <c r="H69" s="6"/>
      <c r="I69" s="6"/>
    </row>
    <row r="70" spans="1:9" hidden="1" x14ac:dyDescent="0.2">
      <c r="A70" s="8" t="s">
        <v>8</v>
      </c>
      <c r="B70" s="5"/>
      <c r="C70" s="75"/>
      <c r="D70" s="6"/>
      <c r="E70" s="6"/>
      <c r="F70" s="6"/>
      <c r="G70" s="6"/>
      <c r="H70" s="6"/>
      <c r="I70" s="6"/>
    </row>
    <row r="71" spans="1:9" hidden="1" x14ac:dyDescent="0.2">
      <c r="A71" s="8" t="s">
        <v>9</v>
      </c>
      <c r="B71" s="5"/>
      <c r="C71" s="75"/>
      <c r="D71" s="6"/>
      <c r="E71" s="6"/>
      <c r="F71" s="6"/>
      <c r="G71" s="6"/>
      <c r="H71" s="6"/>
      <c r="I71" s="6"/>
    </row>
    <row r="72" spans="1:9" x14ac:dyDescent="0.2">
      <c r="A72" s="312" t="s">
        <v>10</v>
      </c>
      <c r="B72" s="313"/>
      <c r="C72" s="313"/>
      <c r="D72" s="313"/>
      <c r="E72" s="314"/>
      <c r="F72" s="11">
        <f>SUM(F62:F71)</f>
        <v>6</v>
      </c>
      <c r="G72" s="11">
        <f>SUM(G62:G71)</f>
        <v>1</v>
      </c>
      <c r="H72" s="11">
        <f>SUM(H62:H71)</f>
        <v>37</v>
      </c>
      <c r="I72" s="11"/>
    </row>
    <row r="73" spans="1:9" x14ac:dyDescent="0.2">
      <c r="A73" s="8" t="s">
        <v>0</v>
      </c>
      <c r="B73" s="5">
        <f>B62+1</f>
        <v>46113</v>
      </c>
      <c r="C73" s="74" t="s">
        <v>597</v>
      </c>
      <c r="D73" s="6" t="s">
        <v>347</v>
      </c>
      <c r="E73" s="6" t="s">
        <v>190</v>
      </c>
      <c r="F73" s="6">
        <v>1</v>
      </c>
      <c r="G73" s="6"/>
      <c r="H73" s="6">
        <v>5</v>
      </c>
      <c r="I73" s="6"/>
    </row>
    <row r="74" spans="1:9" x14ac:dyDescent="0.2">
      <c r="A74" s="8" t="s">
        <v>1</v>
      </c>
      <c r="B74" s="5"/>
      <c r="C74" s="74" t="s">
        <v>598</v>
      </c>
      <c r="D74" s="6" t="s">
        <v>188</v>
      </c>
      <c r="E74" s="6" t="s">
        <v>165</v>
      </c>
      <c r="F74" s="6">
        <v>1</v>
      </c>
      <c r="G74" s="6"/>
      <c r="H74" s="6">
        <v>6</v>
      </c>
      <c r="I74" s="6"/>
    </row>
    <row r="75" spans="1:9" x14ac:dyDescent="0.2">
      <c r="A75" s="8" t="s">
        <v>2</v>
      </c>
      <c r="B75" s="5"/>
      <c r="C75" s="74" t="s">
        <v>599</v>
      </c>
      <c r="D75" s="6" t="s">
        <v>188</v>
      </c>
      <c r="E75" s="6" t="s">
        <v>165</v>
      </c>
      <c r="F75" s="6">
        <v>1</v>
      </c>
      <c r="G75" s="6"/>
      <c r="H75" s="6">
        <v>6</v>
      </c>
      <c r="I75" s="6"/>
    </row>
    <row r="76" spans="1:9" x14ac:dyDescent="0.2">
      <c r="A76" s="8" t="s">
        <v>3</v>
      </c>
      <c r="B76" s="5"/>
      <c r="C76" s="74" t="s">
        <v>600</v>
      </c>
      <c r="D76" s="6" t="s">
        <v>202</v>
      </c>
      <c r="E76" s="6" t="s">
        <v>165</v>
      </c>
      <c r="F76" s="6"/>
      <c r="G76" s="6">
        <v>1</v>
      </c>
      <c r="H76" s="6">
        <v>3</v>
      </c>
      <c r="I76" s="6"/>
    </row>
    <row r="77" spans="1:9" hidden="1" x14ac:dyDescent="0.2">
      <c r="A77" s="8" t="s">
        <v>4</v>
      </c>
      <c r="B77" s="5"/>
      <c r="C77" s="74"/>
      <c r="D77" s="6"/>
      <c r="E77" s="6"/>
      <c r="F77" s="6"/>
      <c r="G77" s="6"/>
      <c r="H77" s="6"/>
      <c r="I77" s="6"/>
    </row>
    <row r="78" spans="1:9" hidden="1" x14ac:dyDescent="0.2">
      <c r="A78" s="8" t="s">
        <v>5</v>
      </c>
      <c r="B78" s="5"/>
      <c r="C78" s="74"/>
      <c r="D78" s="6"/>
      <c r="E78" s="6"/>
      <c r="F78" s="6"/>
      <c r="G78" s="6"/>
      <c r="H78" s="6"/>
      <c r="I78" s="6"/>
    </row>
    <row r="79" spans="1:9" hidden="1" x14ac:dyDescent="0.2">
      <c r="A79" s="8" t="s">
        <v>6</v>
      </c>
      <c r="B79" s="5"/>
      <c r="C79" s="74"/>
      <c r="D79" s="6"/>
      <c r="E79" s="6"/>
      <c r="F79" s="6"/>
      <c r="G79" s="6"/>
      <c r="H79" s="6"/>
      <c r="I79" s="6"/>
    </row>
    <row r="80" spans="1:9" hidden="1" x14ac:dyDescent="0.2">
      <c r="A80" s="8" t="s">
        <v>7</v>
      </c>
      <c r="B80" s="5"/>
      <c r="C80" s="74"/>
      <c r="D80" s="6"/>
      <c r="E80" s="6"/>
      <c r="F80" s="6"/>
      <c r="G80" s="6"/>
      <c r="H80" s="6"/>
      <c r="I80" s="6"/>
    </row>
    <row r="81" spans="1:9" hidden="1" x14ac:dyDescent="0.2">
      <c r="A81" s="8" t="s">
        <v>8</v>
      </c>
      <c r="B81" s="5"/>
      <c r="C81" s="74"/>
      <c r="D81" s="6"/>
      <c r="E81" s="6"/>
      <c r="F81" s="6"/>
      <c r="G81" s="6"/>
      <c r="H81" s="6"/>
      <c r="I81" s="6"/>
    </row>
    <row r="82" spans="1:9" hidden="1" x14ac:dyDescent="0.2">
      <c r="A82" s="8" t="s">
        <v>9</v>
      </c>
      <c r="B82" s="5"/>
      <c r="C82" s="74"/>
      <c r="D82" s="6"/>
      <c r="E82" s="6"/>
      <c r="F82" s="6"/>
      <c r="G82" s="6"/>
      <c r="H82" s="6"/>
      <c r="I82" s="6"/>
    </row>
    <row r="83" spans="1:9" x14ac:dyDescent="0.2">
      <c r="A83" s="312" t="s">
        <v>10</v>
      </c>
      <c r="B83" s="313"/>
      <c r="C83" s="313"/>
      <c r="D83" s="313"/>
      <c r="E83" s="314"/>
      <c r="F83" s="11">
        <f>SUM(F73:F82)</f>
        <v>3</v>
      </c>
      <c r="G83" s="11">
        <f>SUM(G73:G82)</f>
        <v>1</v>
      </c>
      <c r="H83" s="11">
        <f>SUM(H73:H82)</f>
        <v>20</v>
      </c>
      <c r="I83" s="11"/>
    </row>
    <row r="84" spans="1:9" s="25" customFormat="1" ht="18" x14ac:dyDescent="0.2">
      <c r="A84" s="324" t="s">
        <v>39</v>
      </c>
      <c r="B84" s="325"/>
      <c r="C84" s="325"/>
      <c r="D84" s="325"/>
      <c r="E84" s="326"/>
      <c r="F84" s="24">
        <f>F17+F28+F39+F50+F61+F72+F83</f>
        <v>28</v>
      </c>
      <c r="G84" s="24">
        <f>G17+G28+G39+G50+G61+G72+G83</f>
        <v>6</v>
      </c>
      <c r="H84" s="24">
        <f>H17+H28+H39+H50+H61+H72+H83</f>
        <v>172</v>
      </c>
      <c r="I84" s="24"/>
    </row>
    <row r="85" spans="1:9" ht="21.95" customHeight="1" x14ac:dyDescent="0.2">
      <c r="A85" s="319" t="s">
        <v>14</v>
      </c>
      <c r="B85" s="319"/>
      <c r="C85" s="319"/>
      <c r="D85" s="319"/>
      <c r="E85" s="319"/>
      <c r="F85" s="319"/>
      <c r="G85" s="319"/>
      <c r="H85" s="319"/>
      <c r="I85" s="319"/>
    </row>
    <row r="86" spans="1:9" s="53" customFormat="1" ht="20.100000000000001" customHeight="1" x14ac:dyDescent="0.2">
      <c r="A86" s="323" t="s">
        <v>86</v>
      </c>
      <c r="B86" s="323"/>
      <c r="C86" s="323"/>
      <c r="D86" s="323"/>
      <c r="E86" s="323"/>
      <c r="F86" s="50" t="str">
        <f>F2</f>
        <v>เมษายน</v>
      </c>
      <c r="G86" s="50" t="s">
        <v>87</v>
      </c>
      <c r="H86" s="51">
        <f>H2</f>
        <v>2569</v>
      </c>
      <c r="I86" s="52"/>
    </row>
    <row r="87" spans="1:9" s="3" customFormat="1" ht="20.100000000000001" customHeight="1" x14ac:dyDescent="0.35">
      <c r="A87" s="318" t="s">
        <v>32</v>
      </c>
      <c r="B87" s="318"/>
      <c r="C87" s="318"/>
      <c r="D87" s="2"/>
      <c r="F87" s="4"/>
      <c r="G87" s="4"/>
      <c r="H87" s="4" t="s">
        <v>21</v>
      </c>
      <c r="I87" s="40">
        <f>I3+1</f>
        <v>2</v>
      </c>
    </row>
    <row r="88" spans="1:9" s="3" customFormat="1" ht="20.100000000000001" customHeight="1" x14ac:dyDescent="0.35">
      <c r="A88" s="311" t="s">
        <v>74</v>
      </c>
      <c r="B88" s="311"/>
      <c r="C88" s="311"/>
      <c r="D88" s="2"/>
      <c r="E88" s="39" t="s">
        <v>81</v>
      </c>
      <c r="F88" s="308">
        <f>F4</f>
        <v>46107</v>
      </c>
      <c r="G88" s="308"/>
      <c r="H88" s="39" t="s">
        <v>82</v>
      </c>
      <c r="I88" s="34">
        <f>$I$4</f>
        <v>46136</v>
      </c>
    </row>
    <row r="89" spans="1:9" x14ac:dyDescent="0.2">
      <c r="A89" s="12" t="s">
        <v>23</v>
      </c>
      <c r="B89" s="13" t="s">
        <v>11</v>
      </c>
      <c r="C89" s="72" t="s">
        <v>26</v>
      </c>
      <c r="D89" s="12" t="s">
        <v>16</v>
      </c>
      <c r="E89" s="12" t="s">
        <v>17</v>
      </c>
      <c r="F89" s="310" t="s">
        <v>46</v>
      </c>
      <c r="G89" s="310"/>
      <c r="H89" s="310"/>
      <c r="I89" s="12" t="s">
        <v>19</v>
      </c>
    </row>
    <row r="90" spans="1:9" x14ac:dyDescent="0.2">
      <c r="A90" s="15"/>
      <c r="B90" s="16"/>
      <c r="C90" s="73"/>
      <c r="D90" s="15"/>
      <c r="E90" s="15"/>
      <c r="F90" s="21" t="s">
        <v>113</v>
      </c>
      <c r="G90" s="21" t="s">
        <v>114</v>
      </c>
      <c r="H90" s="21" t="s">
        <v>20</v>
      </c>
      <c r="I90" s="15"/>
    </row>
    <row r="91" spans="1:9" x14ac:dyDescent="0.2">
      <c r="A91" s="8" t="s">
        <v>0</v>
      </c>
      <c r="B91" s="5">
        <f>B73+1</f>
        <v>46114</v>
      </c>
      <c r="C91" s="74" t="s">
        <v>650</v>
      </c>
      <c r="D91" s="6" t="s">
        <v>206</v>
      </c>
      <c r="E91" s="6" t="s">
        <v>632</v>
      </c>
      <c r="F91" s="6">
        <v>1</v>
      </c>
      <c r="G91" s="6"/>
      <c r="H91" s="6">
        <v>6</v>
      </c>
      <c r="I91" s="6"/>
    </row>
    <row r="92" spans="1:9" x14ac:dyDescent="0.2">
      <c r="A92" s="8" t="s">
        <v>1</v>
      </c>
      <c r="B92" s="5"/>
      <c r="C92" s="74" t="s">
        <v>651</v>
      </c>
      <c r="D92" s="6" t="s">
        <v>206</v>
      </c>
      <c r="E92" s="6" t="s">
        <v>632</v>
      </c>
      <c r="F92" s="6">
        <v>1</v>
      </c>
      <c r="G92" s="6"/>
      <c r="H92" s="6">
        <v>6</v>
      </c>
      <c r="I92" s="6"/>
    </row>
    <row r="93" spans="1:9" x14ac:dyDescent="0.2">
      <c r="A93" s="8" t="s">
        <v>2</v>
      </c>
      <c r="B93" s="5"/>
      <c r="C93" s="74" t="s">
        <v>653</v>
      </c>
      <c r="D93" s="6" t="s">
        <v>202</v>
      </c>
      <c r="E93" s="6" t="s">
        <v>222</v>
      </c>
      <c r="F93" s="6">
        <v>1</v>
      </c>
      <c r="G93" s="6"/>
      <c r="H93" s="6">
        <v>5</v>
      </c>
      <c r="I93" s="6"/>
    </row>
    <row r="94" spans="1:9" x14ac:dyDescent="0.2">
      <c r="A94" s="8" t="s">
        <v>3</v>
      </c>
      <c r="B94" s="5"/>
      <c r="C94" s="74" t="s">
        <v>654</v>
      </c>
      <c r="D94" s="6" t="s">
        <v>188</v>
      </c>
      <c r="E94" s="6" t="s">
        <v>165</v>
      </c>
      <c r="F94" s="6">
        <v>1</v>
      </c>
      <c r="G94" s="6"/>
      <c r="H94" s="6">
        <v>5</v>
      </c>
      <c r="I94" s="6"/>
    </row>
    <row r="95" spans="1:9" x14ac:dyDescent="0.2">
      <c r="A95" s="8" t="s">
        <v>4</v>
      </c>
      <c r="B95" s="5"/>
      <c r="C95" s="74" t="s">
        <v>655</v>
      </c>
      <c r="D95" s="6" t="s">
        <v>170</v>
      </c>
      <c r="E95" s="6" t="s">
        <v>171</v>
      </c>
      <c r="F95" s="6">
        <v>1</v>
      </c>
      <c r="G95" s="6"/>
      <c r="H95" s="6">
        <v>6</v>
      </c>
      <c r="I95" s="6"/>
    </row>
    <row r="96" spans="1:9" x14ac:dyDescent="0.2">
      <c r="A96" s="8" t="s">
        <v>5</v>
      </c>
      <c r="B96" s="5"/>
      <c r="C96" s="74" t="s">
        <v>656</v>
      </c>
      <c r="D96" s="6" t="s">
        <v>170</v>
      </c>
      <c r="E96" s="6" t="s">
        <v>171</v>
      </c>
      <c r="F96" s="6">
        <v>1</v>
      </c>
      <c r="G96" s="6"/>
      <c r="H96" s="6">
        <v>6</v>
      </c>
      <c r="I96" s="6"/>
    </row>
    <row r="97" spans="1:9" x14ac:dyDescent="0.2">
      <c r="A97" s="8" t="s">
        <v>6</v>
      </c>
      <c r="B97" s="5"/>
      <c r="C97" s="74" t="s">
        <v>657</v>
      </c>
      <c r="D97" s="6" t="s">
        <v>170</v>
      </c>
      <c r="E97" s="6" t="s">
        <v>171</v>
      </c>
      <c r="F97" s="6"/>
      <c r="G97" s="6">
        <v>1</v>
      </c>
      <c r="H97" s="6">
        <v>6</v>
      </c>
      <c r="I97" s="6"/>
    </row>
    <row r="98" spans="1:9" x14ac:dyDescent="0.2">
      <c r="A98" s="8" t="s">
        <v>7</v>
      </c>
      <c r="B98" s="5"/>
      <c r="C98" s="74" t="s">
        <v>658</v>
      </c>
      <c r="D98" s="6" t="s">
        <v>170</v>
      </c>
      <c r="E98" s="6" t="s">
        <v>171</v>
      </c>
      <c r="F98" s="6"/>
      <c r="G98" s="6">
        <v>1</v>
      </c>
      <c r="H98" s="6">
        <v>6</v>
      </c>
      <c r="I98" s="6"/>
    </row>
    <row r="99" spans="1:9" hidden="1" x14ac:dyDescent="0.2">
      <c r="A99" s="8" t="s">
        <v>8</v>
      </c>
      <c r="B99" s="5"/>
      <c r="C99" s="74"/>
      <c r="D99" s="6"/>
      <c r="E99" s="6"/>
      <c r="F99" s="6"/>
      <c r="G99" s="6"/>
      <c r="H99" s="6"/>
      <c r="I99" s="6"/>
    </row>
    <row r="100" spans="1:9" hidden="1" x14ac:dyDescent="0.2">
      <c r="A100" s="8" t="s">
        <v>9</v>
      </c>
      <c r="B100" s="5"/>
      <c r="C100" s="74"/>
      <c r="D100" s="6"/>
      <c r="E100" s="6"/>
      <c r="F100" s="6"/>
      <c r="G100" s="6"/>
      <c r="H100" s="6"/>
      <c r="I100" s="6"/>
    </row>
    <row r="101" spans="1:9" x14ac:dyDescent="0.2">
      <c r="A101" s="312" t="s">
        <v>10</v>
      </c>
      <c r="B101" s="313"/>
      <c r="C101" s="313"/>
      <c r="D101" s="313"/>
      <c r="E101" s="314"/>
      <c r="F101" s="11">
        <f>SUM(F91:F100)</f>
        <v>6</v>
      </c>
      <c r="G101" s="11">
        <f>SUM(G91:G100)</f>
        <v>2</v>
      </c>
      <c r="H101" s="11">
        <f>SUM(H91:H100)</f>
        <v>46</v>
      </c>
      <c r="I101" s="11"/>
    </row>
    <row r="102" spans="1:9" x14ac:dyDescent="0.2">
      <c r="A102" s="8" t="s">
        <v>0</v>
      </c>
      <c r="B102" s="5">
        <f>B91+1</f>
        <v>46115</v>
      </c>
      <c r="C102" s="74" t="s">
        <v>732</v>
      </c>
      <c r="D102" s="6" t="s">
        <v>342</v>
      </c>
      <c r="E102" s="6" t="s">
        <v>165</v>
      </c>
      <c r="F102" s="6">
        <v>1</v>
      </c>
      <c r="G102" s="6"/>
      <c r="H102" s="6">
        <v>6</v>
      </c>
      <c r="I102" s="6"/>
    </row>
    <row r="103" spans="1:9" x14ac:dyDescent="0.2">
      <c r="A103" s="8" t="s">
        <v>1</v>
      </c>
      <c r="B103" s="5"/>
      <c r="C103" s="74" t="s">
        <v>733</v>
      </c>
      <c r="D103" s="6" t="s">
        <v>342</v>
      </c>
      <c r="E103" s="6" t="s">
        <v>165</v>
      </c>
      <c r="F103" s="6">
        <v>1</v>
      </c>
      <c r="G103" s="6"/>
      <c r="H103" s="6">
        <v>6</v>
      </c>
      <c r="I103" s="6"/>
    </row>
    <row r="104" spans="1:9" x14ac:dyDescent="0.2">
      <c r="A104" s="8" t="s">
        <v>2</v>
      </c>
      <c r="B104" s="5"/>
      <c r="C104" s="74" t="s">
        <v>734</v>
      </c>
      <c r="D104" s="6" t="s">
        <v>170</v>
      </c>
      <c r="E104" s="6" t="s">
        <v>171</v>
      </c>
      <c r="F104" s="6">
        <v>1</v>
      </c>
      <c r="G104" s="6"/>
      <c r="H104" s="6">
        <v>6</v>
      </c>
      <c r="I104" s="6"/>
    </row>
    <row r="105" spans="1:9" x14ac:dyDescent="0.2">
      <c r="A105" s="8" t="s">
        <v>3</v>
      </c>
      <c r="B105" s="5"/>
      <c r="C105" s="74" t="s">
        <v>735</v>
      </c>
      <c r="D105" s="6" t="s">
        <v>342</v>
      </c>
      <c r="E105" s="6" t="s">
        <v>165</v>
      </c>
      <c r="F105" s="6">
        <v>1</v>
      </c>
      <c r="G105" s="6"/>
      <c r="H105" s="6">
        <v>5</v>
      </c>
      <c r="I105" s="6"/>
    </row>
    <row r="106" spans="1:9" x14ac:dyDescent="0.2">
      <c r="A106" s="8" t="s">
        <v>4</v>
      </c>
      <c r="B106" s="5"/>
      <c r="C106" s="74" t="s">
        <v>736</v>
      </c>
      <c r="D106" s="6" t="s">
        <v>170</v>
      </c>
      <c r="E106" s="6" t="s">
        <v>171</v>
      </c>
      <c r="F106" s="6">
        <v>1</v>
      </c>
      <c r="G106" s="6"/>
      <c r="H106" s="6">
        <v>6</v>
      </c>
      <c r="I106" s="6"/>
    </row>
    <row r="107" spans="1:9" x14ac:dyDescent="0.2">
      <c r="A107" s="8" t="s">
        <v>5</v>
      </c>
      <c r="B107" s="5"/>
      <c r="C107" s="74" t="s">
        <v>737</v>
      </c>
      <c r="D107" s="6" t="s">
        <v>170</v>
      </c>
      <c r="E107" s="6" t="s">
        <v>171</v>
      </c>
      <c r="F107" s="6">
        <v>1</v>
      </c>
      <c r="G107" s="6"/>
      <c r="H107" s="6">
        <v>6</v>
      </c>
      <c r="I107" s="6"/>
    </row>
    <row r="108" spans="1:9" x14ac:dyDescent="0.2">
      <c r="A108" s="8" t="s">
        <v>6</v>
      </c>
      <c r="B108" s="5"/>
      <c r="C108" s="74" t="s">
        <v>738</v>
      </c>
      <c r="D108" s="6" t="s">
        <v>170</v>
      </c>
      <c r="E108" s="6" t="s">
        <v>171</v>
      </c>
      <c r="F108" s="6"/>
      <c r="G108" s="6">
        <v>1</v>
      </c>
      <c r="H108" s="6">
        <v>6</v>
      </c>
      <c r="I108" s="6"/>
    </row>
    <row r="109" spans="1:9" x14ac:dyDescent="0.2">
      <c r="A109" s="8" t="s">
        <v>7</v>
      </c>
      <c r="B109" s="5"/>
      <c r="C109" s="74" t="s">
        <v>739</v>
      </c>
      <c r="D109" s="6" t="s">
        <v>170</v>
      </c>
      <c r="E109" s="6" t="s">
        <v>171</v>
      </c>
      <c r="F109" s="6"/>
      <c r="G109" s="6">
        <v>1</v>
      </c>
      <c r="H109" s="6">
        <v>6</v>
      </c>
      <c r="I109" s="6"/>
    </row>
    <row r="110" spans="1:9" hidden="1" x14ac:dyDescent="0.2">
      <c r="A110" s="8" t="s">
        <v>8</v>
      </c>
      <c r="B110" s="5"/>
      <c r="C110" s="74"/>
      <c r="D110" s="6"/>
      <c r="E110" s="6"/>
      <c r="F110" s="6"/>
      <c r="G110" s="6"/>
      <c r="H110" s="6"/>
      <c r="I110" s="6"/>
    </row>
    <row r="111" spans="1:9" hidden="1" x14ac:dyDescent="0.2">
      <c r="A111" s="8" t="s">
        <v>9</v>
      </c>
      <c r="B111" s="5"/>
      <c r="C111" s="74"/>
      <c r="D111" s="6"/>
      <c r="E111" s="6"/>
      <c r="F111" s="6"/>
      <c r="G111" s="6"/>
      <c r="H111" s="6"/>
      <c r="I111" s="6"/>
    </row>
    <row r="112" spans="1:9" x14ac:dyDescent="0.2">
      <c r="A112" s="312" t="s">
        <v>10</v>
      </c>
      <c r="B112" s="313"/>
      <c r="C112" s="313"/>
      <c r="D112" s="313"/>
      <c r="E112" s="314"/>
      <c r="F112" s="11">
        <f>SUM(F102:F111)</f>
        <v>6</v>
      </c>
      <c r="G112" s="11">
        <f>SUM(G102:G111)</f>
        <v>2</v>
      </c>
      <c r="H112" s="11">
        <f>SUM(H102:H111)</f>
        <v>47</v>
      </c>
      <c r="I112" s="11"/>
    </row>
    <row r="113" spans="1:9" x14ac:dyDescent="0.2">
      <c r="A113" s="8" t="s">
        <v>0</v>
      </c>
      <c r="B113" s="5">
        <f>B102+1</f>
        <v>46116</v>
      </c>
      <c r="C113" s="74" t="s">
        <v>818</v>
      </c>
      <c r="D113" s="6" t="s">
        <v>188</v>
      </c>
      <c r="E113" s="6" t="s">
        <v>165</v>
      </c>
      <c r="F113" s="6">
        <v>1</v>
      </c>
      <c r="G113" s="6"/>
      <c r="H113" s="6">
        <v>6</v>
      </c>
      <c r="I113" s="6"/>
    </row>
    <row r="114" spans="1:9" ht="17.25" customHeight="1" x14ac:dyDescent="0.2">
      <c r="A114" s="8" t="s">
        <v>1</v>
      </c>
      <c r="B114" s="5"/>
      <c r="C114" s="74" t="s">
        <v>819</v>
      </c>
      <c r="D114" s="6" t="s">
        <v>820</v>
      </c>
      <c r="E114" s="6" t="s">
        <v>168</v>
      </c>
      <c r="F114" s="6">
        <v>1</v>
      </c>
      <c r="G114" s="6"/>
      <c r="H114" s="6">
        <v>4</v>
      </c>
      <c r="I114" s="6"/>
    </row>
    <row r="115" spans="1:9" ht="17.25" customHeight="1" x14ac:dyDescent="0.2">
      <c r="A115" s="8" t="s">
        <v>2</v>
      </c>
      <c r="B115" s="5"/>
      <c r="C115" s="74" t="s">
        <v>821</v>
      </c>
      <c r="D115" s="6" t="s">
        <v>364</v>
      </c>
      <c r="E115" s="6" t="s">
        <v>174</v>
      </c>
      <c r="F115" s="6">
        <v>1</v>
      </c>
      <c r="G115" s="6"/>
      <c r="H115" s="6">
        <v>6</v>
      </c>
      <c r="I115" s="6"/>
    </row>
    <row r="116" spans="1:9" ht="17.25" customHeight="1" x14ac:dyDescent="0.2">
      <c r="A116" s="8" t="s">
        <v>3</v>
      </c>
      <c r="B116" s="5"/>
      <c r="C116" s="74" t="s">
        <v>822</v>
      </c>
      <c r="D116" s="6" t="s">
        <v>823</v>
      </c>
      <c r="E116" s="6" t="s">
        <v>190</v>
      </c>
      <c r="F116" s="6"/>
      <c r="G116" s="6"/>
      <c r="H116" s="6">
        <v>2</v>
      </c>
      <c r="I116" s="6"/>
    </row>
    <row r="117" spans="1:9" ht="17.25" customHeight="1" x14ac:dyDescent="0.2">
      <c r="A117" s="8" t="s">
        <v>4</v>
      </c>
      <c r="B117" s="5"/>
      <c r="C117" s="74" t="s">
        <v>824</v>
      </c>
      <c r="D117" s="6" t="s">
        <v>170</v>
      </c>
      <c r="E117" s="6" t="s">
        <v>174</v>
      </c>
      <c r="F117" s="6">
        <v>1</v>
      </c>
      <c r="G117" s="6"/>
      <c r="H117" s="6">
        <v>5</v>
      </c>
      <c r="I117" s="6"/>
    </row>
    <row r="118" spans="1:9" ht="17.25" customHeight="1" x14ac:dyDescent="0.2">
      <c r="A118" s="8" t="s">
        <v>5</v>
      </c>
      <c r="B118" s="5"/>
      <c r="C118" s="74" t="s">
        <v>825</v>
      </c>
      <c r="D118" s="6" t="s">
        <v>817</v>
      </c>
      <c r="E118" s="6" t="s">
        <v>190</v>
      </c>
      <c r="F118" s="6"/>
      <c r="G118" s="6">
        <v>1</v>
      </c>
      <c r="H118" s="6">
        <v>5</v>
      </c>
      <c r="I118" s="6"/>
    </row>
    <row r="119" spans="1:9" ht="17.25" hidden="1" customHeight="1" x14ac:dyDescent="0.2">
      <c r="A119" s="8" t="s">
        <v>6</v>
      </c>
      <c r="B119" s="5"/>
      <c r="C119" s="74"/>
      <c r="D119" s="6"/>
      <c r="E119" s="6"/>
      <c r="F119" s="6"/>
      <c r="G119" s="6"/>
      <c r="H119" s="6"/>
      <c r="I119" s="6"/>
    </row>
    <row r="120" spans="1:9" ht="17.25" hidden="1" customHeight="1" x14ac:dyDescent="0.2">
      <c r="A120" s="8" t="s">
        <v>7</v>
      </c>
      <c r="B120" s="5"/>
      <c r="C120" s="74"/>
      <c r="D120" s="6"/>
      <c r="E120" s="6"/>
      <c r="F120" s="6"/>
      <c r="G120" s="6"/>
      <c r="H120" s="6"/>
      <c r="I120" s="6"/>
    </row>
    <row r="121" spans="1:9" ht="17.25" hidden="1" customHeight="1" x14ac:dyDescent="0.2">
      <c r="A121" s="8" t="s">
        <v>8</v>
      </c>
      <c r="B121" s="5"/>
      <c r="C121" s="74"/>
      <c r="D121" s="6"/>
      <c r="E121" s="6"/>
      <c r="F121" s="6"/>
      <c r="G121" s="6"/>
      <c r="H121" s="6"/>
      <c r="I121" s="6"/>
    </row>
    <row r="122" spans="1:9" ht="17.25" hidden="1" customHeight="1" x14ac:dyDescent="0.2">
      <c r="A122" s="8" t="s">
        <v>9</v>
      </c>
      <c r="B122" s="5"/>
      <c r="C122" s="74"/>
      <c r="D122" s="6"/>
      <c r="E122" s="6"/>
      <c r="F122" s="6"/>
      <c r="G122" s="6"/>
      <c r="H122" s="6"/>
      <c r="I122" s="6"/>
    </row>
    <row r="123" spans="1:9" x14ac:dyDescent="0.2">
      <c r="A123" s="312" t="s">
        <v>10</v>
      </c>
      <c r="B123" s="313"/>
      <c r="C123" s="313"/>
      <c r="D123" s="313"/>
      <c r="E123" s="314"/>
      <c r="F123" s="11">
        <f>SUM(F113:F122)</f>
        <v>4</v>
      </c>
      <c r="G123" s="11">
        <f>SUM(G113:G122)</f>
        <v>1</v>
      </c>
      <c r="H123" s="11">
        <f>SUM(H113:H122)</f>
        <v>28</v>
      </c>
      <c r="I123" s="11"/>
    </row>
    <row r="124" spans="1:9" hidden="1" x14ac:dyDescent="0.2">
      <c r="A124" s="8" t="s">
        <v>0</v>
      </c>
      <c r="B124" s="5">
        <f>B113+1</f>
        <v>46117</v>
      </c>
      <c r="C124" s="75"/>
      <c r="D124" s="6"/>
      <c r="E124" s="6"/>
      <c r="F124" s="6"/>
      <c r="G124" s="6"/>
      <c r="H124" s="6"/>
      <c r="I124" s="6"/>
    </row>
    <row r="125" spans="1:9" hidden="1" x14ac:dyDescent="0.2">
      <c r="A125" s="8" t="s">
        <v>1</v>
      </c>
      <c r="B125" s="5"/>
      <c r="C125" s="75"/>
      <c r="D125" s="6"/>
      <c r="E125" s="6"/>
      <c r="F125" s="6"/>
      <c r="G125" s="6"/>
      <c r="H125" s="6"/>
      <c r="I125" s="6"/>
    </row>
    <row r="126" spans="1:9" hidden="1" x14ac:dyDescent="0.2">
      <c r="A126" s="8" t="s">
        <v>2</v>
      </c>
      <c r="B126" s="5"/>
      <c r="C126" s="75"/>
      <c r="D126" s="6"/>
      <c r="E126" s="6"/>
      <c r="F126" s="6"/>
      <c r="G126" s="6"/>
      <c r="H126" s="6"/>
      <c r="I126" s="6"/>
    </row>
    <row r="127" spans="1:9" hidden="1" x14ac:dyDescent="0.2">
      <c r="A127" s="8" t="s">
        <v>3</v>
      </c>
      <c r="B127" s="5"/>
      <c r="C127" s="75"/>
      <c r="D127" s="6"/>
      <c r="E127" s="6"/>
      <c r="F127" s="6"/>
      <c r="G127" s="6"/>
      <c r="H127" s="6"/>
      <c r="I127" s="6"/>
    </row>
    <row r="128" spans="1:9" hidden="1" x14ac:dyDescent="0.2">
      <c r="A128" s="8" t="s">
        <v>4</v>
      </c>
      <c r="B128" s="5"/>
      <c r="C128" s="75"/>
      <c r="D128" s="6"/>
      <c r="E128" s="6"/>
      <c r="F128" s="6"/>
      <c r="G128" s="6"/>
      <c r="H128" s="6"/>
      <c r="I128" s="6"/>
    </row>
    <row r="129" spans="1:9" hidden="1" x14ac:dyDescent="0.2">
      <c r="A129" s="8" t="s">
        <v>5</v>
      </c>
      <c r="B129" s="5"/>
      <c r="C129" s="75"/>
      <c r="D129" s="6"/>
      <c r="E129" s="6"/>
      <c r="F129" s="6"/>
      <c r="G129" s="6"/>
      <c r="H129" s="6"/>
      <c r="I129" s="6"/>
    </row>
    <row r="130" spans="1:9" hidden="1" x14ac:dyDescent="0.2">
      <c r="A130" s="8" t="s">
        <v>6</v>
      </c>
      <c r="B130" s="5"/>
      <c r="C130" s="75"/>
      <c r="D130" s="6"/>
      <c r="E130" s="6"/>
      <c r="F130" s="6"/>
      <c r="G130" s="6"/>
      <c r="H130" s="6"/>
      <c r="I130" s="6"/>
    </row>
    <row r="131" spans="1:9" hidden="1" x14ac:dyDescent="0.2">
      <c r="A131" s="8" t="s">
        <v>7</v>
      </c>
      <c r="B131" s="5"/>
      <c r="C131" s="74"/>
      <c r="D131" s="6"/>
      <c r="E131" s="6"/>
      <c r="F131" s="6"/>
      <c r="G131" s="6"/>
      <c r="H131" s="6"/>
      <c r="I131" s="6"/>
    </row>
    <row r="132" spans="1:9" hidden="1" x14ac:dyDescent="0.2">
      <c r="A132" s="8" t="s">
        <v>8</v>
      </c>
      <c r="B132" s="5"/>
      <c r="C132" s="74"/>
      <c r="D132" s="6"/>
      <c r="E132" s="6"/>
      <c r="F132" s="6"/>
      <c r="G132" s="6"/>
      <c r="H132" s="6"/>
      <c r="I132" s="6"/>
    </row>
    <row r="133" spans="1:9" hidden="1" x14ac:dyDescent="0.2">
      <c r="A133" s="8" t="s">
        <v>9</v>
      </c>
      <c r="B133" s="5"/>
      <c r="C133" s="74"/>
      <c r="D133" s="6"/>
      <c r="E133" s="6"/>
      <c r="F133" s="6"/>
      <c r="G133" s="6"/>
      <c r="H133" s="6"/>
      <c r="I133" s="6"/>
    </row>
    <row r="134" spans="1:9" hidden="1" x14ac:dyDescent="0.2">
      <c r="A134" s="312" t="s">
        <v>10</v>
      </c>
      <c r="B134" s="313"/>
      <c r="C134" s="313"/>
      <c r="D134" s="313"/>
      <c r="E134" s="314"/>
      <c r="F134" s="11">
        <f>SUM(F124:F133)</f>
        <v>0</v>
      </c>
      <c r="G134" s="11">
        <f>SUM(G124:G133)</f>
        <v>0</v>
      </c>
      <c r="H134" s="11">
        <f>SUM(H124:H133)</f>
        <v>0</v>
      </c>
      <c r="I134" s="11"/>
    </row>
    <row r="135" spans="1:9" x14ac:dyDescent="0.2">
      <c r="A135" s="8" t="s">
        <v>0</v>
      </c>
      <c r="B135" s="5">
        <f>B124+1</f>
        <v>46118</v>
      </c>
      <c r="C135" s="75" t="s">
        <v>940</v>
      </c>
      <c r="D135" s="6" t="s">
        <v>242</v>
      </c>
      <c r="E135" s="6" t="s">
        <v>171</v>
      </c>
      <c r="F135" s="6">
        <v>1</v>
      </c>
      <c r="G135" s="6"/>
      <c r="H135" s="6">
        <v>5.5</v>
      </c>
      <c r="I135" s="6"/>
    </row>
    <row r="136" spans="1:9" x14ac:dyDescent="0.2">
      <c r="A136" s="8" t="s">
        <v>1</v>
      </c>
      <c r="B136" s="5"/>
      <c r="C136" s="75" t="s">
        <v>941</v>
      </c>
      <c r="D136" s="6" t="s">
        <v>242</v>
      </c>
      <c r="E136" s="6" t="s">
        <v>171</v>
      </c>
      <c r="F136" s="6">
        <v>1</v>
      </c>
      <c r="G136" s="6"/>
      <c r="H136" s="6">
        <v>5.5</v>
      </c>
      <c r="I136" s="6"/>
    </row>
    <row r="137" spans="1:9" x14ac:dyDescent="0.2">
      <c r="A137" s="8" t="s">
        <v>2</v>
      </c>
      <c r="B137" s="5"/>
      <c r="C137" s="75" t="s">
        <v>942</v>
      </c>
      <c r="D137" s="6" t="s">
        <v>242</v>
      </c>
      <c r="E137" s="6" t="s">
        <v>171</v>
      </c>
      <c r="F137" s="6">
        <v>1</v>
      </c>
      <c r="G137" s="6"/>
      <c r="H137" s="6">
        <v>6</v>
      </c>
      <c r="I137" s="6"/>
    </row>
    <row r="138" spans="1:9" x14ac:dyDescent="0.2">
      <c r="A138" s="8" t="s">
        <v>3</v>
      </c>
      <c r="B138" s="5"/>
      <c r="C138" s="75" t="s">
        <v>943</v>
      </c>
      <c r="D138" s="6" t="s">
        <v>242</v>
      </c>
      <c r="E138" s="6" t="s">
        <v>171</v>
      </c>
      <c r="F138" s="6">
        <v>1</v>
      </c>
      <c r="G138" s="6"/>
      <c r="H138" s="6">
        <v>6</v>
      </c>
      <c r="I138" s="6"/>
    </row>
    <row r="139" spans="1:9" x14ac:dyDescent="0.2">
      <c r="A139" s="8" t="s">
        <v>4</v>
      </c>
      <c r="B139" s="5"/>
      <c r="C139" s="75" t="s">
        <v>934</v>
      </c>
      <c r="D139" s="6" t="s">
        <v>170</v>
      </c>
      <c r="E139" s="6" t="s">
        <v>171</v>
      </c>
      <c r="F139" s="6"/>
      <c r="G139" s="6">
        <v>1</v>
      </c>
      <c r="H139" s="6">
        <v>6</v>
      </c>
      <c r="I139" s="6"/>
    </row>
    <row r="140" spans="1:9" x14ac:dyDescent="0.2">
      <c r="A140" s="8" t="s">
        <v>5</v>
      </c>
      <c r="B140" s="5"/>
      <c r="C140" s="75" t="s">
        <v>937</v>
      </c>
      <c r="D140" s="6" t="s">
        <v>170</v>
      </c>
      <c r="E140" s="6" t="s">
        <v>171</v>
      </c>
      <c r="F140" s="6"/>
      <c r="G140" s="6">
        <v>1</v>
      </c>
      <c r="H140" s="6">
        <v>6</v>
      </c>
      <c r="I140" s="6"/>
    </row>
    <row r="141" spans="1:9" x14ac:dyDescent="0.2">
      <c r="A141" s="8" t="s">
        <v>6</v>
      </c>
      <c r="B141" s="5"/>
      <c r="C141" s="74" t="s">
        <v>944</v>
      </c>
      <c r="D141" s="6" t="s">
        <v>170</v>
      </c>
      <c r="E141" s="6" t="s">
        <v>171</v>
      </c>
      <c r="F141" s="6"/>
      <c r="G141" s="6">
        <v>1</v>
      </c>
      <c r="H141" s="6">
        <v>6</v>
      </c>
      <c r="I141" s="6"/>
    </row>
    <row r="142" spans="1:9" x14ac:dyDescent="0.2">
      <c r="A142" s="8" t="s">
        <v>7</v>
      </c>
      <c r="B142" s="5"/>
      <c r="C142" s="74" t="s">
        <v>945</v>
      </c>
      <c r="D142" s="6" t="s">
        <v>170</v>
      </c>
      <c r="E142" s="6" t="s">
        <v>171</v>
      </c>
      <c r="F142" s="6"/>
      <c r="G142" s="6">
        <v>1</v>
      </c>
      <c r="H142" s="6">
        <v>6</v>
      </c>
      <c r="I142" s="6"/>
    </row>
    <row r="143" spans="1:9" hidden="1" x14ac:dyDescent="0.2">
      <c r="A143" s="8" t="s">
        <v>8</v>
      </c>
      <c r="B143" s="5"/>
      <c r="C143" s="74"/>
      <c r="D143" s="6"/>
      <c r="E143" s="6"/>
      <c r="F143" s="6"/>
      <c r="G143" s="6"/>
      <c r="H143" s="6"/>
      <c r="I143" s="6"/>
    </row>
    <row r="144" spans="1:9" hidden="1" x14ac:dyDescent="0.2">
      <c r="A144" s="8" t="s">
        <v>9</v>
      </c>
      <c r="B144" s="5"/>
      <c r="C144" s="74"/>
      <c r="D144" s="6"/>
      <c r="E144" s="6"/>
      <c r="F144" s="6"/>
      <c r="G144" s="6"/>
      <c r="H144" s="6"/>
      <c r="I144" s="6"/>
    </row>
    <row r="145" spans="1:9" x14ac:dyDescent="0.2">
      <c r="A145" s="312" t="s">
        <v>10</v>
      </c>
      <c r="B145" s="313"/>
      <c r="C145" s="313"/>
      <c r="D145" s="313"/>
      <c r="E145" s="314"/>
      <c r="F145" s="11">
        <f>SUM(F135:F144)</f>
        <v>4</v>
      </c>
      <c r="G145" s="11">
        <f>SUM(G135:G144)</f>
        <v>4</v>
      </c>
      <c r="H145" s="11">
        <f>SUM(H135:H144)</f>
        <v>47</v>
      </c>
      <c r="I145" s="11"/>
    </row>
    <row r="146" spans="1:9" x14ac:dyDescent="0.2">
      <c r="A146" s="8" t="s">
        <v>0</v>
      </c>
      <c r="B146" s="5">
        <f>B135+1</f>
        <v>46119</v>
      </c>
      <c r="C146" s="74" t="s">
        <v>1013</v>
      </c>
      <c r="D146" s="6" t="s">
        <v>250</v>
      </c>
      <c r="E146" s="6" t="s">
        <v>168</v>
      </c>
      <c r="F146" s="6">
        <v>1</v>
      </c>
      <c r="G146" s="6"/>
      <c r="H146" s="6">
        <v>5</v>
      </c>
      <c r="I146" s="6"/>
    </row>
    <row r="147" spans="1:9" x14ac:dyDescent="0.2">
      <c r="A147" s="8" t="s">
        <v>1</v>
      </c>
      <c r="B147" s="5"/>
      <c r="C147" s="74" t="s">
        <v>1014</v>
      </c>
      <c r="D147" s="6" t="s">
        <v>211</v>
      </c>
      <c r="E147" s="6" t="s">
        <v>165</v>
      </c>
      <c r="F147" s="6">
        <v>1</v>
      </c>
      <c r="G147" s="6"/>
      <c r="H147" s="6">
        <v>6</v>
      </c>
      <c r="I147" s="6"/>
    </row>
    <row r="148" spans="1:9" x14ac:dyDescent="0.2">
      <c r="A148" s="8" t="s">
        <v>2</v>
      </c>
      <c r="B148" s="5"/>
      <c r="C148" s="74" t="s">
        <v>1015</v>
      </c>
      <c r="D148" s="6" t="s">
        <v>211</v>
      </c>
      <c r="E148" s="6" t="s">
        <v>171</v>
      </c>
      <c r="F148" s="6">
        <v>1</v>
      </c>
      <c r="G148" s="6"/>
      <c r="H148" s="6">
        <v>6</v>
      </c>
      <c r="I148" s="6"/>
    </row>
    <row r="149" spans="1:9" x14ac:dyDescent="0.2">
      <c r="A149" s="8" t="s">
        <v>3</v>
      </c>
      <c r="B149" s="5"/>
      <c r="C149" s="74" t="s">
        <v>1016</v>
      </c>
      <c r="D149" s="6" t="s">
        <v>170</v>
      </c>
      <c r="E149" s="6" t="s">
        <v>165</v>
      </c>
      <c r="F149" s="6">
        <v>1</v>
      </c>
      <c r="G149" s="6"/>
      <c r="H149" s="6">
        <v>3</v>
      </c>
      <c r="I149" s="6"/>
    </row>
    <row r="150" spans="1:9" x14ac:dyDescent="0.2">
      <c r="A150" s="8" t="s">
        <v>4</v>
      </c>
      <c r="B150" s="5"/>
      <c r="C150" s="74" t="s">
        <v>1017</v>
      </c>
      <c r="D150" s="6" t="s">
        <v>347</v>
      </c>
      <c r="E150" s="6" t="s">
        <v>441</v>
      </c>
      <c r="F150" s="6"/>
      <c r="G150" s="6">
        <v>1</v>
      </c>
      <c r="H150" s="6">
        <v>4.5</v>
      </c>
      <c r="I150" s="6"/>
    </row>
    <row r="151" spans="1:9" hidden="1" x14ac:dyDescent="0.2">
      <c r="A151" s="8" t="s">
        <v>5</v>
      </c>
      <c r="B151" s="5"/>
      <c r="C151" s="74"/>
      <c r="D151" s="6"/>
      <c r="E151" s="6"/>
      <c r="F151" s="6"/>
      <c r="G151" s="6"/>
      <c r="H151" s="6"/>
      <c r="I151" s="6"/>
    </row>
    <row r="152" spans="1:9" hidden="1" x14ac:dyDescent="0.2">
      <c r="A152" s="8" t="s">
        <v>6</v>
      </c>
      <c r="B152" s="5"/>
      <c r="C152" s="74"/>
      <c r="D152" s="6"/>
      <c r="E152" s="6"/>
      <c r="F152" s="6"/>
      <c r="G152" s="6"/>
      <c r="H152" s="6"/>
      <c r="I152" s="6"/>
    </row>
    <row r="153" spans="1:9" hidden="1" x14ac:dyDescent="0.2">
      <c r="A153" s="8" t="s">
        <v>7</v>
      </c>
      <c r="B153" s="5"/>
      <c r="C153" s="74"/>
      <c r="D153" s="6"/>
      <c r="E153" s="6"/>
      <c r="F153" s="6"/>
      <c r="G153" s="6"/>
      <c r="H153" s="6"/>
      <c r="I153" s="6"/>
    </row>
    <row r="154" spans="1:9" hidden="1" x14ac:dyDescent="0.2">
      <c r="A154" s="8" t="s">
        <v>8</v>
      </c>
      <c r="B154" s="5"/>
      <c r="C154" s="74"/>
      <c r="D154" s="6"/>
      <c r="E154" s="6"/>
      <c r="F154" s="6"/>
      <c r="G154" s="6"/>
      <c r="H154" s="6"/>
      <c r="I154" s="6"/>
    </row>
    <row r="155" spans="1:9" hidden="1" x14ac:dyDescent="0.2">
      <c r="A155" s="8" t="s">
        <v>9</v>
      </c>
      <c r="B155" s="5"/>
      <c r="C155" s="75"/>
      <c r="D155" s="6"/>
      <c r="E155" s="6"/>
      <c r="F155" s="6"/>
      <c r="G155" s="6"/>
      <c r="H155" s="6"/>
      <c r="I155" s="6"/>
    </row>
    <row r="156" spans="1:9" x14ac:dyDescent="0.2">
      <c r="A156" s="312" t="s">
        <v>10</v>
      </c>
      <c r="B156" s="313"/>
      <c r="C156" s="313"/>
      <c r="D156" s="313"/>
      <c r="E156" s="314"/>
      <c r="F156" s="11">
        <f>SUM(F146:F155)</f>
        <v>4</v>
      </c>
      <c r="G156" s="11">
        <f>SUM(G146:G155)</f>
        <v>1</v>
      </c>
      <c r="H156" s="11">
        <f>SUM(H146:H155)</f>
        <v>24.5</v>
      </c>
      <c r="I156" s="11"/>
    </row>
    <row r="157" spans="1:9" x14ac:dyDescent="0.2">
      <c r="A157" s="8" t="s">
        <v>0</v>
      </c>
      <c r="B157" s="5">
        <f>B146+1</f>
        <v>46120</v>
      </c>
      <c r="C157" s="74" t="s">
        <v>1065</v>
      </c>
      <c r="D157" s="6" t="s">
        <v>170</v>
      </c>
      <c r="E157" s="6" t="s">
        <v>165</v>
      </c>
      <c r="F157" s="6">
        <v>1</v>
      </c>
      <c r="G157" s="6"/>
      <c r="H157" s="6">
        <v>6</v>
      </c>
      <c r="I157" s="6"/>
    </row>
    <row r="158" spans="1:9" x14ac:dyDescent="0.2">
      <c r="A158" s="8" t="s">
        <v>1</v>
      </c>
      <c r="B158" s="5"/>
      <c r="C158" s="74" t="s">
        <v>1066</v>
      </c>
      <c r="D158" s="6" t="s">
        <v>170</v>
      </c>
      <c r="E158" s="6" t="s">
        <v>165</v>
      </c>
      <c r="F158" s="6">
        <v>1</v>
      </c>
      <c r="G158" s="6"/>
      <c r="H158" s="6">
        <v>6</v>
      </c>
      <c r="I158" s="6"/>
    </row>
    <row r="159" spans="1:9" x14ac:dyDescent="0.2">
      <c r="A159" s="8" t="s">
        <v>2</v>
      </c>
      <c r="B159" s="5"/>
      <c r="C159" s="74" t="s">
        <v>1067</v>
      </c>
      <c r="D159" s="6" t="s">
        <v>170</v>
      </c>
      <c r="E159" s="6" t="s">
        <v>165</v>
      </c>
      <c r="F159" s="6">
        <v>1</v>
      </c>
      <c r="G159" s="6"/>
      <c r="H159" s="6">
        <v>5</v>
      </c>
      <c r="I159" s="6"/>
    </row>
    <row r="160" spans="1:9" x14ac:dyDescent="0.2">
      <c r="A160" s="8" t="s">
        <v>3</v>
      </c>
      <c r="B160" s="5"/>
      <c r="C160" s="74" t="s">
        <v>1068</v>
      </c>
      <c r="D160" s="6" t="s">
        <v>364</v>
      </c>
      <c r="E160" s="6" t="s">
        <v>165</v>
      </c>
      <c r="F160" s="6">
        <v>1</v>
      </c>
      <c r="G160" s="6"/>
      <c r="H160" s="6">
        <v>4</v>
      </c>
      <c r="I160" s="6"/>
    </row>
    <row r="161" spans="1:9" x14ac:dyDescent="0.2">
      <c r="A161" s="8" t="s">
        <v>4</v>
      </c>
      <c r="B161" s="5"/>
      <c r="C161" s="74" t="s">
        <v>1069</v>
      </c>
      <c r="D161" s="6" t="s">
        <v>334</v>
      </c>
      <c r="E161" s="6" t="s">
        <v>168</v>
      </c>
      <c r="F161" s="6">
        <v>1</v>
      </c>
      <c r="G161" s="6"/>
      <c r="H161" s="6">
        <v>5.5</v>
      </c>
      <c r="I161" s="6"/>
    </row>
    <row r="162" spans="1:9" hidden="1" x14ac:dyDescent="0.2">
      <c r="A162" s="8" t="s">
        <v>5</v>
      </c>
      <c r="B162" s="5"/>
      <c r="C162" s="74"/>
      <c r="D162" s="6"/>
      <c r="E162" s="6"/>
      <c r="F162" s="6"/>
      <c r="G162" s="6"/>
      <c r="H162" s="6"/>
      <c r="I162" s="6"/>
    </row>
    <row r="163" spans="1:9" hidden="1" x14ac:dyDescent="0.2">
      <c r="A163" s="8" t="s">
        <v>6</v>
      </c>
      <c r="B163" s="5"/>
      <c r="C163" s="74"/>
      <c r="D163" s="6"/>
      <c r="E163" s="6"/>
      <c r="F163" s="6"/>
      <c r="G163" s="6"/>
      <c r="H163" s="6"/>
      <c r="I163" s="6"/>
    </row>
    <row r="164" spans="1:9" hidden="1" x14ac:dyDescent="0.2">
      <c r="A164" s="8" t="s">
        <v>7</v>
      </c>
      <c r="B164" s="5"/>
      <c r="C164" s="74"/>
      <c r="D164" s="6"/>
      <c r="E164" s="6"/>
      <c r="F164" s="6"/>
      <c r="G164" s="6"/>
      <c r="H164" s="6"/>
      <c r="I164" s="6"/>
    </row>
    <row r="165" spans="1:9" hidden="1" x14ac:dyDescent="0.2">
      <c r="A165" s="8" t="s">
        <v>8</v>
      </c>
      <c r="B165" s="5"/>
      <c r="C165" s="74"/>
      <c r="D165" s="6"/>
      <c r="E165" s="6"/>
      <c r="F165" s="6"/>
      <c r="G165" s="6"/>
      <c r="H165" s="6"/>
      <c r="I165" s="6"/>
    </row>
    <row r="166" spans="1:9" hidden="1" x14ac:dyDescent="0.2">
      <c r="A166" s="8" t="s">
        <v>9</v>
      </c>
      <c r="B166" s="5"/>
      <c r="C166" s="74"/>
      <c r="D166" s="6"/>
      <c r="E166" s="6"/>
      <c r="F166" s="6"/>
      <c r="G166" s="6"/>
      <c r="H166" s="6"/>
      <c r="I166" s="6"/>
    </row>
    <row r="167" spans="1:9" x14ac:dyDescent="0.2">
      <c r="A167" s="312" t="s">
        <v>10</v>
      </c>
      <c r="B167" s="313"/>
      <c r="C167" s="313"/>
      <c r="D167" s="313"/>
      <c r="E167" s="314"/>
      <c r="F167" s="11">
        <f>SUM(F157:F166)</f>
        <v>5</v>
      </c>
      <c r="G167" s="11">
        <f>SUM(G157:G166)</f>
        <v>0</v>
      </c>
      <c r="H167" s="11">
        <f>SUM(H157:H166)</f>
        <v>26.5</v>
      </c>
      <c r="I167" s="11"/>
    </row>
    <row r="168" spans="1:9" s="25" customFormat="1" ht="18" x14ac:dyDescent="0.2">
      <c r="A168" s="315" t="s">
        <v>39</v>
      </c>
      <c r="B168" s="316"/>
      <c r="C168" s="316"/>
      <c r="D168" s="316"/>
      <c r="E168" s="317"/>
      <c r="F168" s="22">
        <f>F101+F112+F123+F134+F145+F156+F167+F84</f>
        <v>57</v>
      </c>
      <c r="G168" s="22">
        <f>G101+G112+G123+G134+G145+G156+G167+G84</f>
        <v>16</v>
      </c>
      <c r="H168" s="22">
        <f>H101+H112+H123+H134+H145+H156+H167+H84</f>
        <v>391</v>
      </c>
      <c r="I168" s="22"/>
    </row>
    <row r="169" spans="1:9" ht="21.95" customHeight="1" x14ac:dyDescent="0.2">
      <c r="A169" s="319" t="s">
        <v>14</v>
      </c>
      <c r="B169" s="319"/>
      <c r="C169" s="319"/>
      <c r="D169" s="319"/>
      <c r="E169" s="319"/>
      <c r="F169" s="319"/>
      <c r="G169" s="319"/>
      <c r="H169" s="319"/>
      <c r="I169" s="319"/>
    </row>
    <row r="170" spans="1:9" s="53" customFormat="1" ht="20.100000000000001" customHeight="1" x14ac:dyDescent="0.2">
      <c r="A170" s="323" t="s">
        <v>86</v>
      </c>
      <c r="B170" s="323"/>
      <c r="C170" s="323"/>
      <c r="D170" s="323"/>
      <c r="E170" s="323"/>
      <c r="F170" s="50" t="str">
        <f>F86</f>
        <v>เมษายน</v>
      </c>
      <c r="G170" s="50" t="s">
        <v>87</v>
      </c>
      <c r="H170" s="51">
        <f>H86</f>
        <v>2569</v>
      </c>
      <c r="I170" s="52"/>
    </row>
    <row r="171" spans="1:9" s="3" customFormat="1" ht="20.100000000000001" customHeight="1" x14ac:dyDescent="0.35">
      <c r="A171" s="318" t="s">
        <v>32</v>
      </c>
      <c r="B171" s="318"/>
      <c r="C171" s="318"/>
      <c r="D171" s="2"/>
      <c r="F171" s="4"/>
      <c r="G171" s="4"/>
      <c r="H171" s="4" t="s">
        <v>21</v>
      </c>
      <c r="I171" s="40">
        <f>I87+1</f>
        <v>3</v>
      </c>
    </row>
    <row r="172" spans="1:9" s="3" customFormat="1" ht="20.100000000000001" customHeight="1" x14ac:dyDescent="0.35">
      <c r="A172" s="311" t="s">
        <v>74</v>
      </c>
      <c r="B172" s="311"/>
      <c r="C172" s="311"/>
      <c r="D172" s="2"/>
      <c r="E172" s="39" t="s">
        <v>81</v>
      </c>
      <c r="F172" s="308">
        <f>F4</f>
        <v>46107</v>
      </c>
      <c r="G172" s="308"/>
      <c r="H172" s="39" t="s">
        <v>82</v>
      </c>
      <c r="I172" s="34">
        <f>$I$4</f>
        <v>46136</v>
      </c>
    </row>
    <row r="173" spans="1:9" x14ac:dyDescent="0.2">
      <c r="A173" s="12" t="s">
        <v>23</v>
      </c>
      <c r="B173" s="13" t="s">
        <v>11</v>
      </c>
      <c r="C173" s="72" t="s">
        <v>26</v>
      </c>
      <c r="D173" s="12" t="s">
        <v>16</v>
      </c>
      <c r="E173" s="12" t="s">
        <v>17</v>
      </c>
      <c r="F173" s="310" t="s">
        <v>46</v>
      </c>
      <c r="G173" s="310"/>
      <c r="H173" s="310"/>
      <c r="I173" s="12" t="s">
        <v>19</v>
      </c>
    </row>
    <row r="174" spans="1:9" x14ac:dyDescent="0.2">
      <c r="A174" s="15"/>
      <c r="B174" s="16"/>
      <c r="C174" s="73"/>
      <c r="D174" s="15"/>
      <c r="E174" s="15"/>
      <c r="F174" s="21" t="s">
        <v>113</v>
      </c>
      <c r="G174" s="21" t="s">
        <v>114</v>
      </c>
      <c r="H174" s="21" t="s">
        <v>20</v>
      </c>
      <c r="I174" s="15"/>
    </row>
    <row r="175" spans="1:9" x14ac:dyDescent="0.2">
      <c r="A175" s="8" t="s">
        <v>0</v>
      </c>
      <c r="B175" s="5">
        <f>B157+1</f>
        <v>46121</v>
      </c>
      <c r="C175" s="74" t="s">
        <v>1117</v>
      </c>
      <c r="D175" s="6" t="s">
        <v>379</v>
      </c>
      <c r="E175" s="6" t="s">
        <v>165</v>
      </c>
      <c r="F175" s="6">
        <v>1</v>
      </c>
      <c r="G175" s="6"/>
      <c r="H175" s="6">
        <v>5</v>
      </c>
      <c r="I175" s="6"/>
    </row>
    <row r="176" spans="1:9" x14ac:dyDescent="0.2">
      <c r="A176" s="8" t="s">
        <v>1</v>
      </c>
      <c r="B176" s="5"/>
      <c r="C176" s="74" t="s">
        <v>1118</v>
      </c>
      <c r="D176" s="6" t="s">
        <v>347</v>
      </c>
      <c r="E176" s="6" t="s">
        <v>441</v>
      </c>
      <c r="F176" s="6">
        <v>1</v>
      </c>
      <c r="G176" s="6"/>
      <c r="H176" s="6">
        <v>6</v>
      </c>
      <c r="I176" s="6"/>
    </row>
    <row r="177" spans="1:9" x14ac:dyDescent="0.2">
      <c r="A177" s="8" t="s">
        <v>2</v>
      </c>
      <c r="B177" s="5"/>
      <c r="C177" s="74" t="s">
        <v>1119</v>
      </c>
      <c r="D177" s="6" t="s">
        <v>839</v>
      </c>
      <c r="E177" s="6" t="s">
        <v>190</v>
      </c>
      <c r="F177" s="6">
        <v>1</v>
      </c>
      <c r="G177" s="6"/>
      <c r="H177" s="6">
        <v>5</v>
      </c>
      <c r="I177" s="6"/>
    </row>
    <row r="178" spans="1:9" x14ac:dyDescent="0.2">
      <c r="A178" s="8" t="s">
        <v>3</v>
      </c>
      <c r="B178" s="5"/>
      <c r="C178" s="74" t="s">
        <v>1120</v>
      </c>
      <c r="D178" s="6" t="s">
        <v>206</v>
      </c>
      <c r="E178" s="6" t="s">
        <v>632</v>
      </c>
      <c r="F178" s="6">
        <v>1</v>
      </c>
      <c r="G178" s="6"/>
      <c r="H178" s="6">
        <v>6</v>
      </c>
      <c r="I178" s="6"/>
    </row>
    <row r="179" spans="1:9" x14ac:dyDescent="0.2">
      <c r="A179" s="8" t="s">
        <v>4</v>
      </c>
      <c r="B179" s="5"/>
      <c r="C179" s="74" t="s">
        <v>1121</v>
      </c>
      <c r="D179" s="6" t="s">
        <v>206</v>
      </c>
      <c r="E179" s="6" t="s">
        <v>632</v>
      </c>
      <c r="F179" s="6">
        <v>1</v>
      </c>
      <c r="G179" s="6"/>
      <c r="H179" s="6">
        <v>5</v>
      </c>
      <c r="I179" s="6"/>
    </row>
    <row r="180" spans="1:9" x14ac:dyDescent="0.2">
      <c r="A180" s="8" t="s">
        <v>5</v>
      </c>
      <c r="B180" s="5"/>
      <c r="C180" s="74" t="s">
        <v>1122</v>
      </c>
      <c r="D180" s="6" t="s">
        <v>1123</v>
      </c>
      <c r="E180" s="6" t="s">
        <v>190</v>
      </c>
      <c r="F180" s="6">
        <v>1</v>
      </c>
      <c r="G180" s="6"/>
      <c r="H180" s="6">
        <v>6</v>
      </c>
      <c r="I180" s="6"/>
    </row>
    <row r="181" spans="1:9" hidden="1" x14ac:dyDescent="0.2">
      <c r="A181" s="8" t="s">
        <v>6</v>
      </c>
      <c r="B181" s="5"/>
      <c r="C181" s="74"/>
      <c r="D181" s="6"/>
      <c r="E181" s="6"/>
      <c r="F181" s="6"/>
      <c r="G181" s="6"/>
      <c r="H181" s="6"/>
      <c r="I181" s="6"/>
    </row>
    <row r="182" spans="1:9" hidden="1" x14ac:dyDescent="0.2">
      <c r="A182" s="8" t="s">
        <v>7</v>
      </c>
      <c r="B182" s="5"/>
      <c r="C182" s="74"/>
      <c r="D182" s="6"/>
      <c r="E182" s="6"/>
      <c r="F182" s="6"/>
      <c r="G182" s="6"/>
      <c r="H182" s="6"/>
      <c r="I182" s="6"/>
    </row>
    <row r="183" spans="1:9" hidden="1" x14ac:dyDescent="0.2">
      <c r="A183" s="8" t="s">
        <v>8</v>
      </c>
      <c r="B183" s="5"/>
      <c r="C183" s="74"/>
      <c r="D183" s="6"/>
      <c r="E183" s="6"/>
      <c r="F183" s="6"/>
      <c r="G183" s="6"/>
      <c r="H183" s="6"/>
      <c r="I183" s="6"/>
    </row>
    <row r="184" spans="1:9" hidden="1" x14ac:dyDescent="0.2">
      <c r="A184" s="8" t="s">
        <v>9</v>
      </c>
      <c r="B184" s="5"/>
      <c r="C184" s="74"/>
      <c r="D184" s="6"/>
      <c r="E184" s="6"/>
      <c r="F184" s="6"/>
      <c r="G184" s="6"/>
      <c r="H184" s="6"/>
      <c r="I184" s="6"/>
    </row>
    <row r="185" spans="1:9" x14ac:dyDescent="0.2">
      <c r="A185" s="312" t="s">
        <v>10</v>
      </c>
      <c r="B185" s="313"/>
      <c r="C185" s="313"/>
      <c r="D185" s="313"/>
      <c r="E185" s="314"/>
      <c r="F185" s="11">
        <f>SUM(F175:F184)</f>
        <v>6</v>
      </c>
      <c r="G185" s="11">
        <f>SUM(G175:G184)</f>
        <v>0</v>
      </c>
      <c r="H185" s="11">
        <f>SUM(H175:H184)</f>
        <v>33</v>
      </c>
      <c r="I185" s="11"/>
    </row>
    <row r="186" spans="1:9" x14ac:dyDescent="0.2">
      <c r="A186" s="8" t="s">
        <v>0</v>
      </c>
      <c r="B186" s="5">
        <f>B175+1</f>
        <v>46122</v>
      </c>
      <c r="C186" s="74" t="s">
        <v>1182</v>
      </c>
      <c r="D186" s="6" t="s">
        <v>211</v>
      </c>
      <c r="E186" s="6" t="s">
        <v>184</v>
      </c>
      <c r="F186" s="6">
        <v>1</v>
      </c>
      <c r="G186" s="6"/>
      <c r="H186" s="6">
        <v>5</v>
      </c>
      <c r="I186" s="6"/>
    </row>
    <row r="187" spans="1:9" x14ac:dyDescent="0.2">
      <c r="A187" s="8" t="s">
        <v>1</v>
      </c>
      <c r="B187" s="5"/>
      <c r="C187" s="74" t="s">
        <v>1183</v>
      </c>
      <c r="D187" s="6" t="s">
        <v>188</v>
      </c>
      <c r="E187" s="6" t="s">
        <v>165</v>
      </c>
      <c r="F187" s="6">
        <v>1</v>
      </c>
      <c r="G187" s="6"/>
      <c r="H187" s="6">
        <v>6</v>
      </c>
      <c r="I187" s="6"/>
    </row>
    <row r="188" spans="1:9" x14ac:dyDescent="0.2">
      <c r="A188" s="8" t="s">
        <v>2</v>
      </c>
      <c r="B188" s="5"/>
      <c r="C188" s="74" t="s">
        <v>1184</v>
      </c>
      <c r="D188" s="6" t="s">
        <v>202</v>
      </c>
      <c r="E188" s="6" t="s">
        <v>165</v>
      </c>
      <c r="F188" s="6">
        <v>1</v>
      </c>
      <c r="G188" s="6"/>
      <c r="H188" s="6">
        <v>4</v>
      </c>
      <c r="I188" s="6"/>
    </row>
    <row r="189" spans="1:9" x14ac:dyDescent="0.2">
      <c r="A189" s="8" t="s">
        <v>3</v>
      </c>
      <c r="B189" s="5"/>
      <c r="C189" s="74" t="s">
        <v>1185</v>
      </c>
      <c r="D189" s="6" t="s">
        <v>188</v>
      </c>
      <c r="E189" s="6" t="s">
        <v>165</v>
      </c>
      <c r="F189" s="6"/>
      <c r="G189" s="6">
        <v>1</v>
      </c>
      <c r="H189" s="6">
        <v>6</v>
      </c>
      <c r="I189" s="6"/>
    </row>
    <row r="190" spans="1:9" x14ac:dyDescent="0.2">
      <c r="A190" s="8" t="s">
        <v>4</v>
      </c>
      <c r="B190" s="5"/>
      <c r="C190" s="74" t="s">
        <v>1186</v>
      </c>
      <c r="D190" s="6" t="s">
        <v>188</v>
      </c>
      <c r="E190" s="6" t="s">
        <v>165</v>
      </c>
      <c r="F190" s="6"/>
      <c r="G190" s="6">
        <v>1</v>
      </c>
      <c r="H190" s="6">
        <v>6</v>
      </c>
      <c r="I190" s="6"/>
    </row>
    <row r="191" spans="1:9" hidden="1" x14ac:dyDescent="0.2">
      <c r="A191" s="8" t="s">
        <v>5</v>
      </c>
      <c r="B191" s="5"/>
      <c r="C191" s="74"/>
      <c r="D191" s="6"/>
      <c r="E191" s="6"/>
      <c r="F191" s="6"/>
      <c r="G191" s="6"/>
      <c r="H191" s="6"/>
      <c r="I191" s="6"/>
    </row>
    <row r="192" spans="1:9" hidden="1" x14ac:dyDescent="0.2">
      <c r="A192" s="8" t="s">
        <v>6</v>
      </c>
      <c r="B192" s="5"/>
      <c r="C192" s="74"/>
      <c r="D192" s="6"/>
      <c r="E192" s="6"/>
      <c r="F192" s="6"/>
      <c r="G192" s="6"/>
      <c r="H192" s="6"/>
      <c r="I192" s="6"/>
    </row>
    <row r="193" spans="1:9" hidden="1" x14ac:dyDescent="0.2">
      <c r="A193" s="8" t="s">
        <v>7</v>
      </c>
      <c r="B193" s="5"/>
      <c r="C193" s="74"/>
      <c r="D193" s="6"/>
      <c r="E193" s="6"/>
      <c r="F193" s="6"/>
      <c r="G193" s="6"/>
      <c r="H193" s="6"/>
      <c r="I193" s="6"/>
    </row>
    <row r="194" spans="1:9" hidden="1" x14ac:dyDescent="0.2">
      <c r="A194" s="8" t="s">
        <v>8</v>
      </c>
      <c r="B194" s="5"/>
      <c r="C194" s="74"/>
      <c r="D194" s="6"/>
      <c r="E194" s="6"/>
      <c r="F194" s="6"/>
      <c r="G194" s="6"/>
      <c r="H194" s="6"/>
      <c r="I194" s="6"/>
    </row>
    <row r="195" spans="1:9" hidden="1" x14ac:dyDescent="0.2">
      <c r="A195" s="8" t="s">
        <v>9</v>
      </c>
      <c r="B195" s="5"/>
      <c r="C195" s="74"/>
      <c r="D195" s="6"/>
      <c r="E195" s="6"/>
      <c r="F195" s="6"/>
      <c r="G195" s="6"/>
      <c r="H195" s="6"/>
      <c r="I195" s="6"/>
    </row>
    <row r="196" spans="1:9" x14ac:dyDescent="0.2">
      <c r="A196" s="312" t="s">
        <v>10</v>
      </c>
      <c r="B196" s="313"/>
      <c r="C196" s="313"/>
      <c r="D196" s="313"/>
      <c r="E196" s="314"/>
      <c r="F196" s="11">
        <f>SUM(F186:F195)</f>
        <v>3</v>
      </c>
      <c r="G196" s="11">
        <f>SUM(G186:G195)</f>
        <v>2</v>
      </c>
      <c r="H196" s="11">
        <f>SUM(H186:H195)</f>
        <v>27</v>
      </c>
      <c r="I196" s="11"/>
    </row>
    <row r="197" spans="1:9" x14ac:dyDescent="0.2">
      <c r="A197" s="8" t="s">
        <v>0</v>
      </c>
      <c r="B197" s="5">
        <f>B186+1</f>
        <v>46123</v>
      </c>
      <c r="C197" s="74" t="s">
        <v>1233</v>
      </c>
      <c r="D197" s="6" t="s">
        <v>342</v>
      </c>
      <c r="E197" s="6" t="s">
        <v>165</v>
      </c>
      <c r="F197" s="6">
        <v>1</v>
      </c>
      <c r="G197" s="6"/>
      <c r="H197" s="6">
        <v>6</v>
      </c>
      <c r="I197" s="6"/>
    </row>
    <row r="198" spans="1:9" x14ac:dyDescent="0.2">
      <c r="A198" s="8" t="s">
        <v>1</v>
      </c>
      <c r="B198" s="5"/>
      <c r="C198" s="74" t="s">
        <v>1234</v>
      </c>
      <c r="D198" s="6" t="s">
        <v>347</v>
      </c>
      <c r="E198" s="6" t="s">
        <v>441</v>
      </c>
      <c r="F198" s="6">
        <v>1</v>
      </c>
      <c r="G198" s="6"/>
      <c r="H198" s="6">
        <v>6</v>
      </c>
      <c r="I198" s="6"/>
    </row>
    <row r="199" spans="1:9" x14ac:dyDescent="0.2">
      <c r="A199" s="8" t="s">
        <v>2</v>
      </c>
      <c r="B199" s="5"/>
      <c r="C199" s="74" t="s">
        <v>1235</v>
      </c>
      <c r="D199" s="6" t="s">
        <v>347</v>
      </c>
      <c r="E199" s="6" t="s">
        <v>441</v>
      </c>
      <c r="F199" s="6">
        <v>1</v>
      </c>
      <c r="G199" s="6"/>
      <c r="H199" s="6">
        <v>6</v>
      </c>
      <c r="I199" s="6"/>
    </row>
    <row r="200" spans="1:9" x14ac:dyDescent="0.2">
      <c r="A200" s="8" t="s">
        <v>3</v>
      </c>
      <c r="B200" s="5"/>
      <c r="C200" s="74" t="s">
        <v>1236</v>
      </c>
      <c r="D200" s="6" t="s">
        <v>347</v>
      </c>
      <c r="E200" s="6" t="s">
        <v>441</v>
      </c>
      <c r="F200" s="6">
        <v>1</v>
      </c>
      <c r="G200" s="6"/>
      <c r="H200" s="6">
        <v>6</v>
      </c>
      <c r="I200" s="6"/>
    </row>
    <row r="201" spans="1:9" hidden="1" x14ac:dyDescent="0.2">
      <c r="A201" s="8" t="s">
        <v>4</v>
      </c>
      <c r="B201" s="5"/>
      <c r="C201" s="74"/>
      <c r="D201" s="6"/>
      <c r="E201" s="6"/>
      <c r="F201" s="6"/>
      <c r="G201" s="6"/>
      <c r="H201" s="6"/>
      <c r="I201" s="6"/>
    </row>
    <row r="202" spans="1:9" hidden="1" x14ac:dyDescent="0.2">
      <c r="A202" s="8" t="s">
        <v>5</v>
      </c>
      <c r="B202" s="5"/>
      <c r="C202" s="74"/>
      <c r="D202" s="6"/>
      <c r="E202" s="6"/>
      <c r="F202" s="6"/>
      <c r="G202" s="6"/>
      <c r="H202" s="6"/>
      <c r="I202" s="6"/>
    </row>
    <row r="203" spans="1:9" hidden="1" x14ac:dyDescent="0.2">
      <c r="A203" s="8" t="s">
        <v>6</v>
      </c>
      <c r="B203" s="5"/>
      <c r="C203" s="74"/>
      <c r="D203" s="6"/>
      <c r="E203" s="6"/>
      <c r="F203" s="6"/>
      <c r="G203" s="6"/>
      <c r="H203" s="6"/>
      <c r="I203" s="6"/>
    </row>
    <row r="204" spans="1:9" hidden="1" x14ac:dyDescent="0.2">
      <c r="A204" s="8" t="s">
        <v>7</v>
      </c>
      <c r="B204" s="5"/>
      <c r="C204" s="74"/>
      <c r="D204" s="6"/>
      <c r="E204" s="6"/>
      <c r="F204" s="6"/>
      <c r="G204" s="6"/>
      <c r="H204" s="6"/>
      <c r="I204" s="6"/>
    </row>
    <row r="205" spans="1:9" hidden="1" x14ac:dyDescent="0.2">
      <c r="A205" s="8" t="s">
        <v>8</v>
      </c>
      <c r="B205" s="5"/>
      <c r="C205" s="74"/>
      <c r="D205" s="6"/>
      <c r="E205" s="6"/>
      <c r="F205" s="6"/>
      <c r="G205" s="6"/>
      <c r="H205" s="6"/>
      <c r="I205" s="6"/>
    </row>
    <row r="206" spans="1:9" hidden="1" x14ac:dyDescent="0.2">
      <c r="A206" s="8" t="s">
        <v>9</v>
      </c>
      <c r="B206" s="5"/>
      <c r="C206" s="74"/>
      <c r="D206" s="6"/>
      <c r="E206" s="6"/>
      <c r="F206" s="6"/>
      <c r="G206" s="6"/>
      <c r="H206" s="6"/>
      <c r="I206" s="6"/>
    </row>
    <row r="207" spans="1:9" x14ac:dyDescent="0.2">
      <c r="A207" s="312" t="s">
        <v>10</v>
      </c>
      <c r="B207" s="313"/>
      <c r="C207" s="313"/>
      <c r="D207" s="313"/>
      <c r="E207" s="314"/>
      <c r="F207" s="11">
        <f>SUM(F197:F206)</f>
        <v>4</v>
      </c>
      <c r="G207" s="11">
        <f>SUM(G197:G206)</f>
        <v>0</v>
      </c>
      <c r="H207" s="11">
        <f>SUM(H197:H206)</f>
        <v>24</v>
      </c>
      <c r="I207" s="11"/>
    </row>
    <row r="208" spans="1:9" hidden="1" x14ac:dyDescent="0.2">
      <c r="A208" s="8" t="s">
        <v>0</v>
      </c>
      <c r="B208" s="5">
        <f>B197+1</f>
        <v>46124</v>
      </c>
      <c r="C208" s="75"/>
      <c r="D208" s="6"/>
      <c r="E208" s="6"/>
      <c r="F208" s="6"/>
      <c r="G208" s="6"/>
      <c r="H208" s="6"/>
      <c r="I208" s="6"/>
    </row>
    <row r="209" spans="1:9" hidden="1" x14ac:dyDescent="0.2">
      <c r="A209" s="8" t="s">
        <v>1</v>
      </c>
      <c r="B209" s="5"/>
      <c r="C209" s="75"/>
      <c r="D209" s="6"/>
      <c r="E209" s="6"/>
      <c r="F209" s="6"/>
      <c r="G209" s="6"/>
      <c r="H209" s="6"/>
      <c r="I209" s="6"/>
    </row>
    <row r="210" spans="1:9" hidden="1" x14ac:dyDescent="0.2">
      <c r="A210" s="8" t="s">
        <v>2</v>
      </c>
      <c r="B210" s="5"/>
      <c r="C210" s="75"/>
      <c r="D210" s="6"/>
      <c r="E210" s="6"/>
      <c r="F210" s="6"/>
      <c r="G210" s="6"/>
      <c r="H210" s="6"/>
      <c r="I210" s="6"/>
    </row>
    <row r="211" spans="1:9" hidden="1" x14ac:dyDescent="0.2">
      <c r="A211" s="8" t="s">
        <v>3</v>
      </c>
      <c r="B211" s="5"/>
      <c r="C211" s="75"/>
      <c r="D211" s="6"/>
      <c r="E211" s="6"/>
      <c r="F211" s="6"/>
      <c r="G211" s="6"/>
      <c r="H211" s="6"/>
      <c r="I211" s="6"/>
    </row>
    <row r="212" spans="1:9" hidden="1" x14ac:dyDescent="0.2">
      <c r="A212" s="8" t="s">
        <v>4</v>
      </c>
      <c r="B212" s="5"/>
      <c r="C212" s="75"/>
      <c r="D212" s="6"/>
      <c r="E212" s="6"/>
      <c r="F212" s="6"/>
      <c r="G212" s="6"/>
      <c r="H212" s="6"/>
      <c r="I212" s="6"/>
    </row>
    <row r="213" spans="1:9" hidden="1" x14ac:dyDescent="0.2">
      <c r="A213" s="8" t="s">
        <v>5</v>
      </c>
      <c r="B213" s="5"/>
      <c r="C213" s="75"/>
      <c r="D213" s="6"/>
      <c r="E213" s="6"/>
      <c r="F213" s="6"/>
      <c r="G213" s="6"/>
      <c r="H213" s="6"/>
      <c r="I213" s="6"/>
    </row>
    <row r="214" spans="1:9" hidden="1" x14ac:dyDescent="0.2">
      <c r="A214" s="8" t="s">
        <v>6</v>
      </c>
      <c r="B214" s="5"/>
      <c r="C214" s="74"/>
      <c r="D214" s="6"/>
      <c r="E214" s="6"/>
      <c r="F214" s="6"/>
      <c r="G214" s="6"/>
      <c r="H214" s="6"/>
      <c r="I214" s="6"/>
    </row>
    <row r="215" spans="1:9" hidden="1" x14ac:dyDescent="0.2">
      <c r="A215" s="8" t="s">
        <v>7</v>
      </c>
      <c r="B215" s="5"/>
      <c r="C215" s="74"/>
      <c r="D215" s="6"/>
      <c r="E215" s="6"/>
      <c r="F215" s="6"/>
      <c r="G215" s="6"/>
      <c r="H215" s="6"/>
      <c r="I215" s="6"/>
    </row>
    <row r="216" spans="1:9" hidden="1" x14ac:dyDescent="0.2">
      <c r="A216" s="8" t="s">
        <v>8</v>
      </c>
      <c r="B216" s="5"/>
      <c r="C216" s="74"/>
      <c r="D216" s="6"/>
      <c r="E216" s="6"/>
      <c r="F216" s="6"/>
      <c r="G216" s="6"/>
      <c r="H216" s="6"/>
      <c r="I216" s="6"/>
    </row>
    <row r="217" spans="1:9" hidden="1" x14ac:dyDescent="0.2">
      <c r="A217" s="8" t="s">
        <v>9</v>
      </c>
      <c r="B217" s="5"/>
      <c r="C217" s="74"/>
      <c r="D217" s="6"/>
      <c r="E217" s="6"/>
      <c r="F217" s="6"/>
      <c r="G217" s="6"/>
      <c r="H217" s="6"/>
      <c r="I217" s="6"/>
    </row>
    <row r="218" spans="1:9" hidden="1" x14ac:dyDescent="0.2">
      <c r="A218" s="312" t="s">
        <v>10</v>
      </c>
      <c r="B218" s="313"/>
      <c r="C218" s="313"/>
      <c r="D218" s="313"/>
      <c r="E218" s="314"/>
      <c r="F218" s="11">
        <f>SUM(F208:F217)</f>
        <v>0</v>
      </c>
      <c r="G218" s="11">
        <f>SUM(G208:G217)</f>
        <v>0</v>
      </c>
      <c r="H218" s="11">
        <f>SUM(H208:H217)</f>
        <v>0</v>
      </c>
      <c r="I218" s="11"/>
    </row>
    <row r="219" spans="1:9" hidden="1" x14ac:dyDescent="0.2">
      <c r="A219" s="8" t="s">
        <v>0</v>
      </c>
      <c r="B219" s="5">
        <f>B208+1</f>
        <v>46125</v>
      </c>
      <c r="C219" s="75"/>
      <c r="D219" s="6"/>
      <c r="E219" s="6"/>
      <c r="F219" s="6"/>
      <c r="G219" s="6"/>
      <c r="H219" s="6"/>
      <c r="I219" s="6"/>
    </row>
    <row r="220" spans="1:9" hidden="1" x14ac:dyDescent="0.2">
      <c r="A220" s="8" t="s">
        <v>1</v>
      </c>
      <c r="B220" s="5"/>
      <c r="C220" s="75"/>
      <c r="D220" s="6"/>
      <c r="E220" s="6"/>
      <c r="F220" s="6"/>
      <c r="G220" s="6"/>
      <c r="H220" s="6"/>
      <c r="I220" s="6"/>
    </row>
    <row r="221" spans="1:9" hidden="1" x14ac:dyDescent="0.2">
      <c r="A221" s="8" t="s">
        <v>2</v>
      </c>
      <c r="B221" s="5"/>
      <c r="C221" s="75"/>
      <c r="D221" s="6"/>
      <c r="E221" s="6"/>
      <c r="F221" s="6"/>
      <c r="G221" s="6"/>
      <c r="H221" s="6"/>
      <c r="I221" s="6"/>
    </row>
    <row r="222" spans="1:9" hidden="1" x14ac:dyDescent="0.2">
      <c r="A222" s="8" t="s">
        <v>3</v>
      </c>
      <c r="B222" s="5"/>
      <c r="C222" s="75"/>
      <c r="D222" s="6"/>
      <c r="E222" s="6"/>
      <c r="F222" s="6"/>
      <c r="G222" s="6"/>
      <c r="H222" s="6"/>
      <c r="I222" s="6"/>
    </row>
    <row r="223" spans="1:9" hidden="1" x14ac:dyDescent="0.2">
      <c r="A223" s="8" t="s">
        <v>4</v>
      </c>
      <c r="B223" s="5"/>
      <c r="C223" s="75"/>
      <c r="D223" s="6"/>
      <c r="E223" s="6"/>
      <c r="F223" s="6"/>
      <c r="G223" s="6"/>
      <c r="H223" s="6"/>
      <c r="I223" s="6"/>
    </row>
    <row r="224" spans="1:9" hidden="1" x14ac:dyDescent="0.2">
      <c r="A224" s="8" t="s">
        <v>5</v>
      </c>
      <c r="B224" s="5"/>
      <c r="C224" s="75"/>
      <c r="D224" s="6"/>
      <c r="E224" s="6"/>
      <c r="F224" s="6"/>
      <c r="G224" s="6"/>
      <c r="H224" s="6"/>
      <c r="I224" s="6"/>
    </row>
    <row r="225" spans="1:9" hidden="1" x14ac:dyDescent="0.2">
      <c r="A225" s="8" t="s">
        <v>6</v>
      </c>
      <c r="B225" s="5"/>
      <c r="C225" s="74"/>
      <c r="D225" s="6"/>
      <c r="E225" s="6"/>
      <c r="F225" s="6"/>
      <c r="G225" s="6"/>
      <c r="H225" s="6"/>
      <c r="I225" s="6"/>
    </row>
    <row r="226" spans="1:9" hidden="1" x14ac:dyDescent="0.2">
      <c r="A226" s="8" t="s">
        <v>7</v>
      </c>
      <c r="B226" s="5"/>
      <c r="C226" s="74"/>
      <c r="D226" s="6"/>
      <c r="E226" s="6"/>
      <c r="F226" s="6"/>
      <c r="G226" s="6"/>
      <c r="H226" s="6"/>
      <c r="I226" s="6"/>
    </row>
    <row r="227" spans="1:9" hidden="1" x14ac:dyDescent="0.2">
      <c r="A227" s="8" t="s">
        <v>8</v>
      </c>
      <c r="B227" s="5"/>
      <c r="C227" s="74"/>
      <c r="D227" s="6"/>
      <c r="E227" s="6"/>
      <c r="F227" s="6"/>
      <c r="G227" s="6"/>
      <c r="H227" s="6"/>
      <c r="I227" s="6"/>
    </row>
    <row r="228" spans="1:9" hidden="1" x14ac:dyDescent="0.2">
      <c r="A228" s="8" t="s">
        <v>9</v>
      </c>
      <c r="B228" s="5"/>
      <c r="C228" s="74"/>
      <c r="D228" s="6"/>
      <c r="E228" s="6"/>
      <c r="F228" s="6"/>
      <c r="G228" s="6"/>
      <c r="H228" s="6"/>
      <c r="I228" s="6"/>
    </row>
    <row r="229" spans="1:9" hidden="1" x14ac:dyDescent="0.2">
      <c r="A229" s="312" t="s">
        <v>10</v>
      </c>
      <c r="B229" s="313"/>
      <c r="C229" s="313"/>
      <c r="D229" s="313"/>
      <c r="E229" s="314"/>
      <c r="F229" s="11">
        <f>SUM(F219:F228)</f>
        <v>0</v>
      </c>
      <c r="G229" s="11">
        <f>SUM(G219:G228)</f>
        <v>0</v>
      </c>
      <c r="H229" s="11">
        <f>SUM(H219:H228)</f>
        <v>0</v>
      </c>
      <c r="I229" s="11"/>
    </row>
    <row r="230" spans="1:9" hidden="1" x14ac:dyDescent="0.2">
      <c r="A230" s="8" t="s">
        <v>0</v>
      </c>
      <c r="B230" s="5">
        <f>B219+1</f>
        <v>46126</v>
      </c>
      <c r="C230" s="75"/>
      <c r="D230" s="6"/>
      <c r="E230" s="6"/>
      <c r="F230" s="6"/>
      <c r="G230" s="6"/>
      <c r="H230" s="6"/>
      <c r="I230" s="6"/>
    </row>
    <row r="231" spans="1:9" hidden="1" x14ac:dyDescent="0.2">
      <c r="A231" s="8" t="s">
        <v>1</v>
      </c>
      <c r="B231" s="5"/>
      <c r="C231" s="75"/>
      <c r="D231" s="6"/>
      <c r="E231" s="6"/>
      <c r="F231" s="6"/>
      <c r="G231" s="6"/>
      <c r="H231" s="6"/>
      <c r="I231" s="6"/>
    </row>
    <row r="232" spans="1:9" hidden="1" x14ac:dyDescent="0.2">
      <c r="A232" s="8" t="s">
        <v>2</v>
      </c>
      <c r="B232" s="5"/>
      <c r="C232" s="75"/>
      <c r="D232" s="6"/>
      <c r="E232" s="6"/>
      <c r="F232" s="6"/>
      <c r="G232" s="6"/>
      <c r="H232" s="6"/>
      <c r="I232" s="6"/>
    </row>
    <row r="233" spans="1:9" hidden="1" x14ac:dyDescent="0.2">
      <c r="A233" s="8" t="s">
        <v>3</v>
      </c>
      <c r="B233" s="5"/>
      <c r="C233" s="75"/>
      <c r="D233" s="6"/>
      <c r="E233" s="6"/>
      <c r="F233" s="6"/>
      <c r="G233" s="6"/>
      <c r="H233" s="6"/>
      <c r="I233" s="6"/>
    </row>
    <row r="234" spans="1:9" hidden="1" x14ac:dyDescent="0.2">
      <c r="A234" s="8" t="s">
        <v>4</v>
      </c>
      <c r="B234" s="5"/>
      <c r="C234" s="75"/>
      <c r="D234" s="6"/>
      <c r="E234" s="6"/>
      <c r="F234" s="6"/>
      <c r="G234" s="6"/>
      <c r="H234" s="6"/>
      <c r="I234" s="6"/>
    </row>
    <row r="235" spans="1:9" hidden="1" x14ac:dyDescent="0.2">
      <c r="A235" s="8" t="s">
        <v>5</v>
      </c>
      <c r="B235" s="5"/>
      <c r="C235" s="75"/>
      <c r="D235" s="6"/>
      <c r="E235" s="6"/>
      <c r="F235" s="6"/>
      <c r="G235" s="6"/>
      <c r="H235" s="6"/>
      <c r="I235" s="6"/>
    </row>
    <row r="236" spans="1:9" hidden="1" x14ac:dyDescent="0.2">
      <c r="A236" s="8" t="s">
        <v>6</v>
      </c>
      <c r="B236" s="5"/>
      <c r="C236" s="75"/>
      <c r="D236" s="6"/>
      <c r="E236" s="6"/>
      <c r="F236" s="6"/>
      <c r="G236" s="6"/>
      <c r="H236" s="6"/>
      <c r="I236" s="6"/>
    </row>
    <row r="237" spans="1:9" hidden="1" x14ac:dyDescent="0.2">
      <c r="A237" s="8" t="s">
        <v>7</v>
      </c>
      <c r="B237" s="5"/>
      <c r="C237" s="75"/>
      <c r="D237" s="6"/>
      <c r="E237" s="6"/>
      <c r="F237" s="6"/>
      <c r="G237" s="6"/>
      <c r="H237" s="6"/>
      <c r="I237" s="6"/>
    </row>
    <row r="238" spans="1:9" hidden="1" x14ac:dyDescent="0.2">
      <c r="A238" s="8" t="s">
        <v>8</v>
      </c>
      <c r="B238" s="5"/>
      <c r="C238" s="75"/>
      <c r="D238" s="6"/>
      <c r="E238" s="6"/>
      <c r="F238" s="6"/>
      <c r="G238" s="6"/>
      <c r="H238" s="6"/>
      <c r="I238" s="6"/>
    </row>
    <row r="239" spans="1:9" hidden="1" x14ac:dyDescent="0.2">
      <c r="A239" s="8" t="s">
        <v>9</v>
      </c>
      <c r="B239" s="5"/>
      <c r="C239" s="75"/>
      <c r="D239" s="6"/>
      <c r="E239" s="6"/>
      <c r="F239" s="6"/>
      <c r="G239" s="6"/>
      <c r="H239" s="6"/>
      <c r="I239" s="6"/>
    </row>
    <row r="240" spans="1:9" hidden="1" x14ac:dyDescent="0.2">
      <c r="A240" s="312" t="s">
        <v>10</v>
      </c>
      <c r="B240" s="313"/>
      <c r="C240" s="313"/>
      <c r="D240" s="313"/>
      <c r="E240" s="314"/>
      <c r="F240" s="11">
        <f>SUM(F230:F239)</f>
        <v>0</v>
      </c>
      <c r="G240" s="11">
        <f>SUM(G230:G239)</f>
        <v>0</v>
      </c>
      <c r="H240" s="11">
        <f>SUM(H230:H239)</f>
        <v>0</v>
      </c>
      <c r="I240" s="11"/>
    </row>
    <row r="241" spans="1:9" hidden="1" x14ac:dyDescent="0.2">
      <c r="A241" s="8" t="s">
        <v>0</v>
      </c>
      <c r="B241" s="5">
        <f>B230+1</f>
        <v>46127</v>
      </c>
      <c r="C241" s="74"/>
      <c r="D241" s="6"/>
      <c r="E241" s="6"/>
      <c r="F241" s="6"/>
      <c r="G241" s="6"/>
      <c r="H241" s="6"/>
      <c r="I241" s="6"/>
    </row>
    <row r="242" spans="1:9" hidden="1" x14ac:dyDescent="0.2">
      <c r="A242" s="8" t="s">
        <v>1</v>
      </c>
      <c r="B242" s="5"/>
      <c r="C242" s="74"/>
      <c r="D242" s="6"/>
      <c r="E242" s="6"/>
      <c r="F242" s="6"/>
      <c r="G242" s="6"/>
      <c r="H242" s="6"/>
      <c r="I242" s="6"/>
    </row>
    <row r="243" spans="1:9" hidden="1" x14ac:dyDescent="0.2">
      <c r="A243" s="8" t="s">
        <v>2</v>
      </c>
      <c r="B243" s="5"/>
      <c r="C243" s="74"/>
      <c r="D243" s="6"/>
      <c r="E243" s="6"/>
      <c r="F243" s="6"/>
      <c r="G243" s="6"/>
      <c r="H243" s="6"/>
      <c r="I243" s="6"/>
    </row>
    <row r="244" spans="1:9" hidden="1" x14ac:dyDescent="0.2">
      <c r="A244" s="8" t="s">
        <v>3</v>
      </c>
      <c r="B244" s="5"/>
      <c r="C244" s="74"/>
      <c r="D244" s="6"/>
      <c r="E244" s="6"/>
      <c r="F244" s="6"/>
      <c r="G244" s="6"/>
      <c r="H244" s="6"/>
      <c r="I244" s="6"/>
    </row>
    <row r="245" spans="1:9" hidden="1" x14ac:dyDescent="0.2">
      <c r="A245" s="8" t="s">
        <v>4</v>
      </c>
      <c r="B245" s="5"/>
      <c r="C245" s="74"/>
      <c r="D245" s="6"/>
      <c r="E245" s="6"/>
      <c r="F245" s="6"/>
      <c r="G245" s="6"/>
      <c r="H245" s="6"/>
      <c r="I245" s="6"/>
    </row>
    <row r="246" spans="1:9" hidden="1" x14ac:dyDescent="0.2">
      <c r="A246" s="8" t="s">
        <v>5</v>
      </c>
      <c r="B246" s="5"/>
      <c r="C246" s="74"/>
      <c r="D246" s="6"/>
      <c r="E246" s="6"/>
      <c r="F246" s="6"/>
      <c r="G246" s="6"/>
      <c r="H246" s="6"/>
      <c r="I246" s="6"/>
    </row>
    <row r="247" spans="1:9" hidden="1" x14ac:dyDescent="0.2">
      <c r="A247" s="8" t="s">
        <v>6</v>
      </c>
      <c r="B247" s="5"/>
      <c r="C247" s="74"/>
      <c r="D247" s="6"/>
      <c r="E247" s="6"/>
      <c r="F247" s="6"/>
      <c r="G247" s="6"/>
      <c r="H247" s="6"/>
      <c r="I247" s="6"/>
    </row>
    <row r="248" spans="1:9" hidden="1" x14ac:dyDescent="0.2">
      <c r="A248" s="8" t="s">
        <v>7</v>
      </c>
      <c r="B248" s="5"/>
      <c r="C248" s="74"/>
      <c r="D248" s="6"/>
      <c r="E248" s="6"/>
      <c r="F248" s="6"/>
      <c r="G248" s="6"/>
      <c r="H248" s="6"/>
      <c r="I248" s="6"/>
    </row>
    <row r="249" spans="1:9" hidden="1" x14ac:dyDescent="0.2">
      <c r="A249" s="8" t="s">
        <v>8</v>
      </c>
      <c r="B249" s="5"/>
      <c r="C249" s="74"/>
      <c r="D249" s="6"/>
      <c r="E249" s="6"/>
      <c r="F249" s="6"/>
      <c r="G249" s="6"/>
      <c r="H249" s="6"/>
      <c r="I249" s="6"/>
    </row>
    <row r="250" spans="1:9" hidden="1" x14ac:dyDescent="0.2">
      <c r="A250" s="8" t="s">
        <v>9</v>
      </c>
      <c r="B250" s="5"/>
      <c r="C250" s="74"/>
      <c r="D250" s="6"/>
      <c r="E250" s="6"/>
      <c r="F250" s="6"/>
      <c r="G250" s="6"/>
      <c r="H250" s="6"/>
      <c r="I250" s="6"/>
    </row>
    <row r="251" spans="1:9" hidden="1" x14ac:dyDescent="0.2">
      <c r="A251" s="312" t="s">
        <v>10</v>
      </c>
      <c r="B251" s="313"/>
      <c r="C251" s="313"/>
      <c r="D251" s="313"/>
      <c r="E251" s="314"/>
      <c r="F251" s="11">
        <f>SUM(F241:F250)</f>
        <v>0</v>
      </c>
      <c r="G251" s="11">
        <f>SUM(G241:G250)</f>
        <v>0</v>
      </c>
      <c r="H251" s="11">
        <f>SUM(H241:H250)</f>
        <v>0</v>
      </c>
      <c r="I251" s="11"/>
    </row>
    <row r="252" spans="1:9" s="25" customFormat="1" ht="18" x14ac:dyDescent="0.2">
      <c r="A252" s="315" t="s">
        <v>39</v>
      </c>
      <c r="B252" s="316"/>
      <c r="C252" s="316"/>
      <c r="D252" s="316"/>
      <c r="E252" s="317"/>
      <c r="F252" s="22">
        <f>F185+F196+F207+F218+F229+F240+F251+F168</f>
        <v>70</v>
      </c>
      <c r="G252" s="22">
        <f>G185+G196+G207+G218+G229+G240+G251+G168</f>
        <v>18</v>
      </c>
      <c r="H252" s="22">
        <f>H185+H196+H207+H218+H229+H240+H251+H168</f>
        <v>475</v>
      </c>
      <c r="I252" s="22"/>
    </row>
    <row r="253" spans="1:9" ht="21.95" customHeight="1" x14ac:dyDescent="0.2">
      <c r="A253" s="319" t="s">
        <v>14</v>
      </c>
      <c r="B253" s="319"/>
      <c r="C253" s="319"/>
      <c r="D253" s="319"/>
      <c r="E253" s="319"/>
      <c r="F253" s="319"/>
      <c r="G253" s="319"/>
      <c r="H253" s="319"/>
      <c r="I253" s="319"/>
    </row>
    <row r="254" spans="1:9" s="53" customFormat="1" ht="20.100000000000001" customHeight="1" x14ac:dyDescent="0.2">
      <c r="A254" s="323" t="s">
        <v>86</v>
      </c>
      <c r="B254" s="323"/>
      <c r="C254" s="323"/>
      <c r="D254" s="323"/>
      <c r="E254" s="323"/>
      <c r="F254" s="50" t="str">
        <f>F170</f>
        <v>เมษายน</v>
      </c>
      <c r="G254" s="50" t="s">
        <v>87</v>
      </c>
      <c r="H254" s="51">
        <f>H170</f>
        <v>2569</v>
      </c>
      <c r="I254" s="52"/>
    </row>
    <row r="255" spans="1:9" s="3" customFormat="1" ht="20.100000000000001" customHeight="1" x14ac:dyDescent="0.35">
      <c r="A255" s="318" t="s">
        <v>32</v>
      </c>
      <c r="B255" s="318"/>
      <c r="C255" s="318"/>
      <c r="D255" s="2"/>
      <c r="F255" s="4"/>
      <c r="G255" s="4"/>
      <c r="H255" s="4" t="s">
        <v>21</v>
      </c>
      <c r="I255" s="40">
        <f>I171+1</f>
        <v>4</v>
      </c>
    </row>
    <row r="256" spans="1:9" s="3" customFormat="1" ht="20.100000000000001" customHeight="1" x14ac:dyDescent="0.35">
      <c r="A256" s="311" t="s">
        <v>74</v>
      </c>
      <c r="B256" s="311"/>
      <c r="C256" s="311"/>
      <c r="D256" s="2"/>
      <c r="E256" s="39" t="s">
        <v>81</v>
      </c>
      <c r="F256" s="308">
        <f>F4</f>
        <v>46107</v>
      </c>
      <c r="G256" s="308"/>
      <c r="H256" s="39" t="s">
        <v>82</v>
      </c>
      <c r="I256" s="34">
        <f>$I$4</f>
        <v>46136</v>
      </c>
    </row>
    <row r="257" spans="1:9" x14ac:dyDescent="0.2">
      <c r="A257" s="12" t="s">
        <v>23</v>
      </c>
      <c r="B257" s="13" t="s">
        <v>11</v>
      </c>
      <c r="C257" s="72" t="s">
        <v>26</v>
      </c>
      <c r="D257" s="12" t="s">
        <v>16</v>
      </c>
      <c r="E257" s="12" t="s">
        <v>17</v>
      </c>
      <c r="F257" s="310" t="s">
        <v>46</v>
      </c>
      <c r="G257" s="310"/>
      <c r="H257" s="310"/>
      <c r="I257" s="12" t="s">
        <v>19</v>
      </c>
    </row>
    <row r="258" spans="1:9" x14ac:dyDescent="0.2">
      <c r="A258" s="15"/>
      <c r="B258" s="16"/>
      <c r="C258" s="73"/>
      <c r="D258" s="15"/>
      <c r="E258" s="15"/>
      <c r="F258" s="21" t="s">
        <v>113</v>
      </c>
      <c r="G258" s="21" t="s">
        <v>114</v>
      </c>
      <c r="H258" s="21" t="s">
        <v>20</v>
      </c>
      <c r="I258" s="15"/>
    </row>
    <row r="259" spans="1:9" hidden="1" x14ac:dyDescent="0.2">
      <c r="A259" s="8" t="s">
        <v>0</v>
      </c>
      <c r="B259" s="5">
        <f>B241+1</f>
        <v>46128</v>
      </c>
      <c r="C259" s="74"/>
      <c r="D259" s="6"/>
      <c r="E259" s="6"/>
      <c r="F259" s="6"/>
      <c r="G259" s="6"/>
      <c r="H259" s="6"/>
      <c r="I259" s="6"/>
    </row>
    <row r="260" spans="1:9" hidden="1" x14ac:dyDescent="0.2">
      <c r="A260" s="8" t="s">
        <v>1</v>
      </c>
      <c r="B260" s="5"/>
      <c r="C260" s="74"/>
      <c r="D260" s="6"/>
      <c r="E260" s="6"/>
      <c r="F260" s="6"/>
      <c r="G260" s="6"/>
      <c r="H260" s="6"/>
      <c r="I260" s="6"/>
    </row>
    <row r="261" spans="1:9" hidden="1" x14ac:dyDescent="0.2">
      <c r="A261" s="8" t="s">
        <v>2</v>
      </c>
      <c r="B261" s="5"/>
      <c r="C261" s="74"/>
      <c r="D261" s="6"/>
      <c r="E261" s="6"/>
      <c r="F261" s="6"/>
      <c r="G261" s="6"/>
      <c r="H261" s="6"/>
      <c r="I261" s="6"/>
    </row>
    <row r="262" spans="1:9" hidden="1" x14ac:dyDescent="0.2">
      <c r="A262" s="8" t="s">
        <v>3</v>
      </c>
      <c r="B262" s="5"/>
      <c r="C262" s="74"/>
      <c r="D262" s="6"/>
      <c r="E262" s="6"/>
      <c r="F262" s="6"/>
      <c r="G262" s="6"/>
      <c r="H262" s="6"/>
      <c r="I262" s="6"/>
    </row>
    <row r="263" spans="1:9" hidden="1" x14ac:dyDescent="0.2">
      <c r="A263" s="8" t="s">
        <v>4</v>
      </c>
      <c r="B263" s="5"/>
      <c r="C263" s="74"/>
      <c r="D263" s="6"/>
      <c r="E263" s="6"/>
      <c r="F263" s="6"/>
      <c r="G263" s="6"/>
      <c r="H263" s="6"/>
      <c r="I263" s="6"/>
    </row>
    <row r="264" spans="1:9" hidden="1" x14ac:dyDescent="0.2">
      <c r="A264" s="8" t="s">
        <v>5</v>
      </c>
      <c r="B264" s="5"/>
      <c r="C264" s="74"/>
      <c r="D264" s="6"/>
      <c r="E264" s="6"/>
      <c r="F264" s="6"/>
      <c r="G264" s="6"/>
      <c r="H264" s="6"/>
      <c r="I264" s="6"/>
    </row>
    <row r="265" spans="1:9" hidden="1" x14ac:dyDescent="0.2">
      <c r="A265" s="8" t="s">
        <v>6</v>
      </c>
      <c r="B265" s="5"/>
      <c r="C265" s="74"/>
      <c r="D265" s="6"/>
      <c r="E265" s="6"/>
      <c r="F265" s="6"/>
      <c r="G265" s="6"/>
      <c r="H265" s="6"/>
      <c r="I265" s="6"/>
    </row>
    <row r="266" spans="1:9" hidden="1" x14ac:dyDescent="0.2">
      <c r="A266" s="8" t="s">
        <v>7</v>
      </c>
      <c r="B266" s="5"/>
      <c r="C266" s="74"/>
      <c r="D266" s="6"/>
      <c r="E266" s="6"/>
      <c r="F266" s="6"/>
      <c r="G266" s="6"/>
      <c r="H266" s="6"/>
      <c r="I266" s="6"/>
    </row>
    <row r="267" spans="1:9" hidden="1" x14ac:dyDescent="0.2">
      <c r="A267" s="8" t="s">
        <v>8</v>
      </c>
      <c r="B267" s="5"/>
      <c r="C267" s="74"/>
      <c r="D267" s="6"/>
      <c r="E267" s="6"/>
      <c r="F267" s="6"/>
      <c r="G267" s="6"/>
      <c r="H267" s="6"/>
      <c r="I267" s="6"/>
    </row>
    <row r="268" spans="1:9" hidden="1" x14ac:dyDescent="0.2">
      <c r="A268" s="8" t="s">
        <v>9</v>
      </c>
      <c r="B268" s="5"/>
      <c r="C268" s="74"/>
      <c r="D268" s="6"/>
      <c r="E268" s="6"/>
      <c r="F268" s="6"/>
      <c r="G268" s="6"/>
      <c r="H268" s="6"/>
      <c r="I268" s="6"/>
    </row>
    <row r="269" spans="1:9" hidden="1" x14ac:dyDescent="0.2">
      <c r="A269" s="312" t="s">
        <v>10</v>
      </c>
      <c r="B269" s="313"/>
      <c r="C269" s="313"/>
      <c r="D269" s="313"/>
      <c r="E269" s="314"/>
      <c r="F269" s="11">
        <f>SUM(F259:F268)</f>
        <v>0</v>
      </c>
      <c r="G269" s="11">
        <f>SUM(G259:G268)</f>
        <v>0</v>
      </c>
      <c r="H269" s="11">
        <f>SUM(H259:H268)</f>
        <v>0</v>
      </c>
      <c r="I269" s="11"/>
    </row>
    <row r="270" spans="1:9" hidden="1" x14ac:dyDescent="0.2">
      <c r="A270" s="8" t="s">
        <v>0</v>
      </c>
      <c r="B270" s="5">
        <f>B259+1</f>
        <v>46129</v>
      </c>
      <c r="C270" s="74"/>
      <c r="D270" s="6"/>
      <c r="E270" s="6"/>
      <c r="F270" s="6"/>
      <c r="G270" s="6"/>
      <c r="H270" s="6"/>
      <c r="I270" s="6"/>
    </row>
    <row r="271" spans="1:9" hidden="1" x14ac:dyDescent="0.2">
      <c r="A271" s="8" t="s">
        <v>1</v>
      </c>
      <c r="B271" s="5"/>
      <c r="C271" s="74"/>
      <c r="D271" s="6"/>
      <c r="E271" s="6"/>
      <c r="F271" s="6"/>
      <c r="G271" s="6"/>
      <c r="H271" s="6"/>
      <c r="I271" s="6"/>
    </row>
    <row r="272" spans="1:9" hidden="1" x14ac:dyDescent="0.2">
      <c r="A272" s="8" t="s">
        <v>2</v>
      </c>
      <c r="B272" s="5"/>
      <c r="C272" s="74"/>
      <c r="D272" s="6"/>
      <c r="E272" s="6"/>
      <c r="F272" s="6"/>
      <c r="G272" s="6"/>
      <c r="H272" s="6"/>
      <c r="I272" s="6"/>
    </row>
    <row r="273" spans="1:9" hidden="1" x14ac:dyDescent="0.2">
      <c r="A273" s="8" t="s">
        <v>3</v>
      </c>
      <c r="B273" s="5"/>
      <c r="C273" s="74"/>
      <c r="D273" s="6"/>
      <c r="E273" s="6"/>
      <c r="F273" s="6"/>
      <c r="G273" s="6"/>
      <c r="H273" s="6"/>
      <c r="I273" s="6"/>
    </row>
    <row r="274" spans="1:9" hidden="1" x14ac:dyDescent="0.2">
      <c r="A274" s="8" t="s">
        <v>4</v>
      </c>
      <c r="B274" s="5"/>
      <c r="C274" s="74"/>
      <c r="D274" s="6"/>
      <c r="E274" s="6"/>
      <c r="F274" s="6"/>
      <c r="G274" s="6"/>
      <c r="H274" s="6"/>
      <c r="I274" s="6"/>
    </row>
    <row r="275" spans="1:9" hidden="1" x14ac:dyDescent="0.2">
      <c r="A275" s="8" t="s">
        <v>5</v>
      </c>
      <c r="B275" s="5"/>
      <c r="C275" s="74"/>
      <c r="D275" s="6"/>
      <c r="E275" s="6"/>
      <c r="F275" s="6"/>
      <c r="G275" s="6"/>
      <c r="H275" s="6"/>
      <c r="I275" s="6"/>
    </row>
    <row r="276" spans="1:9" hidden="1" x14ac:dyDescent="0.2">
      <c r="A276" s="8" t="s">
        <v>6</v>
      </c>
      <c r="B276" s="5"/>
      <c r="C276" s="74"/>
      <c r="D276" s="6"/>
      <c r="E276" s="6"/>
      <c r="F276" s="6"/>
      <c r="G276" s="6"/>
      <c r="H276" s="6"/>
      <c r="I276" s="6"/>
    </row>
    <row r="277" spans="1:9" hidden="1" x14ac:dyDescent="0.2">
      <c r="A277" s="8" t="s">
        <v>7</v>
      </c>
      <c r="B277" s="5"/>
      <c r="C277" s="74"/>
      <c r="D277" s="6"/>
      <c r="E277" s="6"/>
      <c r="F277" s="6"/>
      <c r="G277" s="6"/>
      <c r="H277" s="6"/>
      <c r="I277" s="6"/>
    </row>
    <row r="278" spans="1:9" hidden="1" x14ac:dyDescent="0.2">
      <c r="A278" s="8" t="s">
        <v>8</v>
      </c>
      <c r="B278" s="5"/>
      <c r="C278" s="74"/>
      <c r="D278" s="6"/>
      <c r="E278" s="6"/>
      <c r="F278" s="6"/>
      <c r="G278" s="6"/>
      <c r="H278" s="6"/>
      <c r="I278" s="6"/>
    </row>
    <row r="279" spans="1:9" hidden="1" x14ac:dyDescent="0.2">
      <c r="A279" s="8" t="s">
        <v>9</v>
      </c>
      <c r="B279" s="5"/>
      <c r="C279" s="74"/>
      <c r="D279" s="6"/>
      <c r="E279" s="6"/>
      <c r="F279" s="6"/>
      <c r="G279" s="6"/>
      <c r="H279" s="6"/>
      <c r="I279" s="6"/>
    </row>
    <row r="280" spans="1:9" hidden="1" x14ac:dyDescent="0.2">
      <c r="A280" s="312" t="s">
        <v>10</v>
      </c>
      <c r="B280" s="313"/>
      <c r="C280" s="313"/>
      <c r="D280" s="313"/>
      <c r="E280" s="314"/>
      <c r="F280" s="11">
        <f>SUM(F270:F279)</f>
        <v>0</v>
      </c>
      <c r="G280" s="11">
        <f>SUM(G270:G279)</f>
        <v>0</v>
      </c>
      <c r="H280" s="11">
        <f>SUM(H270:H279)</f>
        <v>0</v>
      </c>
      <c r="I280" s="11"/>
    </row>
    <row r="281" spans="1:9" x14ac:dyDescent="0.2">
      <c r="A281" s="8" t="s">
        <v>0</v>
      </c>
      <c r="B281" s="5">
        <f>B270+1</f>
        <v>46130</v>
      </c>
      <c r="C281" s="74" t="s">
        <v>1273</v>
      </c>
      <c r="D281" s="6" t="s">
        <v>347</v>
      </c>
      <c r="E281" s="6" t="s">
        <v>174</v>
      </c>
      <c r="F281" s="6">
        <v>1</v>
      </c>
      <c r="G281" s="6"/>
      <c r="H281" s="6">
        <v>6</v>
      </c>
      <c r="I281" s="6"/>
    </row>
    <row r="282" spans="1:9" hidden="1" x14ac:dyDescent="0.2">
      <c r="A282" s="8" t="s">
        <v>1</v>
      </c>
      <c r="B282" s="5"/>
      <c r="C282" s="74"/>
      <c r="D282" s="6"/>
      <c r="E282" s="6"/>
      <c r="F282" s="6"/>
      <c r="G282" s="6"/>
      <c r="H282" s="6"/>
      <c r="I282" s="6"/>
    </row>
    <row r="283" spans="1:9" hidden="1" x14ac:dyDescent="0.2">
      <c r="A283" s="8" t="s">
        <v>2</v>
      </c>
      <c r="B283" s="5"/>
      <c r="C283" s="74"/>
      <c r="D283" s="6"/>
      <c r="E283" s="6"/>
      <c r="F283" s="6"/>
      <c r="G283" s="6"/>
      <c r="H283" s="6"/>
      <c r="I283" s="6"/>
    </row>
    <row r="284" spans="1:9" hidden="1" x14ac:dyDescent="0.2">
      <c r="A284" s="8" t="s">
        <v>3</v>
      </c>
      <c r="B284" s="5"/>
      <c r="C284" s="74"/>
      <c r="D284" s="6"/>
      <c r="E284" s="6"/>
      <c r="F284" s="6"/>
      <c r="G284" s="6"/>
      <c r="H284" s="6"/>
      <c r="I284" s="6"/>
    </row>
    <row r="285" spans="1:9" hidden="1" x14ac:dyDescent="0.2">
      <c r="A285" s="8" t="s">
        <v>4</v>
      </c>
      <c r="B285" s="5"/>
      <c r="C285" s="74"/>
      <c r="D285" s="6"/>
      <c r="E285" s="6"/>
      <c r="F285" s="6"/>
      <c r="G285" s="6"/>
      <c r="H285" s="6"/>
      <c r="I285" s="6"/>
    </row>
    <row r="286" spans="1:9" hidden="1" x14ac:dyDescent="0.2">
      <c r="A286" s="8" t="s">
        <v>5</v>
      </c>
      <c r="B286" s="5"/>
      <c r="C286" s="74"/>
      <c r="D286" s="6"/>
      <c r="E286" s="6"/>
      <c r="F286" s="6"/>
      <c r="G286" s="6"/>
      <c r="H286" s="6"/>
      <c r="I286" s="6"/>
    </row>
    <row r="287" spans="1:9" hidden="1" x14ac:dyDescent="0.2">
      <c r="A287" s="8" t="s">
        <v>6</v>
      </c>
      <c r="B287" s="5"/>
      <c r="C287" s="74"/>
      <c r="D287" s="6"/>
      <c r="E287" s="6"/>
      <c r="F287" s="6"/>
      <c r="G287" s="6"/>
      <c r="H287" s="6"/>
      <c r="I287" s="6"/>
    </row>
    <row r="288" spans="1:9" hidden="1" x14ac:dyDescent="0.2">
      <c r="A288" s="8" t="s">
        <v>7</v>
      </c>
      <c r="B288" s="5"/>
      <c r="C288" s="74"/>
      <c r="D288" s="6"/>
      <c r="E288" s="6"/>
      <c r="F288" s="6"/>
      <c r="G288" s="6"/>
      <c r="H288" s="6"/>
      <c r="I288" s="6"/>
    </row>
    <row r="289" spans="1:9" hidden="1" x14ac:dyDescent="0.2">
      <c r="A289" s="8" t="s">
        <v>8</v>
      </c>
      <c r="B289" s="5"/>
      <c r="C289" s="74"/>
      <c r="D289" s="6"/>
      <c r="E289" s="6"/>
      <c r="F289" s="6"/>
      <c r="G289" s="6"/>
      <c r="H289" s="6"/>
      <c r="I289" s="6"/>
    </row>
    <row r="290" spans="1:9" hidden="1" x14ac:dyDescent="0.2">
      <c r="A290" s="8" t="s">
        <v>9</v>
      </c>
      <c r="B290" s="5"/>
      <c r="C290" s="74"/>
      <c r="D290" s="6"/>
      <c r="E290" s="6"/>
      <c r="F290" s="6"/>
      <c r="G290" s="6"/>
      <c r="H290" s="6"/>
      <c r="I290" s="6"/>
    </row>
    <row r="291" spans="1:9" x14ac:dyDescent="0.2">
      <c r="A291" s="312" t="s">
        <v>10</v>
      </c>
      <c r="B291" s="313"/>
      <c r="C291" s="313"/>
      <c r="D291" s="313"/>
      <c r="E291" s="314"/>
      <c r="F291" s="11">
        <f>SUM(F281:F290)</f>
        <v>1</v>
      </c>
      <c r="G291" s="11">
        <f>SUM(G281:G290)</f>
        <v>0</v>
      </c>
      <c r="H291" s="11">
        <f>SUM(H281:H290)</f>
        <v>6</v>
      </c>
      <c r="I291" s="11"/>
    </row>
    <row r="292" spans="1:9" x14ac:dyDescent="0.2">
      <c r="A292" s="8" t="s">
        <v>0</v>
      </c>
      <c r="B292" s="5">
        <f>B281+1</f>
        <v>46131</v>
      </c>
      <c r="C292" s="75" t="s">
        <v>1275</v>
      </c>
      <c r="D292" s="6" t="s">
        <v>170</v>
      </c>
      <c r="E292" s="6" t="s">
        <v>190</v>
      </c>
      <c r="F292" s="6">
        <v>1</v>
      </c>
      <c r="G292" s="6"/>
      <c r="H292" s="6">
        <v>2</v>
      </c>
      <c r="I292" s="6"/>
    </row>
    <row r="293" spans="1:9" hidden="1" x14ac:dyDescent="0.2">
      <c r="A293" s="8" t="s">
        <v>1</v>
      </c>
      <c r="B293" s="5"/>
      <c r="C293" s="75"/>
      <c r="D293" s="6"/>
      <c r="E293" s="6"/>
      <c r="F293" s="6"/>
      <c r="G293" s="6"/>
      <c r="H293" s="6"/>
      <c r="I293" s="6"/>
    </row>
    <row r="294" spans="1:9" hidden="1" x14ac:dyDescent="0.2">
      <c r="A294" s="8" t="s">
        <v>2</v>
      </c>
      <c r="B294" s="5"/>
      <c r="C294" s="75"/>
      <c r="D294" s="6"/>
      <c r="E294" s="6"/>
      <c r="F294" s="6"/>
      <c r="G294" s="6"/>
      <c r="H294" s="6"/>
      <c r="I294" s="6"/>
    </row>
    <row r="295" spans="1:9" hidden="1" x14ac:dyDescent="0.2">
      <c r="A295" s="8" t="s">
        <v>3</v>
      </c>
      <c r="B295" s="5"/>
      <c r="C295" s="75"/>
      <c r="D295" s="6"/>
      <c r="E295" s="6"/>
      <c r="F295" s="6"/>
      <c r="G295" s="6"/>
      <c r="H295" s="6"/>
      <c r="I295" s="6"/>
    </row>
    <row r="296" spans="1:9" hidden="1" x14ac:dyDescent="0.2">
      <c r="A296" s="8" t="s">
        <v>4</v>
      </c>
      <c r="B296" s="5"/>
      <c r="C296" s="75"/>
      <c r="D296" s="6"/>
      <c r="E296" s="6"/>
      <c r="F296" s="6"/>
      <c r="G296" s="6"/>
      <c r="H296" s="6"/>
      <c r="I296" s="6"/>
    </row>
    <row r="297" spans="1:9" hidden="1" x14ac:dyDescent="0.2">
      <c r="A297" s="8" t="s">
        <v>5</v>
      </c>
      <c r="B297" s="5"/>
      <c r="C297" s="75"/>
      <c r="D297" s="6"/>
      <c r="E297" s="6"/>
      <c r="F297" s="6"/>
      <c r="G297" s="6"/>
      <c r="H297" s="6"/>
      <c r="I297" s="6"/>
    </row>
    <row r="298" spans="1:9" hidden="1" x14ac:dyDescent="0.2">
      <c r="A298" s="8" t="s">
        <v>6</v>
      </c>
      <c r="B298" s="5"/>
      <c r="C298" s="75"/>
      <c r="D298" s="6"/>
      <c r="E298" s="6"/>
      <c r="F298" s="6"/>
      <c r="G298" s="6"/>
      <c r="H298" s="6"/>
      <c r="I298" s="6"/>
    </row>
    <row r="299" spans="1:9" hidden="1" x14ac:dyDescent="0.2">
      <c r="A299" s="8" t="s">
        <v>7</v>
      </c>
      <c r="B299" s="5"/>
      <c r="C299" s="75"/>
      <c r="D299" s="6"/>
      <c r="E299" s="6"/>
      <c r="F299" s="6"/>
      <c r="G299" s="6"/>
      <c r="H299" s="6"/>
      <c r="I299" s="6"/>
    </row>
    <row r="300" spans="1:9" hidden="1" x14ac:dyDescent="0.2">
      <c r="A300" s="8" t="s">
        <v>8</v>
      </c>
      <c r="B300" s="5"/>
      <c r="C300" s="74"/>
      <c r="D300" s="6"/>
      <c r="E300" s="6"/>
      <c r="F300" s="6"/>
      <c r="G300" s="6"/>
      <c r="H300" s="6"/>
      <c r="I300" s="6"/>
    </row>
    <row r="301" spans="1:9" hidden="1" x14ac:dyDescent="0.2">
      <c r="A301" s="8" t="s">
        <v>9</v>
      </c>
      <c r="B301" s="5"/>
      <c r="C301" s="74"/>
      <c r="D301" s="6"/>
      <c r="E301" s="6"/>
      <c r="F301" s="6"/>
      <c r="G301" s="6"/>
      <c r="H301" s="6"/>
      <c r="I301" s="6"/>
    </row>
    <row r="302" spans="1:9" x14ac:dyDescent="0.2">
      <c r="A302" s="312" t="s">
        <v>10</v>
      </c>
      <c r="B302" s="313"/>
      <c r="C302" s="313"/>
      <c r="D302" s="313"/>
      <c r="E302" s="314"/>
      <c r="F302" s="11">
        <f>SUM(F292:F301)</f>
        <v>1</v>
      </c>
      <c r="G302" s="11">
        <f>SUM(G292:G301)</f>
        <v>0</v>
      </c>
      <c r="H302" s="11">
        <f>SUM(H292:H301)</f>
        <v>2</v>
      </c>
      <c r="I302" s="11"/>
    </row>
    <row r="303" spans="1:9" x14ac:dyDescent="0.2">
      <c r="A303" s="8" t="s">
        <v>0</v>
      </c>
      <c r="B303" s="5">
        <f>B292+1</f>
        <v>46132</v>
      </c>
      <c r="C303" s="75" t="s">
        <v>1289</v>
      </c>
      <c r="D303" s="6" t="s">
        <v>170</v>
      </c>
      <c r="E303" s="6" t="s">
        <v>165</v>
      </c>
      <c r="F303" s="6">
        <v>1</v>
      </c>
      <c r="G303" s="6"/>
      <c r="H303" s="6">
        <v>6</v>
      </c>
      <c r="I303" s="6"/>
    </row>
    <row r="304" spans="1:9" x14ac:dyDescent="0.2">
      <c r="A304" s="8" t="s">
        <v>1</v>
      </c>
      <c r="B304" s="5"/>
      <c r="C304" s="75" t="s">
        <v>1290</v>
      </c>
      <c r="D304" s="6" t="s">
        <v>170</v>
      </c>
      <c r="E304" s="6" t="s">
        <v>165</v>
      </c>
      <c r="F304" s="6">
        <v>1</v>
      </c>
      <c r="G304" s="6"/>
      <c r="H304" s="6">
        <v>6</v>
      </c>
      <c r="I304" s="6"/>
    </row>
    <row r="305" spans="1:9" x14ac:dyDescent="0.2">
      <c r="A305" s="8" t="s">
        <v>2</v>
      </c>
      <c r="B305" s="5"/>
      <c r="C305" s="75" t="s">
        <v>1291</v>
      </c>
      <c r="D305" s="6" t="s">
        <v>170</v>
      </c>
      <c r="E305" s="6" t="s">
        <v>165</v>
      </c>
      <c r="F305" s="6">
        <v>1</v>
      </c>
      <c r="G305" s="6"/>
      <c r="H305" s="6">
        <v>6</v>
      </c>
      <c r="I305" s="6"/>
    </row>
    <row r="306" spans="1:9" x14ac:dyDescent="0.2">
      <c r="A306" s="8" t="s">
        <v>3</v>
      </c>
      <c r="B306" s="5"/>
      <c r="C306" s="75" t="s">
        <v>1293</v>
      </c>
      <c r="D306" s="6" t="s">
        <v>188</v>
      </c>
      <c r="E306" s="6" t="s">
        <v>165</v>
      </c>
      <c r="F306" s="6">
        <v>1</v>
      </c>
      <c r="G306" s="6"/>
      <c r="H306" s="6">
        <v>6</v>
      </c>
      <c r="I306" s="6"/>
    </row>
    <row r="307" spans="1:9" x14ac:dyDescent="0.2">
      <c r="A307" s="8" t="s">
        <v>4</v>
      </c>
      <c r="B307" s="5"/>
      <c r="C307" s="75" t="s">
        <v>1294</v>
      </c>
      <c r="D307" s="6" t="s">
        <v>188</v>
      </c>
      <c r="E307" s="6" t="s">
        <v>165</v>
      </c>
      <c r="F307" s="6">
        <v>1</v>
      </c>
      <c r="G307" s="6"/>
      <c r="H307" s="6">
        <v>6</v>
      </c>
      <c r="I307" s="6"/>
    </row>
    <row r="308" spans="1:9" x14ac:dyDescent="0.2">
      <c r="A308" s="8" t="s">
        <v>5</v>
      </c>
      <c r="B308" s="5"/>
      <c r="C308" s="75" t="s">
        <v>1295</v>
      </c>
      <c r="D308" s="6" t="s">
        <v>347</v>
      </c>
      <c r="E308" s="6" t="s">
        <v>441</v>
      </c>
      <c r="F308" s="6">
        <v>1</v>
      </c>
      <c r="G308" s="6"/>
      <c r="H308" s="6">
        <v>6</v>
      </c>
      <c r="I308" s="6"/>
    </row>
    <row r="309" spans="1:9" x14ac:dyDescent="0.2">
      <c r="A309" s="8" t="s">
        <v>6</v>
      </c>
      <c r="B309" s="5"/>
      <c r="C309" s="74" t="s">
        <v>1296</v>
      </c>
      <c r="D309" s="6" t="s">
        <v>188</v>
      </c>
      <c r="E309" s="6" t="s">
        <v>165</v>
      </c>
      <c r="F309" s="6">
        <v>1</v>
      </c>
      <c r="G309" s="6"/>
      <c r="H309" s="6">
        <v>6</v>
      </c>
      <c r="I309" s="6"/>
    </row>
    <row r="310" spans="1:9" x14ac:dyDescent="0.2">
      <c r="A310" s="8" t="s">
        <v>7</v>
      </c>
      <c r="B310" s="5"/>
      <c r="C310" s="74" t="s">
        <v>1297</v>
      </c>
      <c r="D310" s="6" t="s">
        <v>170</v>
      </c>
      <c r="E310" s="6" t="s">
        <v>165</v>
      </c>
      <c r="F310" s="6">
        <v>1</v>
      </c>
      <c r="G310" s="6"/>
      <c r="H310" s="6">
        <v>3</v>
      </c>
      <c r="I310" s="6"/>
    </row>
    <row r="311" spans="1:9" hidden="1" x14ac:dyDescent="0.2">
      <c r="A311" s="8" t="s">
        <v>8</v>
      </c>
      <c r="B311" s="5"/>
      <c r="C311" s="74"/>
      <c r="D311" s="6"/>
      <c r="E311" s="6"/>
      <c r="F311" s="6"/>
      <c r="G311" s="6"/>
      <c r="H311" s="6"/>
      <c r="I311" s="6"/>
    </row>
    <row r="312" spans="1:9" hidden="1" x14ac:dyDescent="0.2">
      <c r="A312" s="8" t="s">
        <v>9</v>
      </c>
      <c r="B312" s="5"/>
      <c r="C312" s="74"/>
      <c r="D312" s="6"/>
      <c r="E312" s="6"/>
      <c r="F312" s="6"/>
      <c r="G312" s="6"/>
      <c r="H312" s="6"/>
      <c r="I312" s="6"/>
    </row>
    <row r="313" spans="1:9" x14ac:dyDescent="0.2">
      <c r="A313" s="312" t="s">
        <v>10</v>
      </c>
      <c r="B313" s="313"/>
      <c r="C313" s="313"/>
      <c r="D313" s="313"/>
      <c r="E313" s="314"/>
      <c r="F313" s="11">
        <f>SUM(F303:F312)</f>
        <v>8</v>
      </c>
      <c r="G313" s="11">
        <f>SUM(G303:G312)</f>
        <v>0</v>
      </c>
      <c r="H313" s="11">
        <f>SUM(H303:H312)</f>
        <v>45</v>
      </c>
      <c r="I313" s="11"/>
    </row>
    <row r="314" spans="1:9" x14ac:dyDescent="0.2">
      <c r="A314" s="8" t="s">
        <v>0</v>
      </c>
      <c r="B314" s="5">
        <f>B303+1</f>
        <v>46133</v>
      </c>
      <c r="C314" s="75" t="s">
        <v>1371</v>
      </c>
      <c r="D314" s="6" t="s">
        <v>342</v>
      </c>
      <c r="E314" s="6" t="s">
        <v>165</v>
      </c>
      <c r="F314" s="6">
        <v>1</v>
      </c>
      <c r="G314" s="6"/>
      <c r="H314" s="6">
        <v>6</v>
      </c>
      <c r="I314" s="6"/>
    </row>
    <row r="315" spans="1:9" x14ac:dyDescent="0.2">
      <c r="A315" s="8" t="s">
        <v>1</v>
      </c>
      <c r="B315" s="5"/>
      <c r="C315" s="75" t="s">
        <v>1372</v>
      </c>
      <c r="D315" s="6" t="s">
        <v>170</v>
      </c>
      <c r="E315" s="6" t="s">
        <v>171</v>
      </c>
      <c r="F315" s="6">
        <v>1</v>
      </c>
      <c r="G315" s="6"/>
      <c r="H315" s="6">
        <v>6</v>
      </c>
      <c r="I315" s="6"/>
    </row>
    <row r="316" spans="1:9" x14ac:dyDescent="0.2">
      <c r="A316" s="8" t="s">
        <v>2</v>
      </c>
      <c r="B316" s="5"/>
      <c r="C316" s="75" t="s">
        <v>1373</v>
      </c>
      <c r="D316" s="6" t="s">
        <v>170</v>
      </c>
      <c r="E316" s="6" t="s">
        <v>171</v>
      </c>
      <c r="F316" s="6">
        <v>1</v>
      </c>
      <c r="G316" s="6"/>
      <c r="H316" s="6">
        <v>6</v>
      </c>
      <c r="I316" s="6"/>
    </row>
    <row r="317" spans="1:9" x14ac:dyDescent="0.2">
      <c r="A317" s="8" t="s">
        <v>3</v>
      </c>
      <c r="B317" s="5"/>
      <c r="C317" s="75" t="s">
        <v>1374</v>
      </c>
      <c r="D317" s="6" t="s">
        <v>170</v>
      </c>
      <c r="E317" s="6" t="s">
        <v>171</v>
      </c>
      <c r="F317" s="6">
        <v>1</v>
      </c>
      <c r="G317" s="6"/>
      <c r="H317" s="6">
        <v>6</v>
      </c>
      <c r="I317" s="6"/>
    </row>
    <row r="318" spans="1:9" x14ac:dyDescent="0.2">
      <c r="A318" s="8" t="s">
        <v>4</v>
      </c>
      <c r="B318" s="5"/>
      <c r="C318" s="75" t="s">
        <v>1375</v>
      </c>
      <c r="D318" s="6" t="s">
        <v>170</v>
      </c>
      <c r="E318" s="6" t="s">
        <v>171</v>
      </c>
      <c r="F318" s="6">
        <v>1</v>
      </c>
      <c r="G318" s="6"/>
      <c r="H318" s="6">
        <v>6</v>
      </c>
      <c r="I318" s="6"/>
    </row>
    <row r="319" spans="1:9" x14ac:dyDescent="0.2">
      <c r="A319" s="8" t="s">
        <v>5</v>
      </c>
      <c r="B319" s="5"/>
      <c r="C319" s="75" t="s">
        <v>1376</v>
      </c>
      <c r="D319" s="6" t="s">
        <v>170</v>
      </c>
      <c r="E319" s="6" t="s">
        <v>171</v>
      </c>
      <c r="F319" s="6"/>
      <c r="G319" s="6">
        <v>1</v>
      </c>
      <c r="H319" s="6">
        <v>6</v>
      </c>
      <c r="I319" s="6"/>
    </row>
    <row r="320" spans="1:9" x14ac:dyDescent="0.2">
      <c r="A320" s="8" t="s">
        <v>6</v>
      </c>
      <c r="B320" s="5"/>
      <c r="C320" s="75" t="s">
        <v>1377</v>
      </c>
      <c r="D320" s="6" t="s">
        <v>170</v>
      </c>
      <c r="E320" s="6" t="s">
        <v>171</v>
      </c>
      <c r="F320" s="6"/>
      <c r="G320" s="6">
        <v>1</v>
      </c>
      <c r="H320" s="6">
        <v>6</v>
      </c>
      <c r="I320" s="6"/>
    </row>
    <row r="321" spans="1:9" hidden="1" x14ac:dyDescent="0.2">
      <c r="A321" s="8" t="s">
        <v>7</v>
      </c>
      <c r="B321" s="5"/>
      <c r="C321" s="75"/>
      <c r="D321" s="6"/>
      <c r="E321" s="6"/>
      <c r="F321" s="6"/>
      <c r="G321" s="6"/>
      <c r="H321" s="6"/>
      <c r="I321" s="6"/>
    </row>
    <row r="322" spans="1:9" hidden="1" x14ac:dyDescent="0.2">
      <c r="A322" s="8" t="s">
        <v>8</v>
      </c>
      <c r="B322" s="5"/>
      <c r="C322" s="75"/>
      <c r="D322" s="6"/>
      <c r="E322" s="6"/>
      <c r="F322" s="6"/>
      <c r="G322" s="6"/>
      <c r="H322" s="6"/>
      <c r="I322" s="6"/>
    </row>
    <row r="323" spans="1:9" hidden="1" x14ac:dyDescent="0.2">
      <c r="A323" s="8" t="s">
        <v>9</v>
      </c>
      <c r="B323" s="5"/>
      <c r="C323" s="75"/>
      <c r="D323" s="6"/>
      <c r="E323" s="6"/>
      <c r="F323" s="6"/>
      <c r="G323" s="6"/>
      <c r="H323" s="6"/>
      <c r="I323" s="6"/>
    </row>
    <row r="324" spans="1:9" x14ac:dyDescent="0.2">
      <c r="A324" s="312" t="s">
        <v>10</v>
      </c>
      <c r="B324" s="313"/>
      <c r="C324" s="313"/>
      <c r="D324" s="313"/>
      <c r="E324" s="314"/>
      <c r="F324" s="11">
        <f>SUM(F314:F323)</f>
        <v>5</v>
      </c>
      <c r="G324" s="11">
        <f>SUM(G314:G323)</f>
        <v>2</v>
      </c>
      <c r="H324" s="11">
        <f>SUM(H314:H323)</f>
        <v>42</v>
      </c>
      <c r="I324" s="11"/>
    </row>
    <row r="325" spans="1:9" x14ac:dyDescent="0.2">
      <c r="A325" s="8" t="s">
        <v>0</v>
      </c>
      <c r="B325" s="5">
        <f>B314+1</f>
        <v>46134</v>
      </c>
      <c r="C325" s="74" t="s">
        <v>1449</v>
      </c>
      <c r="D325" s="6" t="s">
        <v>215</v>
      </c>
      <c r="E325" s="6" t="s">
        <v>216</v>
      </c>
      <c r="F325" s="6">
        <v>1</v>
      </c>
      <c r="G325" s="6"/>
      <c r="H325" s="6">
        <v>5.25</v>
      </c>
      <c r="I325" s="6"/>
    </row>
    <row r="326" spans="1:9" x14ac:dyDescent="0.2">
      <c r="A326" s="8" t="s">
        <v>1</v>
      </c>
      <c r="B326" s="5"/>
      <c r="C326" s="74" t="s">
        <v>1450</v>
      </c>
      <c r="D326" s="6" t="s">
        <v>170</v>
      </c>
      <c r="E326" s="6" t="s">
        <v>171</v>
      </c>
      <c r="F326" s="6">
        <v>1</v>
      </c>
      <c r="G326" s="6"/>
      <c r="H326" s="6">
        <v>6</v>
      </c>
      <c r="I326" s="6"/>
    </row>
    <row r="327" spans="1:9" x14ac:dyDescent="0.2">
      <c r="A327" s="8" t="s">
        <v>2</v>
      </c>
      <c r="B327" s="5"/>
      <c r="C327" s="74" t="s">
        <v>1451</v>
      </c>
      <c r="D327" s="6" t="s">
        <v>170</v>
      </c>
      <c r="E327" s="6" t="s">
        <v>171</v>
      </c>
      <c r="F327" s="6">
        <v>1</v>
      </c>
      <c r="G327" s="6"/>
      <c r="H327" s="6">
        <v>6</v>
      </c>
      <c r="I327" s="6"/>
    </row>
    <row r="328" spans="1:9" x14ac:dyDescent="0.2">
      <c r="A328" s="8" t="s">
        <v>3</v>
      </c>
      <c r="B328" s="5"/>
      <c r="C328" s="74" t="s">
        <v>1452</v>
      </c>
      <c r="D328" s="6" t="s">
        <v>170</v>
      </c>
      <c r="E328" s="6" t="s">
        <v>165</v>
      </c>
      <c r="F328" s="6">
        <v>1</v>
      </c>
      <c r="G328" s="6"/>
      <c r="H328" s="6">
        <v>3</v>
      </c>
      <c r="I328" s="6"/>
    </row>
    <row r="329" spans="1:9" hidden="1" x14ac:dyDescent="0.2">
      <c r="A329" s="8" t="s">
        <v>4</v>
      </c>
      <c r="B329" s="5"/>
      <c r="C329" s="74"/>
      <c r="D329" s="6"/>
      <c r="E329" s="6"/>
      <c r="F329" s="6"/>
      <c r="G329" s="6"/>
      <c r="H329" s="6"/>
      <c r="I329" s="6"/>
    </row>
    <row r="330" spans="1:9" hidden="1" x14ac:dyDescent="0.2">
      <c r="A330" s="8" t="s">
        <v>5</v>
      </c>
      <c r="B330" s="5"/>
      <c r="C330" s="74"/>
      <c r="D330" s="6"/>
      <c r="E330" s="6"/>
      <c r="F330" s="6"/>
      <c r="G330" s="6"/>
      <c r="H330" s="6"/>
      <c r="I330" s="6"/>
    </row>
    <row r="331" spans="1:9" hidden="1" x14ac:dyDescent="0.2">
      <c r="A331" s="8" t="s">
        <v>6</v>
      </c>
      <c r="B331" s="5"/>
      <c r="C331" s="74"/>
      <c r="D331" s="6"/>
      <c r="E331" s="6"/>
      <c r="F331" s="6"/>
      <c r="G331" s="6"/>
      <c r="H331" s="6"/>
      <c r="I331" s="6"/>
    </row>
    <row r="332" spans="1:9" hidden="1" x14ac:dyDescent="0.2">
      <c r="A332" s="8" t="s">
        <v>7</v>
      </c>
      <c r="B332" s="5"/>
      <c r="C332" s="74"/>
      <c r="D332" s="6"/>
      <c r="E332" s="6"/>
      <c r="F332" s="6"/>
      <c r="G332" s="6"/>
      <c r="H332" s="6"/>
      <c r="I332" s="6"/>
    </row>
    <row r="333" spans="1:9" hidden="1" x14ac:dyDescent="0.2">
      <c r="A333" s="8" t="s">
        <v>8</v>
      </c>
      <c r="B333" s="5"/>
      <c r="C333" s="74"/>
      <c r="D333" s="6"/>
      <c r="E333" s="6"/>
      <c r="F333" s="6"/>
      <c r="G333" s="6"/>
      <c r="H333" s="6"/>
      <c r="I333" s="6"/>
    </row>
    <row r="334" spans="1:9" hidden="1" x14ac:dyDescent="0.2">
      <c r="A334" s="8" t="s">
        <v>9</v>
      </c>
      <c r="B334" s="5"/>
      <c r="C334" s="74"/>
      <c r="D334" s="6"/>
      <c r="E334" s="6"/>
      <c r="F334" s="6"/>
      <c r="G334" s="6"/>
      <c r="H334" s="6"/>
      <c r="I334" s="6"/>
    </row>
    <row r="335" spans="1:9" x14ac:dyDescent="0.2">
      <c r="A335" s="312" t="s">
        <v>10</v>
      </c>
      <c r="B335" s="313"/>
      <c r="C335" s="313"/>
      <c r="D335" s="313"/>
      <c r="E335" s="314"/>
      <c r="F335" s="11">
        <f>SUM(F325:F334)</f>
        <v>4</v>
      </c>
      <c r="G335" s="11">
        <f>SUM(G325:G334)</f>
        <v>0</v>
      </c>
      <c r="H335" s="11">
        <f>SUM(H325:H334)</f>
        <v>20.25</v>
      </c>
      <c r="I335" s="11"/>
    </row>
    <row r="336" spans="1:9" s="25" customFormat="1" ht="18" x14ac:dyDescent="0.2">
      <c r="A336" s="315" t="s">
        <v>39</v>
      </c>
      <c r="B336" s="316"/>
      <c r="C336" s="316"/>
      <c r="D336" s="316"/>
      <c r="E336" s="317"/>
      <c r="F336" s="22">
        <f>F269+F280+F291+F302+F313+F324+F335+F252</f>
        <v>89</v>
      </c>
      <c r="G336" s="22">
        <f>G269+G280+G291+G302+G313+G324+G335+G252</f>
        <v>20</v>
      </c>
      <c r="H336" s="22">
        <f>H269+H280+H291+H302+H313+H324+H335+H252</f>
        <v>590.25</v>
      </c>
      <c r="I336" s="22"/>
    </row>
    <row r="337" spans="1:9" ht="21.95" customHeight="1" x14ac:dyDescent="0.2">
      <c r="A337" s="319" t="s">
        <v>14</v>
      </c>
      <c r="B337" s="319"/>
      <c r="C337" s="319"/>
      <c r="D337" s="319"/>
      <c r="E337" s="319"/>
      <c r="F337" s="319"/>
      <c r="G337" s="319"/>
      <c r="H337" s="319"/>
      <c r="I337" s="319"/>
    </row>
    <row r="338" spans="1:9" s="53" customFormat="1" ht="20.100000000000001" customHeight="1" x14ac:dyDescent="0.2">
      <c r="A338" s="323" t="s">
        <v>86</v>
      </c>
      <c r="B338" s="323"/>
      <c r="C338" s="323"/>
      <c r="D338" s="323"/>
      <c r="E338" s="323"/>
      <c r="F338" s="50" t="str">
        <f>F254</f>
        <v>เมษายน</v>
      </c>
      <c r="G338" s="50" t="s">
        <v>87</v>
      </c>
      <c r="H338" s="51">
        <f>H254</f>
        <v>2569</v>
      </c>
      <c r="I338" s="52"/>
    </row>
    <row r="339" spans="1:9" s="3" customFormat="1" ht="20.100000000000001" customHeight="1" x14ac:dyDescent="0.35">
      <c r="A339" s="318" t="s">
        <v>75</v>
      </c>
      <c r="B339" s="318"/>
      <c r="C339" s="318"/>
      <c r="D339" s="2"/>
      <c r="F339" s="4"/>
      <c r="G339" s="4"/>
      <c r="H339" s="4" t="s">
        <v>21</v>
      </c>
      <c r="I339" s="40">
        <f>I255+1</f>
        <v>5</v>
      </c>
    </row>
    <row r="340" spans="1:9" s="3" customFormat="1" ht="20.100000000000001" customHeight="1" x14ac:dyDescent="0.35">
      <c r="A340" s="311" t="s">
        <v>76</v>
      </c>
      <c r="B340" s="311"/>
      <c r="C340" s="311"/>
      <c r="D340" s="2"/>
      <c r="E340" s="39" t="s">
        <v>81</v>
      </c>
      <c r="F340" s="308">
        <f>F88</f>
        <v>46107</v>
      </c>
      <c r="G340" s="308"/>
      <c r="H340" s="39" t="s">
        <v>82</v>
      </c>
      <c r="I340" s="34">
        <f>$I$4</f>
        <v>46136</v>
      </c>
    </row>
    <row r="341" spans="1:9" x14ac:dyDescent="0.2">
      <c r="A341" s="12" t="s">
        <v>23</v>
      </c>
      <c r="B341" s="13" t="s">
        <v>11</v>
      </c>
      <c r="C341" s="72" t="s">
        <v>26</v>
      </c>
      <c r="D341" s="12" t="s">
        <v>16</v>
      </c>
      <c r="E341" s="12" t="s">
        <v>17</v>
      </c>
      <c r="F341" s="310" t="s">
        <v>46</v>
      </c>
      <c r="G341" s="310"/>
      <c r="H341" s="310"/>
      <c r="I341" s="12" t="s">
        <v>19</v>
      </c>
    </row>
    <row r="342" spans="1:9" x14ac:dyDescent="0.2">
      <c r="A342" s="15"/>
      <c r="B342" s="16"/>
      <c r="C342" s="73"/>
      <c r="D342" s="15"/>
      <c r="E342" s="15"/>
      <c r="F342" s="21" t="s">
        <v>113</v>
      </c>
      <c r="G342" s="21" t="s">
        <v>114</v>
      </c>
      <c r="H342" s="21" t="s">
        <v>20</v>
      </c>
      <c r="I342" s="15"/>
    </row>
    <row r="343" spans="1:9" x14ac:dyDescent="0.2">
      <c r="A343" s="8" t="s">
        <v>0</v>
      </c>
      <c r="B343" s="5">
        <f>B325+1</f>
        <v>46135</v>
      </c>
      <c r="C343" s="74" t="s">
        <v>1509</v>
      </c>
      <c r="D343" s="6" t="s">
        <v>188</v>
      </c>
      <c r="E343" s="6" t="s">
        <v>165</v>
      </c>
      <c r="F343" s="6">
        <v>1</v>
      </c>
      <c r="G343" s="6"/>
      <c r="H343" s="6">
        <v>6</v>
      </c>
      <c r="I343" s="6"/>
    </row>
    <row r="344" spans="1:9" x14ac:dyDescent="0.2">
      <c r="A344" s="8" t="s">
        <v>1</v>
      </c>
      <c r="B344" s="5"/>
      <c r="C344" s="74" t="s">
        <v>1510</v>
      </c>
      <c r="D344" s="6" t="s">
        <v>188</v>
      </c>
      <c r="E344" s="6" t="s">
        <v>165</v>
      </c>
      <c r="F344" s="6">
        <v>1</v>
      </c>
      <c r="G344" s="6"/>
      <c r="H344" s="6">
        <v>6</v>
      </c>
      <c r="I344" s="6"/>
    </row>
    <row r="345" spans="1:9" x14ac:dyDescent="0.2">
      <c r="A345" s="8" t="s">
        <v>2</v>
      </c>
      <c r="B345" s="5"/>
      <c r="C345" s="74" t="s">
        <v>1511</v>
      </c>
      <c r="D345" s="6" t="s">
        <v>347</v>
      </c>
      <c r="E345" s="6" t="s">
        <v>190</v>
      </c>
      <c r="F345" s="6">
        <v>1</v>
      </c>
      <c r="G345" s="6"/>
      <c r="H345" s="6">
        <v>5</v>
      </c>
      <c r="I345" s="6"/>
    </row>
    <row r="346" spans="1:9" x14ac:dyDescent="0.2">
      <c r="A346" s="8" t="s">
        <v>3</v>
      </c>
      <c r="B346" s="5"/>
      <c r="C346" s="74" t="s">
        <v>1498</v>
      </c>
      <c r="D346" s="6" t="s">
        <v>361</v>
      </c>
      <c r="E346" s="6" t="s">
        <v>168</v>
      </c>
      <c r="F346" s="6">
        <v>1</v>
      </c>
      <c r="G346" s="6"/>
      <c r="H346" s="6">
        <v>4</v>
      </c>
      <c r="I346" s="6"/>
    </row>
    <row r="347" spans="1:9" x14ac:dyDescent="0.2">
      <c r="A347" s="8" t="s">
        <v>4</v>
      </c>
      <c r="B347" s="5"/>
      <c r="C347" s="74" t="s">
        <v>1517</v>
      </c>
      <c r="D347" s="6" t="s">
        <v>170</v>
      </c>
      <c r="E347" s="6" t="s">
        <v>165</v>
      </c>
      <c r="F347" s="6"/>
      <c r="G347" s="6">
        <v>1</v>
      </c>
      <c r="H347" s="6">
        <v>6</v>
      </c>
      <c r="I347" s="6"/>
    </row>
    <row r="348" spans="1:9" x14ac:dyDescent="0.2">
      <c r="A348" s="8" t="s">
        <v>5</v>
      </c>
      <c r="B348" s="5"/>
      <c r="C348" s="74" t="s">
        <v>1518</v>
      </c>
      <c r="D348" s="6" t="s">
        <v>170</v>
      </c>
      <c r="E348" s="6" t="s">
        <v>165</v>
      </c>
      <c r="F348" s="6"/>
      <c r="G348" s="6">
        <v>1</v>
      </c>
      <c r="H348" s="6">
        <v>6</v>
      </c>
      <c r="I348" s="6"/>
    </row>
    <row r="349" spans="1:9" hidden="1" x14ac:dyDescent="0.2">
      <c r="A349" s="8" t="s">
        <v>6</v>
      </c>
      <c r="B349" s="5"/>
      <c r="C349" s="74"/>
      <c r="D349" s="6"/>
      <c r="E349" s="6"/>
      <c r="F349" s="6"/>
      <c r="G349" s="6"/>
      <c r="H349" s="6"/>
      <c r="I349" s="6"/>
    </row>
    <row r="350" spans="1:9" hidden="1" x14ac:dyDescent="0.2">
      <c r="A350" s="8" t="s">
        <v>7</v>
      </c>
      <c r="B350" s="5"/>
      <c r="C350" s="74"/>
      <c r="D350" s="6"/>
      <c r="E350" s="6"/>
      <c r="F350" s="6"/>
      <c r="G350" s="6"/>
      <c r="H350" s="6"/>
      <c r="I350" s="6"/>
    </row>
    <row r="351" spans="1:9" hidden="1" x14ac:dyDescent="0.2">
      <c r="A351" s="8" t="s">
        <v>8</v>
      </c>
      <c r="B351" s="5"/>
      <c r="C351" s="74"/>
      <c r="D351" s="6"/>
      <c r="E351" s="6"/>
      <c r="F351" s="6"/>
      <c r="G351" s="6"/>
      <c r="H351" s="6"/>
      <c r="I351" s="6"/>
    </row>
    <row r="352" spans="1:9" hidden="1" x14ac:dyDescent="0.2">
      <c r="A352" s="8" t="s">
        <v>9</v>
      </c>
      <c r="B352" s="5"/>
      <c r="C352" s="74"/>
      <c r="D352" s="6"/>
      <c r="E352" s="6"/>
      <c r="F352" s="6"/>
      <c r="G352" s="6"/>
      <c r="H352" s="6"/>
      <c r="I352" s="6"/>
    </row>
    <row r="353" spans="1:9" x14ac:dyDescent="0.2">
      <c r="A353" s="312" t="s">
        <v>10</v>
      </c>
      <c r="B353" s="313"/>
      <c r="C353" s="313"/>
      <c r="D353" s="313"/>
      <c r="E353" s="314"/>
      <c r="F353" s="11">
        <f>SUM(F343:F352)</f>
        <v>4</v>
      </c>
      <c r="G353" s="11">
        <f>SUM(G343:G352)</f>
        <v>2</v>
      </c>
      <c r="H353" s="11">
        <f>SUM(H343:H352)</f>
        <v>33</v>
      </c>
      <c r="I353" s="11"/>
    </row>
    <row r="354" spans="1:9" x14ac:dyDescent="0.2">
      <c r="A354" s="8" t="s">
        <v>0</v>
      </c>
      <c r="B354" s="5">
        <f>B343+1</f>
        <v>46136</v>
      </c>
      <c r="C354" s="74" t="s">
        <v>1575</v>
      </c>
      <c r="D354" s="6" t="s">
        <v>170</v>
      </c>
      <c r="E354" s="6" t="s">
        <v>171</v>
      </c>
      <c r="F354" s="6">
        <v>1</v>
      </c>
      <c r="G354" s="6"/>
      <c r="H354" s="6">
        <v>6</v>
      </c>
      <c r="I354" s="6"/>
    </row>
    <row r="355" spans="1:9" x14ac:dyDescent="0.2">
      <c r="A355" s="8" t="s">
        <v>1</v>
      </c>
      <c r="B355" s="5"/>
      <c r="C355" s="74" t="s">
        <v>1576</v>
      </c>
      <c r="D355" s="6" t="s">
        <v>170</v>
      </c>
      <c r="E355" s="6" t="s">
        <v>171</v>
      </c>
      <c r="F355" s="6">
        <v>1</v>
      </c>
      <c r="G355" s="6"/>
      <c r="H355" s="6">
        <v>6</v>
      </c>
      <c r="I355" s="6"/>
    </row>
    <row r="356" spans="1:9" x14ac:dyDescent="0.2">
      <c r="A356" s="8" t="s">
        <v>2</v>
      </c>
      <c r="B356" s="5"/>
      <c r="C356" s="74" t="s">
        <v>1577</v>
      </c>
      <c r="D356" s="6" t="s">
        <v>170</v>
      </c>
      <c r="E356" s="6" t="s">
        <v>171</v>
      </c>
      <c r="F356" s="6">
        <v>1</v>
      </c>
      <c r="G356" s="6"/>
      <c r="H356" s="6">
        <v>6</v>
      </c>
      <c r="I356" s="6"/>
    </row>
    <row r="357" spans="1:9" x14ac:dyDescent="0.2">
      <c r="A357" s="8" t="s">
        <v>3</v>
      </c>
      <c r="B357" s="5"/>
      <c r="C357" s="74" t="s">
        <v>1578</v>
      </c>
      <c r="D357" s="6" t="s">
        <v>170</v>
      </c>
      <c r="E357" s="6" t="s">
        <v>171</v>
      </c>
      <c r="F357" s="6">
        <v>1</v>
      </c>
      <c r="G357" s="6"/>
      <c r="H357" s="6">
        <v>6</v>
      </c>
      <c r="I357" s="6"/>
    </row>
    <row r="358" spans="1:9" x14ac:dyDescent="0.2">
      <c r="A358" s="8" t="s">
        <v>4</v>
      </c>
      <c r="B358" s="5"/>
      <c r="C358" s="74" t="s">
        <v>1579</v>
      </c>
      <c r="D358" s="6" t="s">
        <v>170</v>
      </c>
      <c r="E358" s="6" t="s">
        <v>171</v>
      </c>
      <c r="F358" s="6">
        <v>1</v>
      </c>
      <c r="G358" s="6"/>
      <c r="H358" s="6">
        <v>6</v>
      </c>
      <c r="I358" s="6"/>
    </row>
    <row r="359" spans="1:9" x14ac:dyDescent="0.2">
      <c r="A359" s="8" t="s">
        <v>5</v>
      </c>
      <c r="B359" s="5"/>
      <c r="C359" s="74" t="s">
        <v>1580</v>
      </c>
      <c r="D359" s="6" t="s">
        <v>347</v>
      </c>
      <c r="E359" s="6" t="s">
        <v>441</v>
      </c>
      <c r="F359" s="6">
        <v>1</v>
      </c>
      <c r="G359" s="6"/>
      <c r="H359" s="6">
        <v>5</v>
      </c>
      <c r="I359" s="6"/>
    </row>
    <row r="360" spans="1:9" x14ac:dyDescent="0.2">
      <c r="A360" s="8" t="s">
        <v>6</v>
      </c>
      <c r="B360" s="5"/>
      <c r="C360" s="74" t="s">
        <v>1581</v>
      </c>
      <c r="D360" s="6" t="s">
        <v>253</v>
      </c>
      <c r="E360" s="6" t="s">
        <v>596</v>
      </c>
      <c r="F360" s="6"/>
      <c r="G360" s="6">
        <v>1</v>
      </c>
      <c r="H360" s="6">
        <v>6</v>
      </c>
      <c r="I360" s="6"/>
    </row>
    <row r="361" spans="1:9" hidden="1" x14ac:dyDescent="0.2">
      <c r="A361" s="8" t="s">
        <v>7</v>
      </c>
      <c r="B361" s="5"/>
      <c r="C361" s="74"/>
      <c r="D361" s="6"/>
      <c r="E361" s="6"/>
      <c r="F361" s="6"/>
      <c r="G361" s="6"/>
      <c r="H361" s="6"/>
      <c r="I361" s="6"/>
    </row>
    <row r="362" spans="1:9" hidden="1" x14ac:dyDescent="0.2">
      <c r="A362" s="8" t="s">
        <v>8</v>
      </c>
      <c r="B362" s="5"/>
      <c r="C362" s="74"/>
      <c r="D362" s="6"/>
      <c r="E362" s="6"/>
      <c r="F362" s="6"/>
      <c r="G362" s="6"/>
      <c r="H362" s="6"/>
      <c r="I362" s="6"/>
    </row>
    <row r="363" spans="1:9" hidden="1" x14ac:dyDescent="0.2">
      <c r="A363" s="8" t="s">
        <v>9</v>
      </c>
      <c r="B363" s="5"/>
      <c r="C363" s="74"/>
      <c r="D363" s="6"/>
      <c r="E363" s="6"/>
      <c r="F363" s="6"/>
      <c r="G363" s="6"/>
      <c r="H363" s="6"/>
      <c r="I363" s="6"/>
    </row>
    <row r="364" spans="1:9" x14ac:dyDescent="0.2">
      <c r="A364" s="312" t="s">
        <v>10</v>
      </c>
      <c r="B364" s="313"/>
      <c r="C364" s="313"/>
      <c r="D364" s="313"/>
      <c r="E364" s="314"/>
      <c r="F364" s="11">
        <f>SUM(F354:F363)</f>
        <v>6</v>
      </c>
      <c r="G364" s="11">
        <f>SUM(G354:G363)</f>
        <v>1</v>
      </c>
      <c r="H364" s="11">
        <f>SUM(H354:H363)</f>
        <v>41</v>
      </c>
      <c r="I364" s="11"/>
    </row>
    <row r="365" spans="1:9" hidden="1" x14ac:dyDescent="0.2">
      <c r="A365" s="8" t="s">
        <v>0</v>
      </c>
      <c r="B365" s="5">
        <f>B354+1</f>
        <v>46137</v>
      </c>
      <c r="C365" s="75"/>
      <c r="D365" s="6"/>
      <c r="E365" s="6"/>
      <c r="F365" s="6"/>
      <c r="G365" s="6"/>
      <c r="H365" s="6"/>
      <c r="I365" s="6"/>
    </row>
    <row r="366" spans="1:9" hidden="1" x14ac:dyDescent="0.2">
      <c r="A366" s="8" t="s">
        <v>1</v>
      </c>
      <c r="B366" s="5"/>
      <c r="C366" s="75"/>
      <c r="D366" s="6"/>
      <c r="E366" s="6"/>
      <c r="F366" s="6"/>
      <c r="G366" s="6"/>
      <c r="H366" s="6"/>
      <c r="I366" s="6"/>
    </row>
    <row r="367" spans="1:9" hidden="1" x14ac:dyDescent="0.2">
      <c r="A367" s="8" t="s">
        <v>2</v>
      </c>
      <c r="B367" s="5"/>
      <c r="C367" s="75"/>
      <c r="D367" s="6"/>
      <c r="E367" s="6"/>
      <c r="F367" s="6"/>
      <c r="G367" s="6"/>
      <c r="H367" s="6"/>
      <c r="I367" s="6"/>
    </row>
    <row r="368" spans="1:9" hidden="1" x14ac:dyDescent="0.2">
      <c r="A368" s="8" t="s">
        <v>3</v>
      </c>
      <c r="B368" s="5"/>
      <c r="C368" s="75"/>
      <c r="D368" s="6"/>
      <c r="E368" s="6"/>
      <c r="F368" s="6"/>
      <c r="G368" s="6"/>
      <c r="H368" s="6"/>
      <c r="I368" s="6"/>
    </row>
    <row r="369" spans="1:9" hidden="1" x14ac:dyDescent="0.2">
      <c r="A369" s="8" t="s">
        <v>4</v>
      </c>
      <c r="B369" s="5"/>
      <c r="C369" s="75"/>
      <c r="D369" s="6"/>
      <c r="E369" s="6"/>
      <c r="F369" s="6"/>
      <c r="G369" s="6"/>
      <c r="H369" s="6"/>
      <c r="I369" s="6"/>
    </row>
    <row r="370" spans="1:9" hidden="1" x14ac:dyDescent="0.2">
      <c r="A370" s="8" t="s">
        <v>5</v>
      </c>
      <c r="B370" s="5"/>
      <c r="C370" s="75"/>
      <c r="D370" s="6"/>
      <c r="E370" s="6"/>
      <c r="F370" s="6"/>
      <c r="G370" s="6"/>
      <c r="H370" s="6"/>
      <c r="I370" s="6"/>
    </row>
    <row r="371" spans="1:9" hidden="1" x14ac:dyDescent="0.2">
      <c r="A371" s="8" t="s">
        <v>6</v>
      </c>
      <c r="B371" s="5"/>
      <c r="C371" s="75"/>
      <c r="D371" s="6"/>
      <c r="E371" s="6"/>
      <c r="F371" s="6"/>
      <c r="G371" s="6"/>
      <c r="H371" s="6"/>
      <c r="I371" s="6"/>
    </row>
    <row r="372" spans="1:9" hidden="1" x14ac:dyDescent="0.2">
      <c r="A372" s="8" t="s">
        <v>7</v>
      </c>
      <c r="B372" s="5"/>
      <c r="C372" s="74"/>
      <c r="D372" s="6"/>
      <c r="E372" s="6"/>
      <c r="F372" s="6"/>
      <c r="G372" s="6"/>
      <c r="H372" s="6"/>
      <c r="I372" s="6"/>
    </row>
    <row r="373" spans="1:9" hidden="1" x14ac:dyDescent="0.2">
      <c r="A373" s="8" t="s">
        <v>8</v>
      </c>
      <c r="B373" s="5"/>
      <c r="C373" s="74"/>
      <c r="D373" s="6"/>
      <c r="E373" s="6"/>
      <c r="F373" s="6"/>
      <c r="G373" s="6"/>
      <c r="H373" s="6"/>
      <c r="I373" s="6"/>
    </row>
    <row r="374" spans="1:9" hidden="1" x14ac:dyDescent="0.2">
      <c r="A374" s="8" t="s">
        <v>9</v>
      </c>
      <c r="B374" s="5"/>
      <c r="C374" s="74"/>
      <c r="D374" s="6"/>
      <c r="E374" s="6"/>
      <c r="F374" s="6"/>
      <c r="G374" s="6"/>
      <c r="H374" s="6"/>
      <c r="I374" s="6"/>
    </row>
    <row r="375" spans="1:9" hidden="1" x14ac:dyDescent="0.2">
      <c r="A375" s="312" t="s">
        <v>10</v>
      </c>
      <c r="B375" s="313"/>
      <c r="C375" s="313"/>
      <c r="D375" s="313"/>
      <c r="E375" s="314"/>
      <c r="F375" s="11">
        <f>SUM(F365:F374)</f>
        <v>0</v>
      </c>
      <c r="G375" s="11">
        <f>SUM(G365:G374)</f>
        <v>0</v>
      </c>
      <c r="H375" s="11">
        <f>SUM(H365:H374)</f>
        <v>0</v>
      </c>
      <c r="I375" s="11"/>
    </row>
    <row r="376" spans="1:9" hidden="1" x14ac:dyDescent="0.2">
      <c r="A376" s="8" t="s">
        <v>0</v>
      </c>
      <c r="B376" s="5">
        <f>B365+1</f>
        <v>46138</v>
      </c>
      <c r="C376" s="75"/>
      <c r="D376" s="6"/>
      <c r="E376" s="6"/>
      <c r="F376" s="6"/>
      <c r="G376" s="6"/>
      <c r="H376" s="6"/>
      <c r="I376" s="6"/>
    </row>
    <row r="377" spans="1:9" hidden="1" x14ac:dyDescent="0.2">
      <c r="A377" s="8" t="s">
        <v>1</v>
      </c>
      <c r="B377" s="5"/>
      <c r="C377" s="75"/>
      <c r="D377" s="6"/>
      <c r="E377" s="6"/>
      <c r="F377" s="6"/>
      <c r="G377" s="6"/>
      <c r="H377" s="6"/>
      <c r="I377" s="6"/>
    </row>
    <row r="378" spans="1:9" hidden="1" x14ac:dyDescent="0.2">
      <c r="A378" s="8" t="s">
        <v>2</v>
      </c>
      <c r="B378" s="5"/>
      <c r="C378" s="75"/>
      <c r="D378" s="6"/>
      <c r="E378" s="6"/>
      <c r="F378" s="6"/>
      <c r="G378" s="6"/>
      <c r="H378" s="6"/>
      <c r="I378" s="6"/>
    </row>
    <row r="379" spans="1:9" hidden="1" x14ac:dyDescent="0.2">
      <c r="A379" s="8" t="s">
        <v>3</v>
      </c>
      <c r="B379" s="5"/>
      <c r="C379" s="75"/>
      <c r="D379" s="6"/>
      <c r="E379" s="6"/>
      <c r="F379" s="6"/>
      <c r="G379" s="6"/>
      <c r="H379" s="6"/>
      <c r="I379" s="6"/>
    </row>
    <row r="380" spans="1:9" hidden="1" x14ac:dyDescent="0.2">
      <c r="A380" s="8" t="s">
        <v>4</v>
      </c>
      <c r="B380" s="5"/>
      <c r="C380" s="75"/>
      <c r="D380" s="6"/>
      <c r="E380" s="6"/>
      <c r="F380" s="6"/>
      <c r="G380" s="6"/>
      <c r="H380" s="6"/>
      <c r="I380" s="6"/>
    </row>
    <row r="381" spans="1:9" hidden="1" x14ac:dyDescent="0.2">
      <c r="A381" s="8" t="s">
        <v>5</v>
      </c>
      <c r="B381" s="5"/>
      <c r="C381" s="75"/>
      <c r="D381" s="6"/>
      <c r="E381" s="6"/>
      <c r="F381" s="6"/>
      <c r="G381" s="6"/>
      <c r="H381" s="6"/>
      <c r="I381" s="6"/>
    </row>
    <row r="382" spans="1:9" hidden="1" x14ac:dyDescent="0.2">
      <c r="A382" s="8" t="s">
        <v>6</v>
      </c>
      <c r="B382" s="5"/>
      <c r="C382" s="75"/>
      <c r="D382" s="6"/>
      <c r="E382" s="6"/>
      <c r="F382" s="6"/>
      <c r="G382" s="6"/>
      <c r="H382" s="6"/>
      <c r="I382" s="6"/>
    </row>
    <row r="383" spans="1:9" hidden="1" x14ac:dyDescent="0.2">
      <c r="A383" s="8" t="s">
        <v>7</v>
      </c>
      <c r="B383" s="5"/>
      <c r="C383" s="74"/>
      <c r="D383" s="6"/>
      <c r="E383" s="6"/>
      <c r="F383" s="6"/>
      <c r="G383" s="6"/>
      <c r="H383" s="6"/>
      <c r="I383" s="6"/>
    </row>
    <row r="384" spans="1:9" hidden="1" x14ac:dyDescent="0.2">
      <c r="A384" s="8" t="s">
        <v>8</v>
      </c>
      <c r="B384" s="5"/>
      <c r="C384" s="74"/>
      <c r="D384" s="6"/>
      <c r="E384" s="6"/>
      <c r="F384" s="6"/>
      <c r="G384" s="6"/>
      <c r="H384" s="6"/>
      <c r="I384" s="6"/>
    </row>
    <row r="385" spans="1:9" hidden="1" x14ac:dyDescent="0.2">
      <c r="A385" s="8" t="s">
        <v>9</v>
      </c>
      <c r="B385" s="5"/>
      <c r="C385" s="74"/>
      <c r="D385" s="6"/>
      <c r="E385" s="6"/>
      <c r="F385" s="6"/>
      <c r="G385" s="6"/>
      <c r="H385" s="6"/>
      <c r="I385" s="6"/>
    </row>
    <row r="386" spans="1:9" hidden="1" x14ac:dyDescent="0.2">
      <c r="A386" s="312" t="s">
        <v>10</v>
      </c>
      <c r="B386" s="313"/>
      <c r="C386" s="313"/>
      <c r="D386" s="313"/>
      <c r="E386" s="314"/>
      <c r="F386" s="11">
        <f>SUM(F376:F385)</f>
        <v>0</v>
      </c>
      <c r="G386" s="11">
        <f>SUM(G376:G385)</f>
        <v>0</v>
      </c>
      <c r="H386" s="11">
        <f>SUM(H376:H385)</f>
        <v>0</v>
      </c>
      <c r="I386" s="11"/>
    </row>
    <row r="387" spans="1:9" hidden="1" x14ac:dyDescent="0.2">
      <c r="A387" s="8" t="s">
        <v>0</v>
      </c>
      <c r="B387" s="5">
        <f>B376+1</f>
        <v>46139</v>
      </c>
      <c r="C387" s="75"/>
      <c r="D387" s="6"/>
      <c r="E387" s="6"/>
      <c r="F387" s="6"/>
      <c r="G387" s="6"/>
      <c r="H387" s="6"/>
      <c r="I387" s="6"/>
    </row>
    <row r="388" spans="1:9" hidden="1" x14ac:dyDescent="0.2">
      <c r="A388" s="8" t="s">
        <v>1</v>
      </c>
      <c r="B388" s="5"/>
      <c r="C388" s="75"/>
      <c r="D388" s="6"/>
      <c r="E388" s="6"/>
      <c r="F388" s="6"/>
      <c r="G388" s="6"/>
      <c r="H388" s="6"/>
      <c r="I388" s="6"/>
    </row>
    <row r="389" spans="1:9" hidden="1" x14ac:dyDescent="0.2">
      <c r="A389" s="8" t="s">
        <v>2</v>
      </c>
      <c r="B389" s="5"/>
      <c r="C389" s="75"/>
      <c r="D389" s="6"/>
      <c r="E389" s="6"/>
      <c r="F389" s="6"/>
      <c r="G389" s="6"/>
      <c r="H389" s="6"/>
      <c r="I389" s="6"/>
    </row>
    <row r="390" spans="1:9" hidden="1" x14ac:dyDescent="0.2">
      <c r="A390" s="8" t="s">
        <v>3</v>
      </c>
      <c r="B390" s="5"/>
      <c r="C390" s="75"/>
      <c r="D390" s="6"/>
      <c r="E390" s="6"/>
      <c r="F390" s="6"/>
      <c r="G390" s="6"/>
      <c r="H390" s="6"/>
      <c r="I390" s="6"/>
    </row>
    <row r="391" spans="1:9" hidden="1" x14ac:dyDescent="0.2">
      <c r="A391" s="8" t="s">
        <v>4</v>
      </c>
      <c r="B391" s="5"/>
      <c r="C391" s="75"/>
      <c r="D391" s="6"/>
      <c r="E391" s="6"/>
      <c r="F391" s="6"/>
      <c r="G391" s="6"/>
      <c r="H391" s="6"/>
      <c r="I391" s="6"/>
    </row>
    <row r="392" spans="1:9" hidden="1" x14ac:dyDescent="0.2">
      <c r="A392" s="8" t="s">
        <v>5</v>
      </c>
      <c r="B392" s="5"/>
      <c r="C392" s="75"/>
      <c r="D392" s="6"/>
      <c r="E392" s="6"/>
      <c r="F392" s="6"/>
      <c r="G392" s="6"/>
      <c r="H392" s="6"/>
      <c r="I392" s="6"/>
    </row>
    <row r="393" spans="1:9" hidden="1" x14ac:dyDescent="0.2">
      <c r="A393" s="8" t="s">
        <v>6</v>
      </c>
      <c r="B393" s="5"/>
      <c r="C393" s="74"/>
      <c r="D393" s="6"/>
      <c r="E393" s="6"/>
      <c r="F393" s="6"/>
      <c r="G393" s="6"/>
      <c r="H393" s="6"/>
      <c r="I393" s="6"/>
    </row>
    <row r="394" spans="1:9" hidden="1" x14ac:dyDescent="0.2">
      <c r="A394" s="8" t="s">
        <v>7</v>
      </c>
      <c r="B394" s="5"/>
      <c r="C394" s="74"/>
      <c r="D394" s="6"/>
      <c r="E394" s="6"/>
      <c r="F394" s="6"/>
      <c r="G394" s="6"/>
      <c r="H394" s="6"/>
      <c r="I394" s="6"/>
    </row>
    <row r="395" spans="1:9" hidden="1" x14ac:dyDescent="0.2">
      <c r="A395" s="8" t="s">
        <v>8</v>
      </c>
      <c r="B395" s="5"/>
      <c r="C395" s="74"/>
      <c r="D395" s="6"/>
      <c r="E395" s="6"/>
      <c r="F395" s="6"/>
      <c r="G395" s="6"/>
      <c r="H395" s="6"/>
      <c r="I395" s="6"/>
    </row>
    <row r="396" spans="1:9" hidden="1" x14ac:dyDescent="0.2">
      <c r="A396" s="8" t="s">
        <v>9</v>
      </c>
      <c r="B396" s="5"/>
      <c r="C396" s="74"/>
      <c r="D396" s="6"/>
      <c r="E396" s="6"/>
      <c r="F396" s="6"/>
      <c r="G396" s="6"/>
      <c r="H396" s="6"/>
      <c r="I396" s="6"/>
    </row>
    <row r="397" spans="1:9" hidden="1" x14ac:dyDescent="0.2">
      <c r="A397" s="312" t="s">
        <v>10</v>
      </c>
      <c r="B397" s="313"/>
      <c r="C397" s="313"/>
      <c r="D397" s="313"/>
      <c r="E397" s="314"/>
      <c r="F397" s="11">
        <f>SUM(F387:F396)</f>
        <v>0</v>
      </c>
      <c r="G397" s="11">
        <f>SUM(G387:G396)</f>
        <v>0</v>
      </c>
      <c r="H397" s="11">
        <f>SUM(H387:H396)</f>
        <v>0</v>
      </c>
      <c r="I397" s="11"/>
    </row>
    <row r="398" spans="1:9" hidden="1" x14ac:dyDescent="0.2">
      <c r="A398" s="8" t="s">
        <v>0</v>
      </c>
      <c r="B398" s="5">
        <f>B387+1</f>
        <v>46140</v>
      </c>
      <c r="C398" s="75"/>
      <c r="D398" s="6"/>
      <c r="E398" s="6"/>
      <c r="F398" s="6"/>
      <c r="G398" s="6"/>
      <c r="H398" s="6"/>
      <c r="I398" s="6"/>
    </row>
    <row r="399" spans="1:9" hidden="1" x14ac:dyDescent="0.2">
      <c r="A399" s="8" t="s">
        <v>1</v>
      </c>
      <c r="B399" s="5"/>
      <c r="C399" s="75"/>
      <c r="D399" s="6"/>
      <c r="E399" s="6"/>
      <c r="F399" s="6"/>
      <c r="G399" s="6"/>
      <c r="H399" s="6"/>
      <c r="I399" s="6"/>
    </row>
    <row r="400" spans="1:9" hidden="1" x14ac:dyDescent="0.2">
      <c r="A400" s="8" t="s">
        <v>2</v>
      </c>
      <c r="B400" s="5"/>
      <c r="C400" s="75"/>
      <c r="D400" s="6"/>
      <c r="E400" s="6"/>
      <c r="F400" s="6"/>
      <c r="G400" s="6"/>
      <c r="H400" s="6"/>
      <c r="I400" s="6"/>
    </row>
    <row r="401" spans="1:9" hidden="1" x14ac:dyDescent="0.2">
      <c r="A401" s="8" t="s">
        <v>3</v>
      </c>
      <c r="B401" s="5"/>
      <c r="C401" s="75"/>
      <c r="D401" s="6"/>
      <c r="E401" s="6"/>
      <c r="F401" s="6"/>
      <c r="G401" s="6"/>
      <c r="H401" s="6"/>
      <c r="I401" s="6"/>
    </row>
    <row r="402" spans="1:9" hidden="1" x14ac:dyDescent="0.2">
      <c r="A402" s="8" t="s">
        <v>4</v>
      </c>
      <c r="B402" s="5"/>
      <c r="C402" s="75"/>
      <c r="D402" s="6"/>
      <c r="E402" s="6"/>
      <c r="F402" s="6"/>
      <c r="G402" s="6"/>
      <c r="H402" s="6"/>
      <c r="I402" s="6"/>
    </row>
    <row r="403" spans="1:9" hidden="1" x14ac:dyDescent="0.2">
      <c r="A403" s="8" t="s">
        <v>5</v>
      </c>
      <c r="B403" s="5"/>
      <c r="C403" s="75"/>
      <c r="D403" s="6"/>
      <c r="E403" s="6"/>
      <c r="F403" s="6"/>
      <c r="G403" s="6"/>
      <c r="H403" s="6"/>
      <c r="I403" s="6"/>
    </row>
    <row r="404" spans="1:9" hidden="1" x14ac:dyDescent="0.2">
      <c r="A404" s="8" t="s">
        <v>6</v>
      </c>
      <c r="B404" s="5"/>
      <c r="C404" s="75"/>
      <c r="D404" s="6"/>
      <c r="E404" s="6"/>
      <c r="F404" s="6"/>
      <c r="G404" s="6"/>
      <c r="H404" s="6"/>
      <c r="I404" s="6"/>
    </row>
    <row r="405" spans="1:9" hidden="1" x14ac:dyDescent="0.2">
      <c r="A405" s="8" t="s">
        <v>7</v>
      </c>
      <c r="B405" s="5"/>
      <c r="C405" s="75"/>
      <c r="D405" s="6"/>
      <c r="E405" s="6"/>
      <c r="F405" s="6"/>
      <c r="G405" s="6"/>
      <c r="H405" s="6"/>
      <c r="I405" s="6"/>
    </row>
    <row r="406" spans="1:9" hidden="1" x14ac:dyDescent="0.2">
      <c r="A406" s="8" t="s">
        <v>8</v>
      </c>
      <c r="B406" s="5"/>
      <c r="C406" s="75"/>
      <c r="D406" s="6"/>
      <c r="E406" s="6"/>
      <c r="F406" s="6"/>
      <c r="G406" s="6"/>
      <c r="H406" s="6"/>
      <c r="I406" s="6"/>
    </row>
    <row r="407" spans="1:9" hidden="1" x14ac:dyDescent="0.2">
      <c r="A407" s="8" t="s">
        <v>9</v>
      </c>
      <c r="B407" s="5"/>
      <c r="C407" s="75"/>
      <c r="D407" s="6"/>
      <c r="E407" s="6"/>
      <c r="F407" s="6"/>
      <c r="G407" s="6"/>
      <c r="H407" s="6"/>
      <c r="I407" s="6"/>
    </row>
    <row r="408" spans="1:9" hidden="1" x14ac:dyDescent="0.2">
      <c r="A408" s="312" t="s">
        <v>10</v>
      </c>
      <c r="B408" s="313"/>
      <c r="C408" s="313"/>
      <c r="D408" s="313"/>
      <c r="E408" s="314"/>
      <c r="F408" s="11">
        <f>SUM(F398:F407)</f>
        <v>0</v>
      </c>
      <c r="G408" s="11">
        <f>SUM(G398:G407)</f>
        <v>0</v>
      </c>
      <c r="H408" s="11">
        <f>SUM(H398:H407)</f>
        <v>0</v>
      </c>
      <c r="I408" s="11"/>
    </row>
    <row r="409" spans="1:9" hidden="1" x14ac:dyDescent="0.2">
      <c r="A409" s="8" t="s">
        <v>0</v>
      </c>
      <c r="B409" s="5">
        <f>B398+1</f>
        <v>46141</v>
      </c>
      <c r="C409" s="74"/>
      <c r="D409" s="6"/>
      <c r="E409" s="6"/>
      <c r="F409" s="6"/>
      <c r="G409" s="6"/>
      <c r="H409" s="6"/>
      <c r="I409" s="6"/>
    </row>
    <row r="410" spans="1:9" hidden="1" x14ac:dyDescent="0.2">
      <c r="A410" s="8" t="s">
        <v>1</v>
      </c>
      <c r="B410" s="5"/>
      <c r="C410" s="74"/>
      <c r="D410" s="6"/>
      <c r="E410" s="6"/>
      <c r="F410" s="6"/>
      <c r="G410" s="6"/>
      <c r="H410" s="6"/>
      <c r="I410" s="6"/>
    </row>
    <row r="411" spans="1:9" hidden="1" x14ac:dyDescent="0.2">
      <c r="A411" s="8" t="s">
        <v>2</v>
      </c>
      <c r="B411" s="5"/>
      <c r="C411" s="74"/>
      <c r="D411" s="6"/>
      <c r="E411" s="6"/>
      <c r="F411" s="6"/>
      <c r="G411" s="6"/>
      <c r="H411" s="6"/>
      <c r="I411" s="6"/>
    </row>
    <row r="412" spans="1:9" hidden="1" x14ac:dyDescent="0.2">
      <c r="A412" s="8" t="s">
        <v>3</v>
      </c>
      <c r="B412" s="5"/>
      <c r="C412" s="74"/>
      <c r="D412" s="6"/>
      <c r="E412" s="6"/>
      <c r="F412" s="6"/>
      <c r="G412" s="6"/>
      <c r="H412" s="6"/>
      <c r="I412" s="6"/>
    </row>
    <row r="413" spans="1:9" hidden="1" x14ac:dyDescent="0.2">
      <c r="A413" s="8" t="s">
        <v>4</v>
      </c>
      <c r="B413" s="5"/>
      <c r="C413" s="74"/>
      <c r="D413" s="6"/>
      <c r="E413" s="6"/>
      <c r="F413" s="6"/>
      <c r="G413" s="6"/>
      <c r="H413" s="6"/>
      <c r="I413" s="6"/>
    </row>
    <row r="414" spans="1:9" hidden="1" x14ac:dyDescent="0.2">
      <c r="A414" s="8" t="s">
        <v>5</v>
      </c>
      <c r="B414" s="5"/>
      <c r="C414" s="74"/>
      <c r="D414" s="6"/>
      <c r="E414" s="6"/>
      <c r="F414" s="6"/>
      <c r="G414" s="6"/>
      <c r="H414" s="6"/>
      <c r="I414" s="6"/>
    </row>
    <row r="415" spans="1:9" hidden="1" x14ac:dyDescent="0.2">
      <c r="A415" s="8" t="s">
        <v>6</v>
      </c>
      <c r="B415" s="5"/>
      <c r="C415" s="74"/>
      <c r="D415" s="6"/>
      <c r="E415" s="6"/>
      <c r="F415" s="6"/>
      <c r="G415" s="6"/>
      <c r="H415" s="6"/>
      <c r="I415" s="6"/>
    </row>
    <row r="416" spans="1:9" hidden="1" x14ac:dyDescent="0.2">
      <c r="A416" s="8" t="s">
        <v>7</v>
      </c>
      <c r="B416" s="5"/>
      <c r="C416" s="74"/>
      <c r="D416" s="6"/>
      <c r="E416" s="6"/>
      <c r="F416" s="6"/>
      <c r="G416" s="6"/>
      <c r="H416" s="6"/>
      <c r="I416" s="6"/>
    </row>
    <row r="417" spans="1:9" hidden="1" x14ac:dyDescent="0.2">
      <c r="A417" s="8" t="s">
        <v>8</v>
      </c>
      <c r="B417" s="5"/>
      <c r="C417" s="74"/>
      <c r="D417" s="6"/>
      <c r="E417" s="6"/>
      <c r="F417" s="6"/>
      <c r="G417" s="6"/>
      <c r="H417" s="6"/>
      <c r="I417" s="6"/>
    </row>
    <row r="418" spans="1:9" hidden="1" x14ac:dyDescent="0.2">
      <c r="A418" s="8" t="s">
        <v>9</v>
      </c>
      <c r="B418" s="5"/>
      <c r="C418" s="74"/>
      <c r="D418" s="6"/>
      <c r="E418" s="6"/>
      <c r="F418" s="6"/>
      <c r="G418" s="6"/>
      <c r="H418" s="6"/>
      <c r="I418" s="6"/>
    </row>
    <row r="419" spans="1:9" hidden="1" x14ac:dyDescent="0.2">
      <c r="A419" s="312" t="s">
        <v>10</v>
      </c>
      <c r="B419" s="313"/>
      <c r="C419" s="313"/>
      <c r="D419" s="313"/>
      <c r="E419" s="314"/>
      <c r="F419" s="11">
        <f>SUM(F409:F418)</f>
        <v>0</v>
      </c>
      <c r="G419" s="11">
        <f>SUM(G409:G418)</f>
        <v>0</v>
      </c>
      <c r="H419" s="11">
        <f>SUM(H409:H418)</f>
        <v>0</v>
      </c>
      <c r="I419" s="11"/>
    </row>
    <row r="420" spans="1:9" s="25" customFormat="1" ht="18" x14ac:dyDescent="0.2">
      <c r="A420" s="315" t="s">
        <v>39</v>
      </c>
      <c r="B420" s="316"/>
      <c r="C420" s="316"/>
      <c r="D420" s="316"/>
      <c r="E420" s="317"/>
      <c r="F420" s="22">
        <f>F353+F364+F375+F386+F397+F408+F419+F336</f>
        <v>99</v>
      </c>
      <c r="G420" s="22">
        <f>G353+G364+G375+G386+G397+G408+G419+G336</f>
        <v>23</v>
      </c>
      <c r="H420" s="22">
        <f>H353+H364+H375+H386+H397+H408+H419+H336</f>
        <v>664.25</v>
      </c>
      <c r="I420" s="22"/>
    </row>
  </sheetData>
  <mergeCells count="70">
    <mergeCell ref="A353:E353"/>
    <mergeCell ref="A335:E335"/>
    <mergeCell ref="A251:E251"/>
    <mergeCell ref="A253:I253"/>
    <mergeCell ref="A255:C255"/>
    <mergeCell ref="A256:C256"/>
    <mergeCell ref="A302:E302"/>
    <mergeCell ref="A313:E313"/>
    <mergeCell ref="A337:I337"/>
    <mergeCell ref="A339:C339"/>
    <mergeCell ref="A340:C340"/>
    <mergeCell ref="F340:G340"/>
    <mergeCell ref="F257:H257"/>
    <mergeCell ref="A269:E269"/>
    <mergeCell ref="A280:E280"/>
    <mergeCell ref="F256:G256"/>
    <mergeCell ref="F341:H341"/>
    <mergeCell ref="A240:E240"/>
    <mergeCell ref="A156:E156"/>
    <mergeCell ref="A167:E167"/>
    <mergeCell ref="A169:I169"/>
    <mergeCell ref="A171:C171"/>
    <mergeCell ref="A172:C172"/>
    <mergeCell ref="F173:H173"/>
    <mergeCell ref="A185:E185"/>
    <mergeCell ref="F172:G172"/>
    <mergeCell ref="A196:E196"/>
    <mergeCell ref="A207:E207"/>
    <mergeCell ref="A338:E338"/>
    <mergeCell ref="A291:E291"/>
    <mergeCell ref="F89:H89"/>
    <mergeCell ref="A101:E101"/>
    <mergeCell ref="A112:E112"/>
    <mergeCell ref="A123:E123"/>
    <mergeCell ref="F88:G88"/>
    <mergeCell ref="A1:I1"/>
    <mergeCell ref="A3:C3"/>
    <mergeCell ref="A4:C4"/>
    <mergeCell ref="F5:H5"/>
    <mergeCell ref="F4:G4"/>
    <mergeCell ref="A2:E2"/>
    <mergeCell ref="A420:E420"/>
    <mergeCell ref="A419:E419"/>
    <mergeCell ref="A84:E84"/>
    <mergeCell ref="A168:E168"/>
    <mergeCell ref="A252:E252"/>
    <mergeCell ref="A336:E336"/>
    <mergeCell ref="A364:E364"/>
    <mergeCell ref="A375:E375"/>
    <mergeCell ref="A386:E386"/>
    <mergeCell ref="A397:E397"/>
    <mergeCell ref="A408:E408"/>
    <mergeCell ref="A88:C88"/>
    <mergeCell ref="A229:E229"/>
    <mergeCell ref="A134:E134"/>
    <mergeCell ref="A324:E324"/>
    <mergeCell ref="A85:I85"/>
    <mergeCell ref="A86:E86"/>
    <mergeCell ref="A170:E170"/>
    <mergeCell ref="A254:E254"/>
    <mergeCell ref="A17:E17"/>
    <mergeCell ref="A28:E28"/>
    <mergeCell ref="A39:E39"/>
    <mergeCell ref="A50:E50"/>
    <mergeCell ref="A61:E61"/>
    <mergeCell ref="A83:E83"/>
    <mergeCell ref="A72:E72"/>
    <mergeCell ref="A218:E218"/>
    <mergeCell ref="A145:E145"/>
    <mergeCell ref="A87:C87"/>
  </mergeCells>
  <phoneticPr fontId="1" type="noConversion"/>
  <pageMargins left="0.59055118110236227" right="0.39370078740157483" top="0.59055118110236227" bottom="0.39370078740157483" header="0.31496062992125984" footer="0.31496062992125984"/>
  <pageSetup paperSize="9" fitToHeight="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0"/>
  <sheetViews>
    <sheetView topLeftCell="A353" zoomScale="150" zoomScaleNormal="150" workbookViewId="0">
      <selection activeCell="F421" sqref="F421"/>
    </sheetView>
  </sheetViews>
  <sheetFormatPr defaultColWidth="9" defaultRowHeight="17.25" x14ac:dyDescent="0.2"/>
  <cols>
    <col min="1" max="1" width="4" style="1" bestFit="1" customWidth="1"/>
    <col min="2" max="2" width="10.625" style="7" customWidth="1"/>
    <col min="3" max="3" width="11.375" style="76" customWidth="1"/>
    <col min="4" max="4" width="15.625" style="1" customWidth="1"/>
    <col min="5" max="5" width="10.625" style="1" customWidth="1"/>
    <col min="6" max="8" width="7.625" style="1" customWidth="1"/>
    <col min="9" max="9" width="18" style="1" customWidth="1"/>
    <col min="10" max="16384" width="9" style="1"/>
  </cols>
  <sheetData>
    <row r="1" spans="1:9" ht="21.95" customHeight="1" x14ac:dyDescent="0.2">
      <c r="A1" s="319" t="s">
        <v>14</v>
      </c>
      <c r="B1" s="319"/>
      <c r="C1" s="319"/>
      <c r="D1" s="319"/>
      <c r="E1" s="319"/>
      <c r="F1" s="319"/>
      <c r="G1" s="319"/>
      <c r="H1" s="319"/>
      <c r="I1" s="319"/>
    </row>
    <row r="2" spans="1:9" s="53" customFormat="1" ht="20.100000000000001" customHeight="1" x14ac:dyDescent="0.2">
      <c r="A2" s="323" t="s">
        <v>86</v>
      </c>
      <c r="B2" s="323"/>
      <c r="C2" s="323"/>
      <c r="D2" s="323"/>
      <c r="E2" s="323"/>
      <c r="F2" s="104" t="str">
        <f>'1'!$F$2</f>
        <v>เมษายน</v>
      </c>
      <c r="G2" s="50" t="s">
        <v>87</v>
      </c>
      <c r="H2" s="51">
        <f>'1'!$H$2</f>
        <v>2569</v>
      </c>
      <c r="I2" s="52"/>
    </row>
    <row r="3" spans="1:9" s="3" customFormat="1" ht="20.100000000000001" customHeight="1" x14ac:dyDescent="0.4">
      <c r="A3" s="318" t="s">
        <v>33</v>
      </c>
      <c r="B3" s="318"/>
      <c r="C3" s="318"/>
      <c r="D3" s="2"/>
      <c r="F3" s="4"/>
      <c r="G3" s="4"/>
      <c r="H3" s="4" t="s">
        <v>21</v>
      </c>
      <c r="I3" s="41">
        <v>1</v>
      </c>
    </row>
    <row r="4" spans="1:9" s="49" customFormat="1" ht="20.100000000000001" customHeight="1" x14ac:dyDescent="0.35">
      <c r="A4" s="327" t="s">
        <v>62</v>
      </c>
      <c r="B4" s="327"/>
      <c r="C4" s="327"/>
      <c r="D4" s="46"/>
      <c r="E4" s="47" t="s">
        <v>81</v>
      </c>
      <c r="F4" s="328">
        <f>'1'!$F$4</f>
        <v>46107</v>
      </c>
      <c r="G4" s="328"/>
      <c r="H4" s="47" t="s">
        <v>82</v>
      </c>
      <c r="I4" s="48">
        <f>'1'!$I$4</f>
        <v>46136</v>
      </c>
    </row>
    <row r="5" spans="1:9" x14ac:dyDescent="0.2">
      <c r="A5" s="12" t="s">
        <v>23</v>
      </c>
      <c r="B5" s="13" t="s">
        <v>11</v>
      </c>
      <c r="C5" s="72" t="s">
        <v>26</v>
      </c>
      <c r="D5" s="12" t="s">
        <v>16</v>
      </c>
      <c r="E5" s="12" t="s">
        <v>17</v>
      </c>
      <c r="F5" s="310" t="s">
        <v>46</v>
      </c>
      <c r="G5" s="310"/>
      <c r="H5" s="310"/>
      <c r="I5" s="12" t="s">
        <v>19</v>
      </c>
    </row>
    <row r="6" spans="1:9" x14ac:dyDescent="0.2">
      <c r="A6" s="15"/>
      <c r="B6" s="16"/>
      <c r="C6" s="73"/>
      <c r="D6" s="15"/>
      <c r="E6" s="15"/>
      <c r="F6" s="21" t="s">
        <v>113</v>
      </c>
      <c r="G6" s="21" t="s">
        <v>114</v>
      </c>
      <c r="H6" s="21" t="s">
        <v>20</v>
      </c>
      <c r="I6" s="15"/>
    </row>
    <row r="7" spans="1:9" x14ac:dyDescent="0.2">
      <c r="A7" s="8" t="s">
        <v>0</v>
      </c>
      <c r="B7" s="5">
        <f>'3'!B7</f>
        <v>46107</v>
      </c>
      <c r="C7" s="74" t="s">
        <v>189</v>
      </c>
      <c r="D7" s="6" t="s">
        <v>188</v>
      </c>
      <c r="E7" s="6" t="s">
        <v>190</v>
      </c>
      <c r="F7" s="6">
        <v>1</v>
      </c>
      <c r="G7" s="6"/>
      <c r="H7" s="6">
        <v>3</v>
      </c>
      <c r="I7" s="6"/>
    </row>
    <row r="8" spans="1:9" x14ac:dyDescent="0.2">
      <c r="A8" s="8" t="s">
        <v>1</v>
      </c>
      <c r="B8" s="5"/>
      <c r="C8" s="74" t="s">
        <v>191</v>
      </c>
      <c r="D8" s="6" t="s">
        <v>170</v>
      </c>
      <c r="E8" s="6" t="s">
        <v>171</v>
      </c>
      <c r="F8" s="6">
        <v>1</v>
      </c>
      <c r="G8" s="6"/>
      <c r="H8" s="6">
        <v>6</v>
      </c>
      <c r="I8" s="6"/>
    </row>
    <row r="9" spans="1:9" x14ac:dyDescent="0.2">
      <c r="A9" s="8" t="s">
        <v>2</v>
      </c>
      <c r="B9" s="5"/>
      <c r="C9" s="74" t="s">
        <v>192</v>
      </c>
      <c r="D9" s="6" t="s">
        <v>170</v>
      </c>
      <c r="E9" s="6" t="s">
        <v>171</v>
      </c>
      <c r="F9" s="54">
        <v>1</v>
      </c>
      <c r="G9" s="6"/>
      <c r="H9" s="6">
        <v>6</v>
      </c>
      <c r="I9" s="6"/>
    </row>
    <row r="10" spans="1:9" x14ac:dyDescent="0.2">
      <c r="A10" s="8">
        <v>4</v>
      </c>
      <c r="B10" s="5"/>
      <c r="C10" s="74" t="s">
        <v>193</v>
      </c>
      <c r="D10" s="6" t="s">
        <v>170</v>
      </c>
      <c r="E10" s="6" t="s">
        <v>171</v>
      </c>
      <c r="F10" s="6">
        <v>1</v>
      </c>
      <c r="G10" s="6"/>
      <c r="H10" s="6">
        <v>6</v>
      </c>
      <c r="I10" s="6"/>
    </row>
    <row r="11" spans="1:9" hidden="1" x14ac:dyDescent="0.2">
      <c r="A11" s="8">
        <v>5</v>
      </c>
      <c r="B11" s="5"/>
      <c r="C11" s="74"/>
      <c r="D11" s="6"/>
      <c r="E11" s="6"/>
      <c r="F11" s="6"/>
      <c r="G11" s="6"/>
      <c r="H11" s="6"/>
      <c r="I11" s="6"/>
    </row>
    <row r="12" spans="1:9" hidden="1" x14ac:dyDescent="0.2">
      <c r="A12" s="8">
        <v>6</v>
      </c>
      <c r="B12" s="5"/>
      <c r="C12" s="74"/>
      <c r="D12" s="6"/>
      <c r="E12" s="6"/>
      <c r="F12" s="6"/>
      <c r="G12" s="6"/>
      <c r="H12" s="6"/>
      <c r="I12" s="6"/>
    </row>
    <row r="13" spans="1:9" hidden="1" x14ac:dyDescent="0.2">
      <c r="A13" s="8">
        <v>7</v>
      </c>
      <c r="B13" s="5"/>
      <c r="C13" s="74"/>
      <c r="D13" s="6"/>
      <c r="E13" s="6"/>
      <c r="F13" s="6"/>
      <c r="G13" s="6"/>
      <c r="H13" s="6"/>
      <c r="I13" s="6"/>
    </row>
    <row r="14" spans="1:9" hidden="1" x14ac:dyDescent="0.2">
      <c r="A14" s="8">
        <v>8</v>
      </c>
      <c r="B14" s="5"/>
      <c r="C14" s="74"/>
      <c r="D14" s="6"/>
      <c r="E14" s="6"/>
      <c r="F14" s="6"/>
      <c r="G14" s="6"/>
      <c r="H14" s="6"/>
      <c r="I14" s="6"/>
    </row>
    <row r="15" spans="1:9" hidden="1" x14ac:dyDescent="0.2">
      <c r="A15" s="8">
        <v>9</v>
      </c>
      <c r="B15" s="5"/>
      <c r="C15" s="74"/>
      <c r="D15" s="6"/>
      <c r="E15" s="6"/>
      <c r="F15" s="6"/>
      <c r="G15" s="6"/>
      <c r="H15" s="6"/>
      <c r="I15" s="6"/>
    </row>
    <row r="16" spans="1:9" hidden="1" x14ac:dyDescent="0.2">
      <c r="A16" s="8">
        <v>10</v>
      </c>
      <c r="B16" s="5"/>
      <c r="C16" s="74"/>
      <c r="D16" s="6"/>
      <c r="E16" s="6"/>
      <c r="F16" s="6"/>
      <c r="G16" s="6"/>
      <c r="H16" s="6"/>
      <c r="I16" s="6"/>
    </row>
    <row r="17" spans="1:9" x14ac:dyDescent="0.2">
      <c r="A17" s="312" t="s">
        <v>10</v>
      </c>
      <c r="B17" s="313"/>
      <c r="C17" s="313"/>
      <c r="D17" s="313"/>
      <c r="E17" s="314"/>
      <c r="F17" s="11">
        <f>SUM(F7:F16)</f>
        <v>4</v>
      </c>
      <c r="G17" s="11">
        <f>SUM(G7:G16)</f>
        <v>0</v>
      </c>
      <c r="H17" s="11">
        <f>SUM(H7:H16)</f>
        <v>21</v>
      </c>
      <c r="I17" s="11"/>
    </row>
    <row r="18" spans="1:9" x14ac:dyDescent="0.2">
      <c r="A18" s="8" t="s">
        <v>0</v>
      </c>
      <c r="B18" s="5">
        <f>B7+1</f>
        <v>46108</v>
      </c>
      <c r="C18" s="74" t="s">
        <v>260</v>
      </c>
      <c r="D18" s="6" t="s">
        <v>250</v>
      </c>
      <c r="E18" s="6" t="s">
        <v>168</v>
      </c>
      <c r="F18" s="6">
        <v>1</v>
      </c>
      <c r="G18" s="6"/>
      <c r="H18" s="6">
        <v>5</v>
      </c>
      <c r="I18" s="6"/>
    </row>
    <row r="19" spans="1:9" x14ac:dyDescent="0.2">
      <c r="A19" s="8" t="s">
        <v>1</v>
      </c>
      <c r="B19" s="5"/>
      <c r="C19" s="74" t="s">
        <v>261</v>
      </c>
      <c r="D19" s="6" t="s">
        <v>242</v>
      </c>
      <c r="E19" s="6" t="s">
        <v>171</v>
      </c>
      <c r="F19" s="6">
        <v>1</v>
      </c>
      <c r="G19" s="6"/>
      <c r="H19" s="6">
        <v>5</v>
      </c>
      <c r="I19" s="6"/>
    </row>
    <row r="20" spans="1:9" x14ac:dyDescent="0.2">
      <c r="A20" s="8" t="s">
        <v>2</v>
      </c>
      <c r="B20" s="5"/>
      <c r="C20" s="74" t="s">
        <v>262</v>
      </c>
      <c r="D20" s="6" t="s">
        <v>242</v>
      </c>
      <c r="E20" s="6" t="s">
        <v>171</v>
      </c>
      <c r="F20" s="6">
        <v>1</v>
      </c>
      <c r="G20" s="6"/>
      <c r="H20" s="6">
        <v>5</v>
      </c>
      <c r="I20" s="6"/>
    </row>
    <row r="21" spans="1:9" x14ac:dyDescent="0.2">
      <c r="A21" s="8" t="s">
        <v>3</v>
      </c>
      <c r="B21" s="5"/>
      <c r="C21" s="74" t="s">
        <v>263</v>
      </c>
      <c r="D21" s="6" t="s">
        <v>242</v>
      </c>
      <c r="E21" s="6" t="s">
        <v>171</v>
      </c>
      <c r="F21" s="6">
        <v>1</v>
      </c>
      <c r="G21" s="6"/>
      <c r="H21" s="6">
        <v>5</v>
      </c>
      <c r="I21" s="6"/>
    </row>
    <row r="22" spans="1:9" x14ac:dyDescent="0.2">
      <c r="A22" s="8" t="s">
        <v>4</v>
      </c>
      <c r="B22" s="5"/>
      <c r="C22" s="74" t="s">
        <v>252</v>
      </c>
      <c r="D22" s="6" t="s">
        <v>170</v>
      </c>
      <c r="E22" s="6" t="s">
        <v>171</v>
      </c>
      <c r="F22" s="6">
        <v>1</v>
      </c>
      <c r="G22" s="6"/>
      <c r="H22" s="6">
        <v>6</v>
      </c>
      <c r="I22" s="6"/>
    </row>
    <row r="23" spans="1:9" x14ac:dyDescent="0.2">
      <c r="A23" s="8" t="s">
        <v>5</v>
      </c>
      <c r="B23" s="5"/>
      <c r="C23" s="74" t="s">
        <v>264</v>
      </c>
      <c r="D23" s="6" t="s">
        <v>170</v>
      </c>
      <c r="E23" s="6" t="s">
        <v>171</v>
      </c>
      <c r="F23" s="6"/>
      <c r="G23" s="6">
        <v>1</v>
      </c>
      <c r="H23" s="6">
        <v>6</v>
      </c>
      <c r="I23" s="6"/>
    </row>
    <row r="24" spans="1:9" x14ac:dyDescent="0.2">
      <c r="A24" s="8" t="s">
        <v>6</v>
      </c>
      <c r="B24" s="5"/>
      <c r="C24" s="74" t="s">
        <v>265</v>
      </c>
      <c r="D24" s="6" t="s">
        <v>242</v>
      </c>
      <c r="E24" s="6" t="s">
        <v>171</v>
      </c>
      <c r="F24" s="6"/>
      <c r="G24" s="6">
        <v>1</v>
      </c>
      <c r="H24" s="6">
        <v>6</v>
      </c>
      <c r="I24" s="6"/>
    </row>
    <row r="25" spans="1:9" hidden="1" x14ac:dyDescent="0.2">
      <c r="A25" s="8" t="s">
        <v>7</v>
      </c>
      <c r="B25" s="5"/>
      <c r="C25" s="74"/>
      <c r="D25" s="6"/>
      <c r="E25" s="6"/>
      <c r="F25" s="6"/>
      <c r="G25" s="6"/>
      <c r="H25" s="6"/>
      <c r="I25" s="6"/>
    </row>
    <row r="26" spans="1:9" hidden="1" x14ac:dyDescent="0.2">
      <c r="A26" s="8" t="s">
        <v>8</v>
      </c>
      <c r="B26" s="5"/>
      <c r="C26" s="74"/>
      <c r="D26" s="6"/>
      <c r="E26" s="6"/>
      <c r="F26" s="6"/>
      <c r="G26" s="6"/>
      <c r="H26" s="6"/>
      <c r="I26" s="6"/>
    </row>
    <row r="27" spans="1:9" hidden="1" x14ac:dyDescent="0.2">
      <c r="A27" s="8" t="s">
        <v>9</v>
      </c>
      <c r="B27" s="5"/>
      <c r="C27" s="74"/>
      <c r="D27" s="6"/>
      <c r="E27" s="6"/>
      <c r="F27" s="6"/>
      <c r="G27" s="6"/>
      <c r="H27" s="6"/>
      <c r="I27" s="6"/>
    </row>
    <row r="28" spans="1:9" x14ac:dyDescent="0.2">
      <c r="A28" s="312" t="s">
        <v>10</v>
      </c>
      <c r="B28" s="313"/>
      <c r="C28" s="313"/>
      <c r="D28" s="313"/>
      <c r="E28" s="314"/>
      <c r="F28" s="11">
        <f>SUM(F18:F27)</f>
        <v>5</v>
      </c>
      <c r="G28" s="11">
        <f>SUM(G18:G27)</f>
        <v>2</v>
      </c>
      <c r="H28" s="11">
        <f>SUM(H18:H27)</f>
        <v>38</v>
      </c>
      <c r="I28" s="11"/>
    </row>
    <row r="29" spans="1:9" x14ac:dyDescent="0.2">
      <c r="A29" s="8" t="s">
        <v>0</v>
      </c>
      <c r="B29" s="5">
        <f>B18+1</f>
        <v>46109</v>
      </c>
      <c r="C29" s="74" t="s">
        <v>349</v>
      </c>
      <c r="D29" s="6" t="s">
        <v>347</v>
      </c>
      <c r="E29" s="6" t="s">
        <v>190</v>
      </c>
      <c r="F29" s="6">
        <v>1</v>
      </c>
      <c r="G29" s="6"/>
      <c r="H29" s="6">
        <v>2.5</v>
      </c>
      <c r="I29" s="6"/>
    </row>
    <row r="30" spans="1:9" x14ac:dyDescent="0.2">
      <c r="A30" s="8" t="s">
        <v>1</v>
      </c>
      <c r="B30" s="5"/>
      <c r="C30" s="74" t="s">
        <v>350</v>
      </c>
      <c r="D30" s="6" t="s">
        <v>276</v>
      </c>
      <c r="E30" s="6" t="s">
        <v>168</v>
      </c>
      <c r="F30" s="6">
        <v>1</v>
      </c>
      <c r="G30" s="6"/>
      <c r="H30" s="6">
        <v>5.5</v>
      </c>
      <c r="I30" s="6"/>
    </row>
    <row r="31" spans="1:9" x14ac:dyDescent="0.2">
      <c r="A31" s="8" t="s">
        <v>2</v>
      </c>
      <c r="B31" s="5"/>
      <c r="C31" s="74" t="s">
        <v>339</v>
      </c>
      <c r="D31" s="6" t="s">
        <v>253</v>
      </c>
      <c r="E31" s="6" t="s">
        <v>351</v>
      </c>
      <c r="F31" s="6">
        <v>1</v>
      </c>
      <c r="G31" s="6"/>
      <c r="H31" s="6">
        <v>3.25</v>
      </c>
      <c r="I31" s="6"/>
    </row>
    <row r="32" spans="1:9" hidden="1" x14ac:dyDescent="0.2">
      <c r="A32" s="8" t="s">
        <v>3</v>
      </c>
      <c r="B32" s="5"/>
      <c r="C32" s="74"/>
      <c r="D32" s="6"/>
      <c r="E32" s="6"/>
      <c r="F32" s="6"/>
      <c r="G32" s="6"/>
      <c r="H32" s="6"/>
      <c r="I32" s="6"/>
    </row>
    <row r="33" spans="1:9" hidden="1" x14ac:dyDescent="0.2">
      <c r="A33" s="8" t="s">
        <v>4</v>
      </c>
      <c r="B33" s="5"/>
      <c r="C33" s="74"/>
      <c r="D33" s="6"/>
      <c r="E33" s="6"/>
      <c r="F33" s="6"/>
      <c r="G33" s="6"/>
      <c r="H33" s="6"/>
      <c r="I33" s="6"/>
    </row>
    <row r="34" spans="1:9" hidden="1" x14ac:dyDescent="0.2">
      <c r="A34" s="8" t="s">
        <v>5</v>
      </c>
      <c r="B34" s="5"/>
      <c r="C34" s="74"/>
      <c r="D34" s="6"/>
      <c r="E34" s="6"/>
      <c r="F34" s="6"/>
      <c r="G34" s="6"/>
      <c r="H34" s="6"/>
      <c r="I34" s="6"/>
    </row>
    <row r="35" spans="1:9" hidden="1" x14ac:dyDescent="0.2">
      <c r="A35" s="8" t="s">
        <v>6</v>
      </c>
      <c r="B35" s="5"/>
      <c r="C35" s="74"/>
      <c r="D35" s="6"/>
      <c r="E35" s="6"/>
      <c r="F35" s="6"/>
      <c r="G35" s="6"/>
      <c r="H35" s="6"/>
      <c r="I35" s="6"/>
    </row>
    <row r="36" spans="1:9" hidden="1" x14ac:dyDescent="0.2">
      <c r="A36" s="8" t="s">
        <v>7</v>
      </c>
      <c r="B36" s="5"/>
      <c r="C36" s="74"/>
      <c r="D36" s="6"/>
      <c r="E36" s="6"/>
      <c r="F36" s="6"/>
      <c r="G36" s="6"/>
      <c r="H36" s="6"/>
      <c r="I36" s="6"/>
    </row>
    <row r="37" spans="1:9" hidden="1" x14ac:dyDescent="0.2">
      <c r="A37" s="8" t="s">
        <v>8</v>
      </c>
      <c r="B37" s="5"/>
      <c r="C37" s="74"/>
      <c r="D37" s="6"/>
      <c r="E37" s="6"/>
      <c r="F37" s="6"/>
      <c r="G37" s="6"/>
      <c r="H37" s="6"/>
      <c r="I37" s="6"/>
    </row>
    <row r="38" spans="1:9" hidden="1" x14ac:dyDescent="0.2">
      <c r="A38" s="8" t="s">
        <v>9</v>
      </c>
      <c r="B38" s="5"/>
      <c r="C38" s="74"/>
      <c r="D38" s="6"/>
      <c r="E38" s="6"/>
      <c r="F38" s="6"/>
      <c r="G38" s="6"/>
      <c r="H38" s="6"/>
      <c r="I38" s="6"/>
    </row>
    <row r="39" spans="1:9" x14ac:dyDescent="0.2">
      <c r="A39" s="312" t="s">
        <v>10</v>
      </c>
      <c r="B39" s="313"/>
      <c r="C39" s="313"/>
      <c r="D39" s="313"/>
      <c r="E39" s="314"/>
      <c r="F39" s="11">
        <f>SUM(F29:F38)</f>
        <v>3</v>
      </c>
      <c r="G39" s="11">
        <f>SUM(G29:G38)</f>
        <v>0</v>
      </c>
      <c r="H39" s="11">
        <f>SUM(H29:H38)</f>
        <v>11.25</v>
      </c>
      <c r="I39" s="11"/>
    </row>
    <row r="40" spans="1:9" x14ac:dyDescent="0.2">
      <c r="A40" s="8" t="s">
        <v>0</v>
      </c>
      <c r="B40" s="5">
        <f>B29+1</f>
        <v>46110</v>
      </c>
      <c r="C40" s="75" t="s">
        <v>385</v>
      </c>
      <c r="D40" s="6" t="s">
        <v>371</v>
      </c>
      <c r="E40" s="6" t="s">
        <v>165</v>
      </c>
      <c r="F40" s="6">
        <v>1</v>
      </c>
      <c r="G40" s="6"/>
      <c r="H40" s="6">
        <v>6</v>
      </c>
      <c r="I40" s="6"/>
    </row>
    <row r="41" spans="1:9" x14ac:dyDescent="0.2">
      <c r="A41" s="8" t="s">
        <v>1</v>
      </c>
      <c r="B41" s="5"/>
      <c r="C41" s="75" t="s">
        <v>386</v>
      </c>
      <c r="D41" s="6" t="s">
        <v>242</v>
      </c>
      <c r="E41" s="6" t="s">
        <v>171</v>
      </c>
      <c r="F41" s="6">
        <v>1</v>
      </c>
      <c r="G41" s="6"/>
      <c r="H41" s="6">
        <v>5.5</v>
      </c>
      <c r="I41" s="6"/>
    </row>
    <row r="42" spans="1:9" x14ac:dyDescent="0.2">
      <c r="A42" s="8" t="s">
        <v>2</v>
      </c>
      <c r="B42" s="5"/>
      <c r="C42" s="75" t="s">
        <v>387</v>
      </c>
      <c r="D42" s="6" t="s">
        <v>242</v>
      </c>
      <c r="E42" s="6" t="s">
        <v>171</v>
      </c>
      <c r="F42" s="6">
        <v>1</v>
      </c>
      <c r="G42" s="6"/>
      <c r="H42" s="6">
        <v>5.5</v>
      </c>
      <c r="I42" s="6"/>
    </row>
    <row r="43" spans="1:9" x14ac:dyDescent="0.2">
      <c r="A43" s="8" t="s">
        <v>3</v>
      </c>
      <c r="B43" s="5"/>
      <c r="C43" s="75" t="s">
        <v>388</v>
      </c>
      <c r="D43" s="6" t="s">
        <v>253</v>
      </c>
      <c r="E43" s="6" t="s">
        <v>351</v>
      </c>
      <c r="F43" s="6">
        <v>1</v>
      </c>
      <c r="G43" s="6"/>
      <c r="H43" s="6">
        <v>3.5</v>
      </c>
      <c r="I43" s="6"/>
    </row>
    <row r="44" spans="1:9" x14ac:dyDescent="0.2">
      <c r="A44" s="8" t="s">
        <v>4</v>
      </c>
      <c r="B44" s="5"/>
      <c r="C44" s="75" t="s">
        <v>389</v>
      </c>
      <c r="D44" s="6" t="s">
        <v>371</v>
      </c>
      <c r="E44" s="6" t="s">
        <v>165</v>
      </c>
      <c r="F44" s="6">
        <v>1</v>
      </c>
      <c r="G44" s="6"/>
      <c r="H44" s="6">
        <v>6</v>
      </c>
      <c r="I44" s="6"/>
    </row>
    <row r="45" spans="1:9" x14ac:dyDescent="0.2">
      <c r="A45" s="8" t="s">
        <v>5</v>
      </c>
      <c r="B45" s="5"/>
      <c r="C45" s="75" t="s">
        <v>390</v>
      </c>
      <c r="D45" s="6" t="s">
        <v>371</v>
      </c>
      <c r="E45" s="6" t="s">
        <v>165</v>
      </c>
      <c r="F45" s="6">
        <v>1</v>
      </c>
      <c r="G45" s="6"/>
      <c r="H45" s="6">
        <v>6</v>
      </c>
      <c r="I45" s="6"/>
    </row>
    <row r="46" spans="1:9" x14ac:dyDescent="0.2">
      <c r="A46" s="8" t="s">
        <v>6</v>
      </c>
      <c r="B46" s="5"/>
      <c r="C46" s="75" t="s">
        <v>391</v>
      </c>
      <c r="D46" s="6" t="s">
        <v>371</v>
      </c>
      <c r="E46" s="6" t="s">
        <v>165</v>
      </c>
      <c r="F46" s="6"/>
      <c r="G46" s="6">
        <v>1</v>
      </c>
      <c r="H46" s="6">
        <v>6</v>
      </c>
      <c r="I46" s="6"/>
    </row>
    <row r="47" spans="1:9" hidden="1" x14ac:dyDescent="0.2">
      <c r="A47" s="8" t="s">
        <v>7</v>
      </c>
      <c r="B47" s="5"/>
      <c r="C47" s="74"/>
      <c r="D47" s="6"/>
      <c r="E47" s="6"/>
      <c r="F47" s="6"/>
      <c r="G47" s="6"/>
      <c r="H47" s="6"/>
      <c r="I47" s="6"/>
    </row>
    <row r="48" spans="1:9" hidden="1" x14ac:dyDescent="0.2">
      <c r="A48" s="8" t="s">
        <v>8</v>
      </c>
      <c r="B48" s="5"/>
      <c r="C48" s="74"/>
      <c r="D48" s="6"/>
      <c r="E48" s="6"/>
      <c r="F48" s="6"/>
      <c r="G48" s="6"/>
      <c r="H48" s="6"/>
      <c r="I48" s="6"/>
    </row>
    <row r="49" spans="1:9" hidden="1" x14ac:dyDescent="0.2">
      <c r="A49" s="8" t="s">
        <v>9</v>
      </c>
      <c r="B49" s="5"/>
      <c r="C49" s="74"/>
      <c r="D49" s="6"/>
      <c r="E49" s="6"/>
      <c r="F49" s="6"/>
      <c r="G49" s="6"/>
      <c r="H49" s="6"/>
      <c r="I49" s="6"/>
    </row>
    <row r="50" spans="1:9" x14ac:dyDescent="0.2">
      <c r="A50" s="312" t="s">
        <v>10</v>
      </c>
      <c r="B50" s="313"/>
      <c r="C50" s="313"/>
      <c r="D50" s="313"/>
      <c r="E50" s="314"/>
      <c r="F50" s="11">
        <f>SUM(F40:F49)</f>
        <v>6</v>
      </c>
      <c r="G50" s="11">
        <f>SUM(G40:G49)</f>
        <v>1</v>
      </c>
      <c r="H50" s="11">
        <f>SUM(H40:H49)</f>
        <v>38.5</v>
      </c>
      <c r="I50" s="11"/>
    </row>
    <row r="51" spans="1:9" x14ac:dyDescent="0.2">
      <c r="A51" s="8" t="s">
        <v>0</v>
      </c>
      <c r="B51" s="5">
        <f>B40+1</f>
        <v>46111</v>
      </c>
      <c r="C51" s="75" t="s">
        <v>456</v>
      </c>
      <c r="D51" s="6" t="s">
        <v>170</v>
      </c>
      <c r="E51" s="6" t="s">
        <v>165</v>
      </c>
      <c r="F51" s="6">
        <v>1</v>
      </c>
      <c r="G51" s="6"/>
      <c r="H51" s="6">
        <v>3</v>
      </c>
      <c r="I51" s="6"/>
    </row>
    <row r="52" spans="1:9" x14ac:dyDescent="0.2">
      <c r="A52" s="8" t="s">
        <v>1</v>
      </c>
      <c r="B52" s="5"/>
      <c r="C52" s="75" t="s">
        <v>457</v>
      </c>
      <c r="D52" s="6" t="s">
        <v>250</v>
      </c>
      <c r="E52" s="6" t="s">
        <v>168</v>
      </c>
      <c r="F52" s="6">
        <v>1</v>
      </c>
      <c r="G52" s="6"/>
      <c r="H52" s="6">
        <v>5</v>
      </c>
      <c r="I52" s="6"/>
    </row>
    <row r="53" spans="1:9" x14ac:dyDescent="0.2">
      <c r="A53" s="8" t="s">
        <v>2</v>
      </c>
      <c r="B53" s="5"/>
      <c r="C53" s="75" t="s">
        <v>458</v>
      </c>
      <c r="D53" s="6" t="s">
        <v>170</v>
      </c>
      <c r="E53" s="6" t="s">
        <v>171</v>
      </c>
      <c r="F53" s="6">
        <v>1</v>
      </c>
      <c r="G53" s="6"/>
      <c r="H53" s="6">
        <v>6</v>
      </c>
      <c r="I53" s="6"/>
    </row>
    <row r="54" spans="1:9" x14ac:dyDescent="0.2">
      <c r="A54" s="8" t="s">
        <v>3</v>
      </c>
      <c r="B54" s="5"/>
      <c r="C54" s="75" t="s">
        <v>459</v>
      </c>
      <c r="D54" s="6" t="s">
        <v>170</v>
      </c>
      <c r="E54" s="6" t="s">
        <v>171</v>
      </c>
      <c r="F54" s="6">
        <v>1</v>
      </c>
      <c r="G54" s="6"/>
      <c r="H54" s="6">
        <v>6</v>
      </c>
      <c r="I54" s="6"/>
    </row>
    <row r="55" spans="1:9" x14ac:dyDescent="0.2">
      <c r="A55" s="8" t="s">
        <v>4</v>
      </c>
      <c r="B55" s="5"/>
      <c r="C55" s="75" t="s">
        <v>460</v>
      </c>
      <c r="D55" s="6" t="s">
        <v>170</v>
      </c>
      <c r="E55" s="6" t="s">
        <v>171</v>
      </c>
      <c r="F55" s="6">
        <v>1</v>
      </c>
      <c r="G55" s="6"/>
      <c r="H55" s="6">
        <v>6</v>
      </c>
      <c r="I55" s="6"/>
    </row>
    <row r="56" spans="1:9" x14ac:dyDescent="0.2">
      <c r="A56" s="8" t="s">
        <v>5</v>
      </c>
      <c r="B56" s="5"/>
      <c r="C56" s="75" t="s">
        <v>461</v>
      </c>
      <c r="D56" s="6" t="s">
        <v>170</v>
      </c>
      <c r="E56" s="6" t="s">
        <v>171</v>
      </c>
      <c r="F56" s="6">
        <v>1</v>
      </c>
      <c r="G56" s="6"/>
      <c r="H56" s="6">
        <v>6</v>
      </c>
      <c r="I56" s="6"/>
    </row>
    <row r="57" spans="1:9" x14ac:dyDescent="0.2">
      <c r="A57" s="8" t="s">
        <v>6</v>
      </c>
      <c r="B57" s="5"/>
      <c r="C57" s="74" t="s">
        <v>462</v>
      </c>
      <c r="D57" s="6" t="s">
        <v>361</v>
      </c>
      <c r="E57" s="6" t="s">
        <v>463</v>
      </c>
      <c r="F57" s="6">
        <v>1</v>
      </c>
      <c r="G57" s="6"/>
      <c r="H57" s="6">
        <v>4.5</v>
      </c>
      <c r="I57" s="6"/>
    </row>
    <row r="58" spans="1:9" x14ac:dyDescent="0.2">
      <c r="A58" s="8" t="s">
        <v>7</v>
      </c>
      <c r="B58" s="5"/>
      <c r="C58" s="74" t="s">
        <v>464</v>
      </c>
      <c r="D58" s="6" t="s">
        <v>448</v>
      </c>
      <c r="E58" s="6" t="s">
        <v>165</v>
      </c>
      <c r="F58" s="6"/>
      <c r="G58" s="6">
        <v>1</v>
      </c>
      <c r="H58" s="6">
        <v>2</v>
      </c>
      <c r="I58" s="6"/>
    </row>
    <row r="59" spans="1:9" hidden="1" x14ac:dyDescent="0.2">
      <c r="A59" s="8" t="s">
        <v>8</v>
      </c>
      <c r="B59" s="5"/>
      <c r="C59" s="74"/>
      <c r="D59" s="6"/>
      <c r="E59" s="6"/>
      <c r="F59" s="6"/>
      <c r="G59" s="6"/>
      <c r="H59" s="6"/>
      <c r="I59" s="6"/>
    </row>
    <row r="60" spans="1:9" hidden="1" x14ac:dyDescent="0.2">
      <c r="A60" s="8" t="s">
        <v>9</v>
      </c>
      <c r="B60" s="5"/>
      <c r="C60" s="74"/>
      <c r="D60" s="6"/>
      <c r="E60" s="6"/>
      <c r="F60" s="6"/>
      <c r="G60" s="6"/>
      <c r="H60" s="6"/>
      <c r="I60" s="6"/>
    </row>
    <row r="61" spans="1:9" x14ac:dyDescent="0.2">
      <c r="A61" s="312" t="s">
        <v>10</v>
      </c>
      <c r="B61" s="313"/>
      <c r="C61" s="313"/>
      <c r="D61" s="313"/>
      <c r="E61" s="314"/>
      <c r="F61" s="11">
        <f>SUM(F51:F60)</f>
        <v>7</v>
      </c>
      <c r="G61" s="11">
        <f>SUM(G51:G60)</f>
        <v>1</v>
      </c>
      <c r="H61" s="11">
        <f>SUM(H51:H60)</f>
        <v>38.5</v>
      </c>
      <c r="I61" s="11"/>
    </row>
    <row r="62" spans="1:9" x14ac:dyDescent="0.2">
      <c r="A62" s="8" t="s">
        <v>0</v>
      </c>
      <c r="B62" s="5">
        <f>B51+1</f>
        <v>46112</v>
      </c>
      <c r="C62" s="74" t="s">
        <v>531</v>
      </c>
      <c r="D62" s="6" t="s">
        <v>178</v>
      </c>
      <c r="E62" s="6" t="s">
        <v>165</v>
      </c>
      <c r="F62" s="6">
        <v>1</v>
      </c>
      <c r="G62" s="6"/>
      <c r="H62" s="6">
        <v>6</v>
      </c>
      <c r="I62" s="6"/>
    </row>
    <row r="63" spans="1:9" x14ac:dyDescent="0.2">
      <c r="A63" s="8" t="s">
        <v>1</v>
      </c>
      <c r="B63" s="5"/>
      <c r="C63" s="74" t="s">
        <v>532</v>
      </c>
      <c r="D63" s="6" t="s">
        <v>342</v>
      </c>
      <c r="E63" s="6" t="s">
        <v>165</v>
      </c>
      <c r="F63" s="6">
        <v>1</v>
      </c>
      <c r="G63" s="6"/>
      <c r="H63" s="6">
        <v>6</v>
      </c>
      <c r="I63" s="6"/>
    </row>
    <row r="64" spans="1:9" x14ac:dyDescent="0.2">
      <c r="A64" s="8" t="s">
        <v>2</v>
      </c>
      <c r="B64" s="5"/>
      <c r="C64" s="74" t="s">
        <v>533</v>
      </c>
      <c r="D64" s="6" t="s">
        <v>178</v>
      </c>
      <c r="E64" s="6" t="s">
        <v>165</v>
      </c>
      <c r="F64" s="6">
        <v>1</v>
      </c>
      <c r="G64" s="6"/>
      <c r="H64" s="6">
        <v>5</v>
      </c>
      <c r="I64" s="6"/>
    </row>
    <row r="65" spans="1:9" x14ac:dyDescent="0.2">
      <c r="A65" s="8" t="s">
        <v>3</v>
      </c>
      <c r="B65" s="5"/>
      <c r="C65" s="74" t="s">
        <v>518</v>
      </c>
      <c r="D65" s="6" t="s">
        <v>173</v>
      </c>
      <c r="E65" s="6" t="s">
        <v>441</v>
      </c>
      <c r="F65" s="6">
        <v>1</v>
      </c>
      <c r="G65" s="6"/>
      <c r="H65" s="6">
        <v>6</v>
      </c>
      <c r="I65" s="6"/>
    </row>
    <row r="66" spans="1:9" x14ac:dyDescent="0.2">
      <c r="A66" s="8" t="s">
        <v>4</v>
      </c>
      <c r="B66" s="5"/>
      <c r="C66" s="74" t="s">
        <v>534</v>
      </c>
      <c r="D66" s="6" t="s">
        <v>173</v>
      </c>
      <c r="E66" s="6" t="s">
        <v>441</v>
      </c>
      <c r="F66" s="6">
        <v>1</v>
      </c>
      <c r="G66" s="6"/>
      <c r="H66" s="6">
        <v>6</v>
      </c>
      <c r="I66" s="6"/>
    </row>
    <row r="67" spans="1:9" x14ac:dyDescent="0.2">
      <c r="A67" s="8" t="s">
        <v>5</v>
      </c>
      <c r="B67" s="5"/>
      <c r="C67" s="74" t="s">
        <v>535</v>
      </c>
      <c r="D67" s="6" t="s">
        <v>170</v>
      </c>
      <c r="E67" s="6" t="s">
        <v>171</v>
      </c>
      <c r="F67" s="6">
        <v>1</v>
      </c>
      <c r="G67" s="6"/>
      <c r="H67" s="6">
        <v>6</v>
      </c>
      <c r="I67" s="6"/>
    </row>
    <row r="68" spans="1:9" hidden="1" x14ac:dyDescent="0.2">
      <c r="A68" s="8" t="s">
        <v>6</v>
      </c>
      <c r="B68" s="5"/>
      <c r="C68" s="74"/>
      <c r="D68" s="6"/>
      <c r="E68" s="6"/>
      <c r="F68" s="6"/>
      <c r="G68" s="6"/>
      <c r="H68" s="6"/>
      <c r="I68" s="6"/>
    </row>
    <row r="69" spans="1:9" hidden="1" x14ac:dyDescent="0.2">
      <c r="A69" s="8" t="s">
        <v>7</v>
      </c>
      <c r="B69" s="5"/>
      <c r="C69" s="74"/>
      <c r="D69" s="6"/>
      <c r="E69" s="6"/>
      <c r="F69" s="6"/>
      <c r="G69" s="6"/>
      <c r="H69" s="6"/>
      <c r="I69" s="6"/>
    </row>
    <row r="70" spans="1:9" hidden="1" x14ac:dyDescent="0.2">
      <c r="A70" s="8" t="s">
        <v>8</v>
      </c>
      <c r="B70" s="5"/>
      <c r="C70" s="74"/>
      <c r="D70" s="6"/>
      <c r="E70" s="6"/>
      <c r="F70" s="6"/>
      <c r="G70" s="6"/>
      <c r="H70" s="6"/>
      <c r="I70" s="6"/>
    </row>
    <row r="71" spans="1:9" hidden="1" x14ac:dyDescent="0.2">
      <c r="A71" s="8" t="s">
        <v>9</v>
      </c>
      <c r="B71" s="5"/>
      <c r="C71" s="75"/>
      <c r="D71" s="6"/>
      <c r="E71" s="6"/>
      <c r="F71" s="6"/>
      <c r="G71" s="6"/>
      <c r="H71" s="6"/>
      <c r="I71" s="6"/>
    </row>
    <row r="72" spans="1:9" x14ac:dyDescent="0.2">
      <c r="A72" s="312" t="s">
        <v>10</v>
      </c>
      <c r="B72" s="313"/>
      <c r="C72" s="313"/>
      <c r="D72" s="313"/>
      <c r="E72" s="314"/>
      <c r="F72" s="11">
        <f>SUM(F62:F71)</f>
        <v>6</v>
      </c>
      <c r="G72" s="11">
        <f>SUM(G62:G71)</f>
        <v>0</v>
      </c>
      <c r="H72" s="11">
        <f>SUM(H62:H71)</f>
        <v>35</v>
      </c>
      <c r="I72" s="11"/>
    </row>
    <row r="73" spans="1:9" x14ac:dyDescent="0.2">
      <c r="A73" s="8" t="s">
        <v>0</v>
      </c>
      <c r="B73" s="5">
        <f>B62+1</f>
        <v>46113</v>
      </c>
      <c r="C73" s="74" t="s">
        <v>601</v>
      </c>
      <c r="D73" s="6" t="s">
        <v>188</v>
      </c>
      <c r="E73" s="6" t="s">
        <v>165</v>
      </c>
      <c r="F73" s="6">
        <v>1</v>
      </c>
      <c r="G73" s="6"/>
      <c r="H73" s="6">
        <v>6</v>
      </c>
      <c r="I73" s="6"/>
    </row>
    <row r="74" spans="1:9" x14ac:dyDescent="0.2">
      <c r="A74" s="8" t="s">
        <v>1</v>
      </c>
      <c r="B74" s="5"/>
      <c r="C74" s="74" t="s">
        <v>602</v>
      </c>
      <c r="D74" s="6" t="s">
        <v>188</v>
      </c>
      <c r="E74" s="6" t="s">
        <v>165</v>
      </c>
      <c r="F74" s="6">
        <v>1</v>
      </c>
      <c r="G74" s="6"/>
      <c r="H74" s="6">
        <v>6</v>
      </c>
      <c r="I74" s="6"/>
    </row>
    <row r="75" spans="1:9" x14ac:dyDescent="0.2">
      <c r="A75" s="8" t="s">
        <v>2</v>
      </c>
      <c r="B75" s="5"/>
      <c r="C75" s="74" t="s">
        <v>603</v>
      </c>
      <c r="D75" s="6" t="s">
        <v>173</v>
      </c>
      <c r="E75" s="6" t="s">
        <v>441</v>
      </c>
      <c r="F75" s="6">
        <v>1</v>
      </c>
      <c r="G75" s="6"/>
      <c r="H75" s="6">
        <v>6</v>
      </c>
      <c r="I75" s="6"/>
    </row>
    <row r="76" spans="1:9" x14ac:dyDescent="0.2">
      <c r="A76" s="8" t="s">
        <v>3</v>
      </c>
      <c r="B76" s="5"/>
      <c r="C76" s="74" t="s">
        <v>606</v>
      </c>
      <c r="D76" s="6" t="s">
        <v>364</v>
      </c>
      <c r="E76" s="6" t="s">
        <v>165</v>
      </c>
      <c r="F76" s="6">
        <v>1</v>
      </c>
      <c r="G76" s="6"/>
      <c r="H76" s="6">
        <v>5</v>
      </c>
      <c r="I76" s="6"/>
    </row>
    <row r="77" spans="1:9" x14ac:dyDescent="0.2">
      <c r="A77" s="8" t="s">
        <v>4</v>
      </c>
      <c r="B77" s="5"/>
      <c r="C77" s="74" t="s">
        <v>607</v>
      </c>
      <c r="D77" s="6" t="s">
        <v>178</v>
      </c>
      <c r="E77" s="6" t="s">
        <v>222</v>
      </c>
      <c r="F77" s="6">
        <v>1</v>
      </c>
      <c r="G77" s="6"/>
      <c r="H77" s="6">
        <v>4</v>
      </c>
      <c r="I77" s="6"/>
    </row>
    <row r="78" spans="1:9" hidden="1" x14ac:dyDescent="0.2">
      <c r="A78" s="8" t="s">
        <v>5</v>
      </c>
      <c r="B78" s="5"/>
      <c r="C78" s="74"/>
      <c r="D78" s="6"/>
      <c r="E78" s="6"/>
      <c r="F78" s="6"/>
      <c r="G78" s="6"/>
      <c r="H78" s="6"/>
      <c r="I78" s="6"/>
    </row>
    <row r="79" spans="1:9" hidden="1" x14ac:dyDescent="0.2">
      <c r="A79" s="8" t="s">
        <v>6</v>
      </c>
      <c r="B79" s="5"/>
      <c r="C79" s="74"/>
      <c r="D79" s="6"/>
      <c r="E79" s="6"/>
      <c r="F79" s="6"/>
      <c r="G79" s="6"/>
      <c r="H79" s="6"/>
      <c r="I79" s="6"/>
    </row>
    <row r="80" spans="1:9" hidden="1" x14ac:dyDescent="0.2">
      <c r="A80" s="8" t="s">
        <v>7</v>
      </c>
      <c r="B80" s="5"/>
      <c r="C80" s="74"/>
      <c r="D80" s="6"/>
      <c r="E80" s="6"/>
      <c r="F80" s="6"/>
      <c r="G80" s="6"/>
      <c r="H80" s="6"/>
      <c r="I80" s="6"/>
    </row>
    <row r="81" spans="1:9" hidden="1" x14ac:dyDescent="0.2">
      <c r="A81" s="8" t="s">
        <v>8</v>
      </c>
      <c r="B81" s="5"/>
      <c r="C81" s="74"/>
      <c r="D81" s="6"/>
      <c r="E81" s="6"/>
      <c r="F81" s="6"/>
      <c r="G81" s="6"/>
      <c r="H81" s="6"/>
      <c r="I81" s="6"/>
    </row>
    <row r="82" spans="1:9" hidden="1" x14ac:dyDescent="0.2">
      <c r="A82" s="8" t="s">
        <v>9</v>
      </c>
      <c r="B82" s="5"/>
      <c r="C82" s="74"/>
      <c r="D82" s="6"/>
      <c r="E82" s="6"/>
      <c r="F82" s="6"/>
      <c r="G82" s="6"/>
      <c r="H82" s="6"/>
      <c r="I82" s="6"/>
    </row>
    <row r="83" spans="1:9" x14ac:dyDescent="0.2">
      <c r="A83" s="312" t="s">
        <v>10</v>
      </c>
      <c r="B83" s="313"/>
      <c r="C83" s="313"/>
      <c r="D83" s="313"/>
      <c r="E83" s="314"/>
      <c r="F83" s="11">
        <f>SUM(F73:F82)</f>
        <v>5</v>
      </c>
      <c r="G83" s="11">
        <f>SUM(G73:G82)</f>
        <v>0</v>
      </c>
      <c r="H83" s="11">
        <f>SUM(H73:H82)</f>
        <v>27</v>
      </c>
      <c r="I83" s="11"/>
    </row>
    <row r="84" spans="1:9" s="25" customFormat="1" ht="18" x14ac:dyDescent="0.2">
      <c r="A84" s="324" t="s">
        <v>39</v>
      </c>
      <c r="B84" s="325"/>
      <c r="C84" s="325"/>
      <c r="D84" s="325"/>
      <c r="E84" s="326"/>
      <c r="F84" s="24">
        <f>F17+F28+F39+F50+F61+F72+F83</f>
        <v>36</v>
      </c>
      <c r="G84" s="24">
        <f>G17+G28+G39+G50+G61+G72+G83</f>
        <v>4</v>
      </c>
      <c r="H84" s="24">
        <f>H17+H28+H39+H50+H61+H72+H83</f>
        <v>209.25</v>
      </c>
      <c r="I84" s="24"/>
    </row>
    <row r="85" spans="1:9" ht="21.95" customHeight="1" x14ac:dyDescent="0.2">
      <c r="A85" s="319" t="s">
        <v>14</v>
      </c>
      <c r="B85" s="319"/>
      <c r="C85" s="319"/>
      <c r="D85" s="319"/>
      <c r="E85" s="319"/>
      <c r="F85" s="319"/>
      <c r="G85" s="319"/>
      <c r="H85" s="319"/>
      <c r="I85" s="319"/>
    </row>
    <row r="86" spans="1:9" s="53" customFormat="1" ht="20.100000000000001" customHeight="1" x14ac:dyDescent="0.2">
      <c r="A86" s="323" t="s">
        <v>86</v>
      </c>
      <c r="B86" s="323"/>
      <c r="C86" s="323"/>
      <c r="D86" s="323"/>
      <c r="E86" s="323"/>
      <c r="F86" s="50" t="str">
        <f>F2</f>
        <v>เมษายน</v>
      </c>
      <c r="G86" s="50" t="s">
        <v>87</v>
      </c>
      <c r="H86" s="51">
        <f>H2</f>
        <v>2569</v>
      </c>
      <c r="I86" s="52"/>
    </row>
    <row r="87" spans="1:9" s="3" customFormat="1" ht="20.100000000000001" customHeight="1" x14ac:dyDescent="0.35">
      <c r="A87" s="318" t="s">
        <v>33</v>
      </c>
      <c r="B87" s="318"/>
      <c r="C87" s="318"/>
      <c r="D87" s="2"/>
      <c r="F87" s="4"/>
      <c r="G87" s="4"/>
      <c r="H87" s="4" t="s">
        <v>21</v>
      </c>
      <c r="I87" s="40">
        <f>I3+1</f>
        <v>2</v>
      </c>
    </row>
    <row r="88" spans="1:9" s="3" customFormat="1" ht="20.100000000000001" customHeight="1" x14ac:dyDescent="0.35">
      <c r="A88" s="311" t="s">
        <v>62</v>
      </c>
      <c r="B88" s="311"/>
      <c r="C88" s="311"/>
      <c r="D88" s="2"/>
      <c r="E88" s="39" t="s">
        <v>81</v>
      </c>
      <c r="F88" s="308">
        <f>F4</f>
        <v>46107</v>
      </c>
      <c r="G88" s="308"/>
      <c r="H88" s="39" t="s">
        <v>82</v>
      </c>
      <c r="I88" s="34">
        <f>I4</f>
        <v>46136</v>
      </c>
    </row>
    <row r="89" spans="1:9" x14ac:dyDescent="0.2">
      <c r="A89" s="12" t="s">
        <v>23</v>
      </c>
      <c r="B89" s="13" t="s">
        <v>11</v>
      </c>
      <c r="C89" s="72" t="s">
        <v>26</v>
      </c>
      <c r="D89" s="12" t="s">
        <v>16</v>
      </c>
      <c r="E89" s="12" t="s">
        <v>17</v>
      </c>
      <c r="F89" s="310" t="s">
        <v>46</v>
      </c>
      <c r="G89" s="310"/>
      <c r="H89" s="310"/>
      <c r="I89" s="12" t="s">
        <v>19</v>
      </c>
    </row>
    <row r="90" spans="1:9" x14ac:dyDescent="0.2">
      <c r="A90" s="15"/>
      <c r="B90" s="16"/>
      <c r="C90" s="73"/>
      <c r="D90" s="15"/>
      <c r="E90" s="15"/>
      <c r="F90" s="21" t="s">
        <v>113</v>
      </c>
      <c r="G90" s="21" t="s">
        <v>114</v>
      </c>
      <c r="H90" s="21" t="s">
        <v>20</v>
      </c>
      <c r="I90" s="15"/>
    </row>
    <row r="91" spans="1:9" x14ac:dyDescent="0.2">
      <c r="A91" s="8" t="s">
        <v>0</v>
      </c>
      <c r="B91" s="5">
        <f>B73+1</f>
        <v>46114</v>
      </c>
      <c r="C91" s="74" t="s">
        <v>659</v>
      </c>
      <c r="D91" s="6" t="s">
        <v>206</v>
      </c>
      <c r="E91" s="6" t="s">
        <v>632</v>
      </c>
      <c r="F91" s="6">
        <v>1</v>
      </c>
      <c r="G91" s="6"/>
      <c r="H91" s="6">
        <v>6</v>
      </c>
      <c r="I91" s="6"/>
    </row>
    <row r="92" spans="1:9" x14ac:dyDescent="0.2">
      <c r="A92" s="8" t="s">
        <v>1</v>
      </c>
      <c r="B92" s="5"/>
      <c r="C92" s="74" t="s">
        <v>652</v>
      </c>
      <c r="D92" s="6" t="s">
        <v>206</v>
      </c>
      <c r="E92" s="6" t="s">
        <v>632</v>
      </c>
      <c r="F92" s="6">
        <v>1</v>
      </c>
      <c r="G92" s="6"/>
      <c r="H92" s="6">
        <v>6</v>
      </c>
      <c r="I92" s="6"/>
    </row>
    <row r="93" spans="1:9" x14ac:dyDescent="0.2">
      <c r="A93" s="8" t="s">
        <v>2</v>
      </c>
      <c r="B93" s="5"/>
      <c r="C93" s="74" t="s">
        <v>660</v>
      </c>
      <c r="D93" s="6" t="s">
        <v>202</v>
      </c>
      <c r="E93" s="6" t="s">
        <v>222</v>
      </c>
      <c r="F93" s="6">
        <v>1</v>
      </c>
      <c r="G93" s="6"/>
      <c r="H93" s="6">
        <v>5</v>
      </c>
      <c r="I93" s="6"/>
    </row>
    <row r="94" spans="1:9" x14ac:dyDescent="0.2">
      <c r="A94" s="8" t="s">
        <v>3</v>
      </c>
      <c r="B94" s="5"/>
      <c r="C94" s="74" t="s">
        <v>661</v>
      </c>
      <c r="D94" s="6" t="s">
        <v>347</v>
      </c>
      <c r="E94" s="6" t="s">
        <v>441</v>
      </c>
      <c r="F94" s="6">
        <v>1</v>
      </c>
      <c r="G94" s="6"/>
      <c r="H94" s="6">
        <v>6</v>
      </c>
      <c r="I94" s="6"/>
    </row>
    <row r="95" spans="1:9" x14ac:dyDescent="0.2">
      <c r="A95" s="8" t="s">
        <v>4</v>
      </c>
      <c r="B95" s="5"/>
      <c r="C95" s="74" t="s">
        <v>662</v>
      </c>
      <c r="D95" s="6" t="s">
        <v>170</v>
      </c>
      <c r="E95" s="6" t="s">
        <v>171</v>
      </c>
      <c r="F95" s="6">
        <v>1</v>
      </c>
      <c r="G95" s="6"/>
      <c r="H95" s="6">
        <v>6</v>
      </c>
      <c r="I95" s="6"/>
    </row>
    <row r="96" spans="1:9" x14ac:dyDescent="0.2">
      <c r="A96" s="8" t="s">
        <v>5</v>
      </c>
      <c r="B96" s="5"/>
      <c r="C96" s="74" t="s">
        <v>663</v>
      </c>
      <c r="D96" s="6" t="s">
        <v>170</v>
      </c>
      <c r="E96" s="6" t="s">
        <v>171</v>
      </c>
      <c r="F96" s="6">
        <v>1</v>
      </c>
      <c r="G96" s="6"/>
      <c r="H96" s="6">
        <v>6</v>
      </c>
      <c r="I96" s="6"/>
    </row>
    <row r="97" spans="1:9" x14ac:dyDescent="0.2">
      <c r="A97" s="8" t="s">
        <v>6</v>
      </c>
      <c r="B97" s="5"/>
      <c r="C97" s="74" t="s">
        <v>664</v>
      </c>
      <c r="D97" s="6" t="s">
        <v>347</v>
      </c>
      <c r="E97" s="6" t="s">
        <v>168</v>
      </c>
      <c r="F97" s="6"/>
      <c r="G97" s="6">
        <v>1</v>
      </c>
      <c r="H97" s="6">
        <v>6</v>
      </c>
      <c r="I97" s="6"/>
    </row>
    <row r="98" spans="1:9" x14ac:dyDescent="0.2">
      <c r="A98" s="8" t="s">
        <v>7</v>
      </c>
      <c r="B98" s="5"/>
      <c r="C98" s="74" t="s">
        <v>665</v>
      </c>
      <c r="D98" s="6" t="s">
        <v>170</v>
      </c>
      <c r="E98" s="6" t="s">
        <v>171</v>
      </c>
      <c r="F98" s="6"/>
      <c r="G98" s="6">
        <v>1</v>
      </c>
      <c r="H98" s="6">
        <v>6</v>
      </c>
      <c r="I98" s="6"/>
    </row>
    <row r="99" spans="1:9" hidden="1" x14ac:dyDescent="0.2">
      <c r="A99" s="8" t="s">
        <v>8</v>
      </c>
      <c r="B99" s="5"/>
      <c r="C99" s="74"/>
      <c r="D99" s="6"/>
      <c r="E99" s="6"/>
      <c r="F99" s="6"/>
      <c r="G99" s="6"/>
      <c r="H99" s="6"/>
      <c r="I99" s="6"/>
    </row>
    <row r="100" spans="1:9" hidden="1" x14ac:dyDescent="0.2">
      <c r="A100" s="8" t="s">
        <v>9</v>
      </c>
      <c r="B100" s="5"/>
      <c r="C100" s="74"/>
      <c r="D100" s="6"/>
      <c r="E100" s="6"/>
      <c r="F100" s="6"/>
      <c r="G100" s="6"/>
      <c r="H100" s="6"/>
      <c r="I100" s="6"/>
    </row>
    <row r="101" spans="1:9" x14ac:dyDescent="0.2">
      <c r="A101" s="312" t="s">
        <v>10</v>
      </c>
      <c r="B101" s="313"/>
      <c r="C101" s="313"/>
      <c r="D101" s="313"/>
      <c r="E101" s="314"/>
      <c r="F101" s="11">
        <f>SUM(F91:F100)</f>
        <v>6</v>
      </c>
      <c r="G101" s="11">
        <f>SUM(G91:G100)</f>
        <v>2</v>
      </c>
      <c r="H101" s="11">
        <f>SUM(H91:H100)</f>
        <v>47</v>
      </c>
      <c r="I101" s="11"/>
    </row>
    <row r="102" spans="1:9" x14ac:dyDescent="0.2">
      <c r="A102" s="8" t="s">
        <v>0</v>
      </c>
      <c r="B102" s="5">
        <f>B91+1</f>
        <v>46115</v>
      </c>
      <c r="C102" s="74" t="s">
        <v>740</v>
      </c>
      <c r="D102" s="6" t="s">
        <v>342</v>
      </c>
      <c r="E102" s="6" t="s">
        <v>165</v>
      </c>
      <c r="F102" s="6">
        <v>1</v>
      </c>
      <c r="G102" s="6"/>
      <c r="H102" s="6">
        <v>6</v>
      </c>
      <c r="I102" s="6"/>
    </row>
    <row r="103" spans="1:9" x14ac:dyDescent="0.2">
      <c r="A103" s="8" t="s">
        <v>1</v>
      </c>
      <c r="B103" s="5"/>
      <c r="C103" s="74" t="s">
        <v>741</v>
      </c>
      <c r="D103" s="6" t="s">
        <v>342</v>
      </c>
      <c r="E103" s="6" t="s">
        <v>165</v>
      </c>
      <c r="F103" s="6">
        <v>1</v>
      </c>
      <c r="G103" s="6"/>
      <c r="H103" s="6">
        <v>6</v>
      </c>
      <c r="I103" s="6"/>
    </row>
    <row r="104" spans="1:9" x14ac:dyDescent="0.2">
      <c r="A104" s="8" t="s">
        <v>2</v>
      </c>
      <c r="B104" s="5"/>
      <c r="C104" s="74" t="s">
        <v>742</v>
      </c>
      <c r="D104" s="6" t="s">
        <v>170</v>
      </c>
      <c r="E104" s="6" t="s">
        <v>171</v>
      </c>
      <c r="F104" s="6">
        <v>1</v>
      </c>
      <c r="G104" s="6"/>
      <c r="H104" s="6">
        <v>6</v>
      </c>
      <c r="I104" s="6"/>
    </row>
    <row r="105" spans="1:9" x14ac:dyDescent="0.2">
      <c r="A105" s="8" t="s">
        <v>3</v>
      </c>
      <c r="B105" s="5"/>
      <c r="C105" s="74" t="s">
        <v>743</v>
      </c>
      <c r="D105" s="6" t="s">
        <v>170</v>
      </c>
      <c r="E105" s="6" t="s">
        <v>171</v>
      </c>
      <c r="F105" s="6">
        <v>1</v>
      </c>
      <c r="G105" s="6"/>
      <c r="H105" s="6">
        <v>6</v>
      </c>
      <c r="I105" s="6"/>
    </row>
    <row r="106" spans="1:9" x14ac:dyDescent="0.2">
      <c r="A106" s="8" t="s">
        <v>4</v>
      </c>
      <c r="B106" s="5"/>
      <c r="C106" s="74" t="s">
        <v>744</v>
      </c>
      <c r="D106" s="6" t="s">
        <v>170</v>
      </c>
      <c r="E106" s="6" t="s">
        <v>171</v>
      </c>
      <c r="F106" s="6">
        <v>1</v>
      </c>
      <c r="G106" s="6"/>
      <c r="H106" s="6">
        <v>6</v>
      </c>
      <c r="I106" s="6"/>
    </row>
    <row r="107" spans="1:9" x14ac:dyDescent="0.2">
      <c r="A107" s="8" t="s">
        <v>5</v>
      </c>
      <c r="B107" s="5"/>
      <c r="C107" s="74" t="s">
        <v>745</v>
      </c>
      <c r="D107" s="6" t="s">
        <v>170</v>
      </c>
      <c r="E107" s="6" t="s">
        <v>171</v>
      </c>
      <c r="F107" s="6">
        <v>1</v>
      </c>
      <c r="G107" s="6"/>
      <c r="H107" s="6">
        <v>6</v>
      </c>
      <c r="I107" s="6"/>
    </row>
    <row r="108" spans="1:9" x14ac:dyDescent="0.2">
      <c r="A108" s="8" t="s">
        <v>6</v>
      </c>
      <c r="B108" s="5"/>
      <c r="C108" s="74" t="s">
        <v>746</v>
      </c>
      <c r="D108" s="6" t="s">
        <v>170</v>
      </c>
      <c r="E108" s="6" t="s">
        <v>171</v>
      </c>
      <c r="F108" s="6"/>
      <c r="G108" s="6">
        <v>1</v>
      </c>
      <c r="H108" s="6">
        <v>6</v>
      </c>
      <c r="I108" s="6"/>
    </row>
    <row r="109" spans="1:9" x14ac:dyDescent="0.2">
      <c r="A109" s="8" t="s">
        <v>7</v>
      </c>
      <c r="B109" s="5"/>
      <c r="C109" s="74" t="s">
        <v>747</v>
      </c>
      <c r="D109" s="6" t="s">
        <v>170</v>
      </c>
      <c r="E109" s="6" t="s">
        <v>171</v>
      </c>
      <c r="F109" s="6"/>
      <c r="G109" s="6">
        <v>1</v>
      </c>
      <c r="H109" s="6">
        <v>6</v>
      </c>
      <c r="I109" s="6"/>
    </row>
    <row r="110" spans="1:9" x14ac:dyDescent="0.2">
      <c r="A110" s="8" t="s">
        <v>8</v>
      </c>
      <c r="B110" s="5"/>
      <c r="C110" s="74" t="s">
        <v>748</v>
      </c>
      <c r="D110" s="6" t="s">
        <v>170</v>
      </c>
      <c r="E110" s="6" t="s">
        <v>171</v>
      </c>
      <c r="F110" s="6"/>
      <c r="G110" s="6">
        <v>1</v>
      </c>
      <c r="H110" s="6">
        <v>6</v>
      </c>
      <c r="I110" s="6"/>
    </row>
    <row r="111" spans="1:9" hidden="1" x14ac:dyDescent="0.2">
      <c r="A111" s="8" t="s">
        <v>9</v>
      </c>
      <c r="B111" s="5"/>
      <c r="C111" s="74"/>
      <c r="D111" s="6"/>
      <c r="E111" s="6"/>
      <c r="F111" s="6"/>
      <c r="G111" s="6"/>
      <c r="H111" s="6"/>
      <c r="I111" s="6"/>
    </row>
    <row r="112" spans="1:9" x14ac:dyDescent="0.2">
      <c r="A112" s="312" t="s">
        <v>10</v>
      </c>
      <c r="B112" s="313"/>
      <c r="C112" s="313"/>
      <c r="D112" s="313"/>
      <c r="E112" s="314"/>
      <c r="F112" s="11">
        <f>SUM(F102:F111)</f>
        <v>6</v>
      </c>
      <c r="G112" s="11">
        <f>SUM(G102:G111)</f>
        <v>3</v>
      </c>
      <c r="H112" s="11">
        <f>SUM(H102:H111)</f>
        <v>54</v>
      </c>
      <c r="I112" s="11"/>
    </row>
    <row r="113" spans="1:9" x14ac:dyDescent="0.2">
      <c r="A113" s="8" t="s">
        <v>0</v>
      </c>
      <c r="B113" s="5">
        <f>B102+1</f>
        <v>46116</v>
      </c>
      <c r="C113" s="74" t="s">
        <v>826</v>
      </c>
      <c r="D113" s="6" t="s">
        <v>188</v>
      </c>
      <c r="E113" s="6" t="s">
        <v>165</v>
      </c>
      <c r="F113" s="6">
        <v>1</v>
      </c>
      <c r="G113" s="6"/>
      <c r="H113" s="6">
        <v>3</v>
      </c>
      <c r="I113" s="6"/>
    </row>
    <row r="114" spans="1:9" x14ac:dyDescent="0.2">
      <c r="A114" s="8" t="s">
        <v>1</v>
      </c>
      <c r="B114" s="5"/>
      <c r="C114" s="74" t="s">
        <v>827</v>
      </c>
      <c r="D114" s="6" t="s">
        <v>347</v>
      </c>
      <c r="E114" s="6" t="s">
        <v>174</v>
      </c>
      <c r="F114" s="6">
        <v>1</v>
      </c>
      <c r="G114" s="6"/>
      <c r="H114" s="6">
        <v>3</v>
      </c>
      <c r="I114" s="6"/>
    </row>
    <row r="115" spans="1:9" x14ac:dyDescent="0.2">
      <c r="A115" s="8" t="s">
        <v>2</v>
      </c>
      <c r="B115" s="5"/>
      <c r="C115" s="74" t="s">
        <v>828</v>
      </c>
      <c r="D115" s="6" t="s">
        <v>170</v>
      </c>
      <c r="E115" s="6" t="s">
        <v>165</v>
      </c>
      <c r="F115" s="6">
        <v>1</v>
      </c>
      <c r="G115" s="6"/>
      <c r="H115" s="6">
        <v>2.5</v>
      </c>
      <c r="I115" s="6"/>
    </row>
    <row r="116" spans="1:9" hidden="1" x14ac:dyDescent="0.2">
      <c r="A116" s="8" t="s">
        <v>3</v>
      </c>
      <c r="B116" s="5"/>
      <c r="C116" s="74"/>
      <c r="D116" s="6"/>
      <c r="E116" s="6"/>
      <c r="F116" s="6"/>
      <c r="G116" s="6"/>
      <c r="H116" s="6"/>
      <c r="I116" s="6"/>
    </row>
    <row r="117" spans="1:9" hidden="1" x14ac:dyDescent="0.2">
      <c r="A117" s="8" t="s">
        <v>4</v>
      </c>
      <c r="B117" s="5"/>
      <c r="C117" s="74"/>
      <c r="D117" s="6"/>
      <c r="E117" s="6"/>
      <c r="F117" s="6"/>
      <c r="G117" s="6"/>
      <c r="H117" s="6"/>
      <c r="I117" s="6"/>
    </row>
    <row r="118" spans="1:9" hidden="1" x14ac:dyDescent="0.2">
      <c r="A118" s="8" t="s">
        <v>5</v>
      </c>
      <c r="B118" s="5"/>
      <c r="C118" s="74"/>
      <c r="D118" s="6"/>
      <c r="E118" s="6"/>
      <c r="F118" s="6"/>
      <c r="G118" s="6"/>
      <c r="H118" s="6"/>
      <c r="I118" s="6"/>
    </row>
    <row r="119" spans="1:9" hidden="1" x14ac:dyDescent="0.2">
      <c r="A119" s="8" t="s">
        <v>6</v>
      </c>
      <c r="B119" s="5"/>
      <c r="C119" s="74"/>
      <c r="D119" s="6"/>
      <c r="E119" s="6"/>
      <c r="F119" s="6"/>
      <c r="G119" s="6"/>
      <c r="H119" s="6"/>
      <c r="I119" s="6"/>
    </row>
    <row r="120" spans="1:9" hidden="1" x14ac:dyDescent="0.2">
      <c r="A120" s="8" t="s">
        <v>7</v>
      </c>
      <c r="B120" s="5"/>
      <c r="C120" s="74"/>
      <c r="D120" s="6"/>
      <c r="E120" s="6"/>
      <c r="F120" s="6"/>
      <c r="G120" s="6"/>
      <c r="H120" s="6"/>
      <c r="I120" s="6"/>
    </row>
    <row r="121" spans="1:9" hidden="1" x14ac:dyDescent="0.2">
      <c r="A121" s="8" t="s">
        <v>8</v>
      </c>
      <c r="B121" s="5"/>
      <c r="C121" s="74"/>
      <c r="D121" s="6"/>
      <c r="E121" s="6"/>
      <c r="F121" s="6"/>
      <c r="G121" s="6"/>
      <c r="H121" s="6"/>
      <c r="I121" s="6"/>
    </row>
    <row r="122" spans="1:9" hidden="1" x14ac:dyDescent="0.2">
      <c r="A122" s="8" t="s">
        <v>9</v>
      </c>
      <c r="B122" s="5"/>
      <c r="C122" s="74"/>
      <c r="D122" s="6"/>
      <c r="E122" s="6"/>
      <c r="F122" s="6"/>
      <c r="G122" s="6"/>
      <c r="H122" s="6"/>
      <c r="I122" s="6"/>
    </row>
    <row r="123" spans="1:9" x14ac:dyDescent="0.2">
      <c r="A123" s="312" t="s">
        <v>10</v>
      </c>
      <c r="B123" s="313"/>
      <c r="C123" s="313"/>
      <c r="D123" s="313"/>
      <c r="E123" s="314"/>
      <c r="F123" s="11">
        <f>SUM(F113:F122)</f>
        <v>3</v>
      </c>
      <c r="G123" s="11">
        <f>SUM(G113:G122)</f>
        <v>0</v>
      </c>
      <c r="H123" s="11">
        <f>SUM(H113:H122)</f>
        <v>8.5</v>
      </c>
      <c r="I123" s="11"/>
    </row>
    <row r="124" spans="1:9" hidden="1" x14ac:dyDescent="0.2">
      <c r="A124" s="8" t="s">
        <v>0</v>
      </c>
      <c r="B124" s="5">
        <f>B113+1</f>
        <v>46117</v>
      </c>
      <c r="C124" s="75"/>
      <c r="D124" s="6"/>
      <c r="E124" s="6"/>
      <c r="F124" s="6"/>
      <c r="G124" s="6"/>
      <c r="H124" s="6"/>
      <c r="I124" s="6"/>
    </row>
    <row r="125" spans="1:9" hidden="1" x14ac:dyDescent="0.2">
      <c r="A125" s="8" t="s">
        <v>1</v>
      </c>
      <c r="B125" s="5"/>
      <c r="C125" s="75"/>
      <c r="D125" s="6"/>
      <c r="E125" s="6"/>
      <c r="F125" s="6"/>
      <c r="G125" s="6"/>
      <c r="H125" s="6"/>
      <c r="I125" s="6"/>
    </row>
    <row r="126" spans="1:9" hidden="1" x14ac:dyDescent="0.2">
      <c r="A126" s="8" t="s">
        <v>2</v>
      </c>
      <c r="B126" s="5"/>
      <c r="C126" s="75"/>
      <c r="D126" s="6"/>
      <c r="E126" s="6"/>
      <c r="F126" s="6"/>
      <c r="G126" s="6"/>
      <c r="H126" s="6"/>
      <c r="I126" s="6"/>
    </row>
    <row r="127" spans="1:9" hidden="1" x14ac:dyDescent="0.2">
      <c r="A127" s="8" t="s">
        <v>3</v>
      </c>
      <c r="B127" s="5"/>
      <c r="C127" s="75"/>
      <c r="D127" s="6"/>
      <c r="E127" s="6"/>
      <c r="F127" s="6"/>
      <c r="G127" s="6"/>
      <c r="H127" s="6"/>
      <c r="I127" s="6"/>
    </row>
    <row r="128" spans="1:9" hidden="1" x14ac:dyDescent="0.2">
      <c r="A128" s="8" t="s">
        <v>4</v>
      </c>
      <c r="B128" s="5"/>
      <c r="C128" s="75"/>
      <c r="D128" s="6"/>
      <c r="E128" s="6"/>
      <c r="F128" s="6"/>
      <c r="G128" s="6"/>
      <c r="H128" s="6"/>
      <c r="I128" s="6"/>
    </row>
    <row r="129" spans="1:9" hidden="1" x14ac:dyDescent="0.2">
      <c r="A129" s="8" t="s">
        <v>5</v>
      </c>
      <c r="B129" s="5"/>
      <c r="C129" s="75"/>
      <c r="D129" s="6"/>
      <c r="E129" s="6"/>
      <c r="F129" s="6"/>
      <c r="G129" s="6"/>
      <c r="H129" s="6"/>
      <c r="I129" s="6"/>
    </row>
    <row r="130" spans="1:9" hidden="1" x14ac:dyDescent="0.2">
      <c r="A130" s="8" t="s">
        <v>6</v>
      </c>
      <c r="B130" s="5"/>
      <c r="C130" s="74"/>
      <c r="D130" s="6"/>
      <c r="E130" s="6"/>
      <c r="F130" s="6"/>
      <c r="G130" s="6"/>
      <c r="H130" s="6"/>
      <c r="I130" s="6"/>
    </row>
    <row r="131" spans="1:9" hidden="1" x14ac:dyDescent="0.2">
      <c r="A131" s="8" t="s">
        <v>7</v>
      </c>
      <c r="B131" s="5"/>
      <c r="C131" s="74"/>
      <c r="D131" s="6"/>
      <c r="E131" s="6"/>
      <c r="F131" s="6"/>
      <c r="G131" s="6"/>
      <c r="H131" s="6"/>
      <c r="I131" s="6"/>
    </row>
    <row r="132" spans="1:9" hidden="1" x14ac:dyDescent="0.2">
      <c r="A132" s="8" t="s">
        <v>8</v>
      </c>
      <c r="B132" s="5"/>
      <c r="C132" s="74"/>
      <c r="D132" s="6"/>
      <c r="E132" s="6"/>
      <c r="F132" s="6"/>
      <c r="G132" s="6"/>
      <c r="H132" s="6"/>
      <c r="I132" s="6"/>
    </row>
    <row r="133" spans="1:9" hidden="1" x14ac:dyDescent="0.2">
      <c r="A133" s="8" t="s">
        <v>9</v>
      </c>
      <c r="B133" s="5"/>
      <c r="C133" s="74"/>
      <c r="D133" s="6"/>
      <c r="E133" s="6"/>
      <c r="F133" s="6"/>
      <c r="G133" s="6"/>
      <c r="H133" s="6"/>
      <c r="I133" s="6"/>
    </row>
    <row r="134" spans="1:9" hidden="1" x14ac:dyDescent="0.2">
      <c r="A134" s="312" t="s">
        <v>10</v>
      </c>
      <c r="B134" s="313"/>
      <c r="C134" s="313"/>
      <c r="D134" s="313"/>
      <c r="E134" s="314"/>
      <c r="F134" s="11">
        <f>SUM(F124:F133)</f>
        <v>0</v>
      </c>
      <c r="G134" s="11">
        <f>SUM(G124:G133)</f>
        <v>0</v>
      </c>
      <c r="H134" s="11">
        <f>SUM(H124:H133)</f>
        <v>0</v>
      </c>
      <c r="I134" s="11"/>
    </row>
    <row r="135" spans="1:9" x14ac:dyDescent="0.2">
      <c r="A135" s="8" t="s">
        <v>0</v>
      </c>
      <c r="B135" s="5">
        <f>B124+1</f>
        <v>46118</v>
      </c>
      <c r="C135" s="75" t="s">
        <v>946</v>
      </c>
      <c r="D135" s="6" t="s">
        <v>242</v>
      </c>
      <c r="E135" s="6" t="s">
        <v>171</v>
      </c>
      <c r="F135" s="6">
        <v>1</v>
      </c>
      <c r="G135" s="6"/>
      <c r="H135" s="6">
        <v>5.5</v>
      </c>
      <c r="I135" s="6"/>
    </row>
    <row r="136" spans="1:9" x14ac:dyDescent="0.2">
      <c r="A136" s="8" t="s">
        <v>1</v>
      </c>
      <c r="B136" s="5"/>
      <c r="C136" s="75" t="s">
        <v>947</v>
      </c>
      <c r="D136" s="6" t="s">
        <v>242</v>
      </c>
      <c r="E136" s="6" t="s">
        <v>171</v>
      </c>
      <c r="F136" s="6">
        <v>1</v>
      </c>
      <c r="G136" s="6"/>
      <c r="H136" s="6">
        <v>5.5</v>
      </c>
      <c r="I136" s="6"/>
    </row>
    <row r="137" spans="1:9" x14ac:dyDescent="0.2">
      <c r="A137" s="8" t="s">
        <v>2</v>
      </c>
      <c r="B137" s="5"/>
      <c r="C137" s="75" t="s">
        <v>948</v>
      </c>
      <c r="D137" s="6" t="s">
        <v>242</v>
      </c>
      <c r="E137" s="6" t="s">
        <v>171</v>
      </c>
      <c r="F137" s="6">
        <v>1</v>
      </c>
      <c r="G137" s="6"/>
      <c r="H137" s="6">
        <v>6</v>
      </c>
      <c r="I137" s="6"/>
    </row>
    <row r="138" spans="1:9" x14ac:dyDescent="0.2">
      <c r="A138" s="8" t="s">
        <v>3</v>
      </c>
      <c r="B138" s="5"/>
      <c r="C138" s="75" t="s">
        <v>949</v>
      </c>
      <c r="D138" s="6" t="s">
        <v>242</v>
      </c>
      <c r="E138" s="6" t="s">
        <v>171</v>
      </c>
      <c r="F138" s="6">
        <v>1</v>
      </c>
      <c r="G138" s="6"/>
      <c r="H138" s="6">
        <v>6</v>
      </c>
      <c r="I138" s="6"/>
    </row>
    <row r="139" spans="1:9" x14ac:dyDescent="0.2">
      <c r="A139" s="8" t="s">
        <v>4</v>
      </c>
      <c r="B139" s="5"/>
      <c r="C139" s="75" t="s">
        <v>933</v>
      </c>
      <c r="D139" s="6" t="s">
        <v>170</v>
      </c>
      <c r="E139" s="6" t="s">
        <v>171</v>
      </c>
      <c r="F139" s="6"/>
      <c r="G139" s="6">
        <v>1</v>
      </c>
      <c r="H139" s="6">
        <v>6</v>
      </c>
      <c r="I139" s="6"/>
    </row>
    <row r="140" spans="1:9" x14ac:dyDescent="0.2">
      <c r="A140" s="8" t="s">
        <v>5</v>
      </c>
      <c r="B140" s="5"/>
      <c r="C140" s="75" t="s">
        <v>950</v>
      </c>
      <c r="D140" s="6" t="s">
        <v>170</v>
      </c>
      <c r="E140" s="6" t="s">
        <v>171</v>
      </c>
      <c r="F140" s="6"/>
      <c r="G140" s="6">
        <v>1</v>
      </c>
      <c r="H140" s="6">
        <v>6</v>
      </c>
      <c r="I140" s="6"/>
    </row>
    <row r="141" spans="1:9" x14ac:dyDescent="0.2">
      <c r="A141" s="8" t="s">
        <v>6</v>
      </c>
      <c r="B141" s="5"/>
      <c r="C141" s="74" t="s">
        <v>951</v>
      </c>
      <c r="D141" s="6" t="s">
        <v>170</v>
      </c>
      <c r="E141" s="6" t="s">
        <v>171</v>
      </c>
      <c r="F141" s="6"/>
      <c r="G141" s="6">
        <v>1</v>
      </c>
      <c r="H141" s="6">
        <v>6</v>
      </c>
      <c r="I141" s="6"/>
    </row>
    <row r="142" spans="1:9" x14ac:dyDescent="0.2">
      <c r="A142" s="8" t="s">
        <v>7</v>
      </c>
      <c r="B142" s="5"/>
      <c r="C142" s="74" t="s">
        <v>952</v>
      </c>
      <c r="D142" s="6" t="s">
        <v>170</v>
      </c>
      <c r="E142" s="6" t="s">
        <v>171</v>
      </c>
      <c r="F142" s="6"/>
      <c r="G142" s="6">
        <v>1</v>
      </c>
      <c r="H142" s="6">
        <v>6</v>
      </c>
      <c r="I142" s="6"/>
    </row>
    <row r="143" spans="1:9" hidden="1" x14ac:dyDescent="0.2">
      <c r="A143" s="8" t="s">
        <v>8</v>
      </c>
      <c r="B143" s="5"/>
      <c r="C143" s="74"/>
      <c r="D143" s="6"/>
      <c r="E143" s="6"/>
      <c r="F143" s="6"/>
      <c r="G143" s="6"/>
      <c r="H143" s="6"/>
      <c r="I143" s="6"/>
    </row>
    <row r="144" spans="1:9" hidden="1" x14ac:dyDescent="0.2">
      <c r="A144" s="8" t="s">
        <v>9</v>
      </c>
      <c r="B144" s="5"/>
      <c r="C144" s="74"/>
      <c r="D144" s="6"/>
      <c r="E144" s="6"/>
      <c r="F144" s="6"/>
      <c r="G144" s="6"/>
      <c r="H144" s="6"/>
      <c r="I144" s="6"/>
    </row>
    <row r="145" spans="1:9" x14ac:dyDescent="0.2">
      <c r="A145" s="312" t="s">
        <v>10</v>
      </c>
      <c r="B145" s="313"/>
      <c r="C145" s="313"/>
      <c r="D145" s="313"/>
      <c r="E145" s="314"/>
      <c r="F145" s="11">
        <f>SUM(F135:F144)</f>
        <v>4</v>
      </c>
      <c r="G145" s="11">
        <f>SUM(G135:G144)</f>
        <v>4</v>
      </c>
      <c r="H145" s="11">
        <f>SUM(H135:H144)</f>
        <v>47</v>
      </c>
      <c r="I145" s="11"/>
    </row>
    <row r="146" spans="1:9" x14ac:dyDescent="0.2">
      <c r="A146" s="8" t="s">
        <v>0</v>
      </c>
      <c r="B146" s="5">
        <f>B135+1</f>
        <v>46119</v>
      </c>
      <c r="C146" s="75" t="s">
        <v>1018</v>
      </c>
      <c r="D146" s="6" t="s">
        <v>870</v>
      </c>
      <c r="E146" s="6" t="s">
        <v>168</v>
      </c>
      <c r="F146" s="6">
        <v>1</v>
      </c>
      <c r="G146" s="6"/>
      <c r="H146" s="6">
        <v>6</v>
      </c>
      <c r="I146" s="6"/>
    </row>
    <row r="147" spans="1:9" x14ac:dyDescent="0.2">
      <c r="A147" s="8" t="s">
        <v>1</v>
      </c>
      <c r="B147" s="5"/>
      <c r="C147" s="75" t="s">
        <v>1019</v>
      </c>
      <c r="D147" s="6" t="s">
        <v>211</v>
      </c>
      <c r="E147" s="6" t="s">
        <v>171</v>
      </c>
      <c r="F147" s="6">
        <v>1</v>
      </c>
      <c r="G147" s="6"/>
      <c r="H147" s="6">
        <v>6</v>
      </c>
      <c r="I147" s="6"/>
    </row>
    <row r="148" spans="1:9" x14ac:dyDescent="0.2">
      <c r="A148" s="8" t="s">
        <v>2</v>
      </c>
      <c r="B148" s="5"/>
      <c r="C148" s="75" t="s">
        <v>1020</v>
      </c>
      <c r="D148" s="6" t="s">
        <v>342</v>
      </c>
      <c r="E148" s="6" t="s">
        <v>165</v>
      </c>
      <c r="F148" s="6">
        <v>1</v>
      </c>
      <c r="G148" s="6"/>
      <c r="H148" s="6">
        <v>6</v>
      </c>
      <c r="I148" s="6"/>
    </row>
    <row r="149" spans="1:9" x14ac:dyDescent="0.2">
      <c r="A149" s="8" t="s">
        <v>3</v>
      </c>
      <c r="B149" s="5"/>
      <c r="C149" s="75" t="s">
        <v>1021</v>
      </c>
      <c r="D149" s="6" t="s">
        <v>188</v>
      </c>
      <c r="E149" s="6" t="s">
        <v>165</v>
      </c>
      <c r="F149" s="6">
        <v>1</v>
      </c>
      <c r="G149" s="6"/>
      <c r="H149" s="6">
        <v>6</v>
      </c>
      <c r="I149" s="6"/>
    </row>
    <row r="150" spans="1:9" hidden="1" x14ac:dyDescent="0.2">
      <c r="A150" s="8" t="s">
        <v>4</v>
      </c>
      <c r="B150" s="5"/>
      <c r="C150" s="75"/>
      <c r="D150" s="6"/>
      <c r="E150" s="6"/>
      <c r="F150" s="6"/>
      <c r="G150" s="6"/>
      <c r="H150" s="6"/>
      <c r="I150" s="6"/>
    </row>
    <row r="151" spans="1:9" hidden="1" x14ac:dyDescent="0.2">
      <c r="A151" s="8" t="s">
        <v>5</v>
      </c>
      <c r="B151" s="5"/>
      <c r="C151" s="75"/>
      <c r="D151" s="6"/>
      <c r="E151" s="6"/>
      <c r="F151" s="6"/>
      <c r="G151" s="6"/>
      <c r="H151" s="6"/>
      <c r="I151" s="6"/>
    </row>
    <row r="152" spans="1:9" hidden="1" x14ac:dyDescent="0.2">
      <c r="A152" s="8" t="s">
        <v>6</v>
      </c>
      <c r="B152" s="5"/>
      <c r="C152" s="75"/>
      <c r="D152" s="6"/>
      <c r="E152" s="6"/>
      <c r="F152" s="6"/>
      <c r="G152" s="6"/>
      <c r="H152" s="6"/>
      <c r="I152" s="6"/>
    </row>
    <row r="153" spans="1:9" hidden="1" x14ac:dyDescent="0.2">
      <c r="A153" s="8" t="s">
        <v>7</v>
      </c>
      <c r="B153" s="5"/>
      <c r="C153" s="75"/>
      <c r="D153" s="6"/>
      <c r="E153" s="6"/>
      <c r="F153" s="6"/>
      <c r="G153" s="6"/>
      <c r="H153" s="6"/>
      <c r="I153" s="6"/>
    </row>
    <row r="154" spans="1:9" hidden="1" x14ac:dyDescent="0.2">
      <c r="A154" s="8" t="s">
        <v>8</v>
      </c>
      <c r="B154" s="5"/>
      <c r="C154" s="75"/>
      <c r="D154" s="6"/>
      <c r="E154" s="6"/>
      <c r="F154" s="6"/>
      <c r="G154" s="6"/>
      <c r="H154" s="6"/>
      <c r="I154" s="6"/>
    </row>
    <row r="155" spans="1:9" hidden="1" x14ac:dyDescent="0.2">
      <c r="A155" s="8" t="s">
        <v>9</v>
      </c>
      <c r="B155" s="5"/>
      <c r="C155" s="75"/>
      <c r="D155" s="6"/>
      <c r="E155" s="6"/>
      <c r="F155" s="6"/>
      <c r="G155" s="6"/>
      <c r="H155" s="6"/>
      <c r="I155" s="6"/>
    </row>
    <row r="156" spans="1:9" x14ac:dyDescent="0.2">
      <c r="A156" s="312" t="s">
        <v>10</v>
      </c>
      <c r="B156" s="313"/>
      <c r="C156" s="313"/>
      <c r="D156" s="313"/>
      <c r="E156" s="314"/>
      <c r="F156" s="11">
        <f>SUM(F146:F155)</f>
        <v>4</v>
      </c>
      <c r="G156" s="11">
        <f>SUM(G146:G155)</f>
        <v>0</v>
      </c>
      <c r="H156" s="11">
        <f>SUM(H146:H155)</f>
        <v>24</v>
      </c>
      <c r="I156" s="11"/>
    </row>
    <row r="157" spans="1:9" x14ac:dyDescent="0.2">
      <c r="A157" s="8" t="s">
        <v>0</v>
      </c>
      <c r="B157" s="5">
        <f>B146+1</f>
        <v>46120</v>
      </c>
      <c r="C157" s="74" t="s">
        <v>1070</v>
      </c>
      <c r="D157" s="6" t="s">
        <v>170</v>
      </c>
      <c r="E157" s="6" t="s">
        <v>165</v>
      </c>
      <c r="F157" s="6">
        <v>1</v>
      </c>
      <c r="G157" s="6"/>
      <c r="H157" s="6">
        <v>6</v>
      </c>
      <c r="I157" s="6"/>
    </row>
    <row r="158" spans="1:9" x14ac:dyDescent="0.2">
      <c r="A158" s="8" t="s">
        <v>1</v>
      </c>
      <c r="B158" s="5"/>
      <c r="C158" s="74" t="s">
        <v>1071</v>
      </c>
      <c r="D158" s="6" t="s">
        <v>170</v>
      </c>
      <c r="E158" s="6" t="s">
        <v>165</v>
      </c>
      <c r="F158" s="6">
        <v>1</v>
      </c>
      <c r="G158" s="6"/>
      <c r="H158" s="6">
        <v>6</v>
      </c>
      <c r="I158" s="6"/>
    </row>
    <row r="159" spans="1:9" x14ac:dyDescent="0.2">
      <c r="A159" s="8" t="s">
        <v>2</v>
      </c>
      <c r="B159" s="5"/>
      <c r="C159" s="74" t="s">
        <v>1072</v>
      </c>
      <c r="D159" s="6" t="s">
        <v>211</v>
      </c>
      <c r="E159" s="6" t="s">
        <v>165</v>
      </c>
      <c r="F159" s="6">
        <v>1</v>
      </c>
      <c r="G159" s="6"/>
      <c r="H159" s="6">
        <v>4</v>
      </c>
      <c r="I159" s="6"/>
    </row>
    <row r="160" spans="1:9" x14ac:dyDescent="0.2">
      <c r="A160" s="8" t="s">
        <v>3</v>
      </c>
      <c r="B160" s="5"/>
      <c r="C160" s="74" t="s">
        <v>1073</v>
      </c>
      <c r="D160" s="6" t="s">
        <v>364</v>
      </c>
      <c r="E160" s="6" t="s">
        <v>165</v>
      </c>
      <c r="F160" s="6">
        <v>1</v>
      </c>
      <c r="G160" s="6"/>
      <c r="H160" s="6">
        <v>6</v>
      </c>
      <c r="I160" s="6"/>
    </row>
    <row r="161" spans="1:9" x14ac:dyDescent="0.2">
      <c r="A161" s="8" t="s">
        <v>4</v>
      </c>
      <c r="B161" s="5"/>
      <c r="C161" s="74" t="s">
        <v>1074</v>
      </c>
      <c r="D161" s="6" t="s">
        <v>364</v>
      </c>
      <c r="E161" s="6" t="s">
        <v>174</v>
      </c>
      <c r="F161" s="6">
        <v>1</v>
      </c>
      <c r="G161" s="6"/>
      <c r="H161" s="6">
        <v>5</v>
      </c>
      <c r="I161" s="6"/>
    </row>
    <row r="162" spans="1:9" hidden="1" x14ac:dyDescent="0.2">
      <c r="A162" s="8" t="s">
        <v>5</v>
      </c>
      <c r="B162" s="5"/>
      <c r="C162" s="74"/>
      <c r="D162" s="6"/>
      <c r="E162" s="6"/>
      <c r="F162" s="6"/>
      <c r="G162" s="6"/>
      <c r="H162" s="6"/>
      <c r="I162" s="6"/>
    </row>
    <row r="163" spans="1:9" hidden="1" x14ac:dyDescent="0.2">
      <c r="A163" s="8" t="s">
        <v>6</v>
      </c>
      <c r="B163" s="5"/>
      <c r="C163" s="74"/>
      <c r="D163" s="6"/>
      <c r="E163" s="6"/>
      <c r="F163" s="6"/>
      <c r="G163" s="6"/>
      <c r="H163" s="6"/>
      <c r="I163" s="6"/>
    </row>
    <row r="164" spans="1:9" hidden="1" x14ac:dyDescent="0.2">
      <c r="A164" s="8" t="s">
        <v>7</v>
      </c>
      <c r="B164" s="5"/>
      <c r="C164" s="74"/>
      <c r="D164" s="6"/>
      <c r="E164" s="6"/>
      <c r="F164" s="6"/>
      <c r="G164" s="6"/>
      <c r="H164" s="6"/>
      <c r="I164" s="6"/>
    </row>
    <row r="165" spans="1:9" hidden="1" x14ac:dyDescent="0.2">
      <c r="A165" s="8" t="s">
        <v>8</v>
      </c>
      <c r="B165" s="5"/>
      <c r="C165" s="74"/>
      <c r="D165" s="6"/>
      <c r="E165" s="6"/>
      <c r="F165" s="6"/>
      <c r="G165" s="6"/>
      <c r="H165" s="6"/>
      <c r="I165" s="6"/>
    </row>
    <row r="166" spans="1:9" hidden="1" x14ac:dyDescent="0.2">
      <c r="A166" s="8" t="s">
        <v>9</v>
      </c>
      <c r="B166" s="5"/>
      <c r="C166" s="74"/>
      <c r="D166" s="6"/>
      <c r="E166" s="6"/>
      <c r="F166" s="6"/>
      <c r="G166" s="6"/>
      <c r="H166" s="6"/>
      <c r="I166" s="6"/>
    </row>
    <row r="167" spans="1:9" x14ac:dyDescent="0.2">
      <c r="A167" s="312" t="s">
        <v>10</v>
      </c>
      <c r="B167" s="313"/>
      <c r="C167" s="313"/>
      <c r="D167" s="313"/>
      <c r="E167" s="314"/>
      <c r="F167" s="11">
        <f>SUM(F157:F166)</f>
        <v>5</v>
      </c>
      <c r="G167" s="11">
        <f>SUM(G157:G166)</f>
        <v>0</v>
      </c>
      <c r="H167" s="11">
        <f>SUM(H157:H166)</f>
        <v>27</v>
      </c>
      <c r="I167" s="11"/>
    </row>
    <row r="168" spans="1:9" s="25" customFormat="1" ht="18" x14ac:dyDescent="0.2">
      <c r="A168" s="315" t="s">
        <v>39</v>
      </c>
      <c r="B168" s="316"/>
      <c r="C168" s="316"/>
      <c r="D168" s="316"/>
      <c r="E168" s="317"/>
      <c r="F168" s="22">
        <f>F101+F112+F123+F134+F145+F156+F167+F84</f>
        <v>64</v>
      </c>
      <c r="G168" s="22">
        <f>G101+G112+G123+G134+G145+G156+G167+G84</f>
        <v>13</v>
      </c>
      <c r="H168" s="22">
        <f>H101+H112+H123+H134+H145+H156+H167+H84</f>
        <v>416.75</v>
      </c>
      <c r="I168" s="22"/>
    </row>
    <row r="169" spans="1:9" ht="21.95" customHeight="1" x14ac:dyDescent="0.2">
      <c r="A169" s="319" t="s">
        <v>14</v>
      </c>
      <c r="B169" s="319"/>
      <c r="C169" s="319"/>
      <c r="D169" s="319"/>
      <c r="E169" s="319"/>
      <c r="F169" s="319"/>
      <c r="G169" s="319"/>
      <c r="H169" s="319"/>
      <c r="I169" s="319"/>
    </row>
    <row r="170" spans="1:9" s="53" customFormat="1" ht="20.100000000000001" customHeight="1" x14ac:dyDescent="0.2">
      <c r="A170" s="323" t="s">
        <v>86</v>
      </c>
      <c r="B170" s="323"/>
      <c r="C170" s="323"/>
      <c r="D170" s="323"/>
      <c r="E170" s="323"/>
      <c r="F170" s="50" t="str">
        <f>F86</f>
        <v>เมษายน</v>
      </c>
      <c r="G170" s="50" t="s">
        <v>87</v>
      </c>
      <c r="H170" s="51">
        <f>H86</f>
        <v>2569</v>
      </c>
      <c r="I170" s="52"/>
    </row>
    <row r="171" spans="1:9" s="3" customFormat="1" ht="20.100000000000001" customHeight="1" x14ac:dyDescent="0.35">
      <c r="A171" s="318" t="s">
        <v>33</v>
      </c>
      <c r="B171" s="318"/>
      <c r="C171" s="318"/>
      <c r="D171" s="2"/>
      <c r="F171" s="4"/>
      <c r="G171" s="4"/>
      <c r="H171" s="4" t="s">
        <v>21</v>
      </c>
      <c r="I171" s="40">
        <f>I87+1</f>
        <v>3</v>
      </c>
    </row>
    <row r="172" spans="1:9" s="3" customFormat="1" ht="20.100000000000001" customHeight="1" x14ac:dyDescent="0.35">
      <c r="A172" s="311" t="s">
        <v>62</v>
      </c>
      <c r="B172" s="311"/>
      <c r="C172" s="311"/>
      <c r="D172" s="2"/>
      <c r="E172" s="39" t="s">
        <v>81</v>
      </c>
      <c r="F172" s="308">
        <f>F88</f>
        <v>46107</v>
      </c>
      <c r="G172" s="308"/>
      <c r="H172" s="39" t="s">
        <v>82</v>
      </c>
      <c r="I172" s="34">
        <f>I88</f>
        <v>46136</v>
      </c>
    </row>
    <row r="173" spans="1:9" x14ac:dyDescent="0.2">
      <c r="A173" s="12" t="s">
        <v>23</v>
      </c>
      <c r="B173" s="13" t="s">
        <v>11</v>
      </c>
      <c r="C173" s="72" t="s">
        <v>26</v>
      </c>
      <c r="D173" s="12" t="s">
        <v>16</v>
      </c>
      <c r="E173" s="12" t="s">
        <v>17</v>
      </c>
      <c r="F173" s="310" t="s">
        <v>46</v>
      </c>
      <c r="G173" s="310"/>
      <c r="H173" s="310"/>
      <c r="I173" s="12" t="s">
        <v>19</v>
      </c>
    </row>
    <row r="174" spans="1:9" x14ac:dyDescent="0.2">
      <c r="A174" s="15"/>
      <c r="B174" s="16"/>
      <c r="C174" s="73"/>
      <c r="D174" s="15"/>
      <c r="E174" s="15"/>
      <c r="F174" s="21" t="s">
        <v>113</v>
      </c>
      <c r="G174" s="21" t="s">
        <v>114</v>
      </c>
      <c r="H174" s="21" t="s">
        <v>20</v>
      </c>
      <c r="I174" s="15"/>
    </row>
    <row r="175" spans="1:9" x14ac:dyDescent="0.2">
      <c r="A175" s="8" t="s">
        <v>0</v>
      </c>
      <c r="B175" s="5">
        <f>B157+1</f>
        <v>46121</v>
      </c>
      <c r="C175" s="74" t="s">
        <v>1124</v>
      </c>
      <c r="D175" s="6" t="s">
        <v>342</v>
      </c>
      <c r="E175" s="6" t="s">
        <v>165</v>
      </c>
      <c r="F175" s="6">
        <v>1</v>
      </c>
      <c r="G175" s="6"/>
      <c r="H175" s="6">
        <v>6</v>
      </c>
      <c r="I175" s="6"/>
    </row>
    <row r="176" spans="1:9" x14ac:dyDescent="0.2">
      <c r="A176" s="8" t="s">
        <v>1</v>
      </c>
      <c r="B176" s="5"/>
      <c r="C176" s="74" t="s">
        <v>1125</v>
      </c>
      <c r="D176" s="6" t="s">
        <v>347</v>
      </c>
      <c r="E176" s="6" t="s">
        <v>441</v>
      </c>
      <c r="F176" s="6">
        <v>1</v>
      </c>
      <c r="G176" s="6"/>
      <c r="H176" s="6">
        <v>6</v>
      </c>
      <c r="I176" s="6"/>
    </row>
    <row r="177" spans="1:9" x14ac:dyDescent="0.2">
      <c r="A177" s="8" t="s">
        <v>2</v>
      </c>
      <c r="B177" s="5"/>
      <c r="C177" s="74" t="s">
        <v>1126</v>
      </c>
      <c r="D177" s="6" t="s">
        <v>342</v>
      </c>
      <c r="E177" s="6" t="s">
        <v>165</v>
      </c>
      <c r="F177" s="6">
        <v>1</v>
      </c>
      <c r="G177" s="6"/>
      <c r="H177" s="6">
        <v>4</v>
      </c>
      <c r="I177" s="6"/>
    </row>
    <row r="178" spans="1:9" x14ac:dyDescent="0.2">
      <c r="A178" s="8" t="s">
        <v>3</v>
      </c>
      <c r="B178" s="5"/>
      <c r="C178" s="74" t="s">
        <v>1127</v>
      </c>
      <c r="D178" s="6" t="s">
        <v>1123</v>
      </c>
      <c r="E178" s="6" t="s">
        <v>190</v>
      </c>
      <c r="F178" s="6">
        <v>1</v>
      </c>
      <c r="G178" s="6"/>
      <c r="H178" s="6">
        <v>6</v>
      </c>
      <c r="I178" s="6"/>
    </row>
    <row r="179" spans="1:9" hidden="1" x14ac:dyDescent="0.2">
      <c r="A179" s="8" t="s">
        <v>4</v>
      </c>
      <c r="B179" s="5"/>
      <c r="C179" s="74"/>
      <c r="D179" s="6"/>
      <c r="E179" s="6"/>
      <c r="F179" s="6"/>
      <c r="G179" s="6"/>
      <c r="H179" s="6"/>
      <c r="I179" s="6"/>
    </row>
    <row r="180" spans="1:9" hidden="1" x14ac:dyDescent="0.2">
      <c r="A180" s="8" t="s">
        <v>5</v>
      </c>
      <c r="B180" s="5"/>
      <c r="C180" s="74"/>
      <c r="D180" s="6"/>
      <c r="E180" s="6"/>
      <c r="F180" s="6"/>
      <c r="G180" s="6"/>
      <c r="H180" s="6"/>
      <c r="I180" s="6"/>
    </row>
    <row r="181" spans="1:9" hidden="1" x14ac:dyDescent="0.2">
      <c r="A181" s="8" t="s">
        <v>6</v>
      </c>
      <c r="B181" s="5"/>
      <c r="C181" s="74"/>
      <c r="D181" s="6"/>
      <c r="E181" s="6"/>
      <c r="F181" s="6"/>
      <c r="G181" s="6"/>
      <c r="H181" s="6"/>
      <c r="I181" s="6"/>
    </row>
    <row r="182" spans="1:9" hidden="1" x14ac:dyDescent="0.2">
      <c r="A182" s="8" t="s">
        <v>7</v>
      </c>
      <c r="B182" s="5"/>
      <c r="C182" s="74"/>
      <c r="D182" s="6"/>
      <c r="E182" s="6"/>
      <c r="F182" s="6"/>
      <c r="G182" s="6"/>
      <c r="H182" s="6"/>
      <c r="I182" s="6"/>
    </row>
    <row r="183" spans="1:9" hidden="1" x14ac:dyDescent="0.2">
      <c r="A183" s="8" t="s">
        <v>8</v>
      </c>
      <c r="B183" s="5"/>
      <c r="C183" s="74"/>
      <c r="D183" s="6"/>
      <c r="E183" s="6"/>
      <c r="F183" s="6"/>
      <c r="G183" s="6"/>
      <c r="H183" s="6"/>
      <c r="I183" s="6"/>
    </row>
    <row r="184" spans="1:9" hidden="1" x14ac:dyDescent="0.2">
      <c r="A184" s="8" t="s">
        <v>9</v>
      </c>
      <c r="B184" s="5"/>
      <c r="C184" s="74"/>
      <c r="D184" s="6"/>
      <c r="E184" s="6"/>
      <c r="F184" s="6"/>
      <c r="G184" s="6"/>
      <c r="H184" s="6"/>
      <c r="I184" s="6"/>
    </row>
    <row r="185" spans="1:9" x14ac:dyDescent="0.2">
      <c r="A185" s="312" t="s">
        <v>10</v>
      </c>
      <c r="B185" s="313"/>
      <c r="C185" s="313"/>
      <c r="D185" s="313"/>
      <c r="E185" s="314"/>
      <c r="F185" s="11">
        <f>SUM(F175:F184)</f>
        <v>4</v>
      </c>
      <c r="G185" s="11">
        <f>SUM(G175:G184)</f>
        <v>0</v>
      </c>
      <c r="H185" s="11">
        <f>SUM(H175:H184)</f>
        <v>22</v>
      </c>
      <c r="I185" s="11"/>
    </row>
    <row r="186" spans="1:9" x14ac:dyDescent="0.2">
      <c r="A186" s="8" t="s">
        <v>0</v>
      </c>
      <c r="B186" s="5">
        <f>B175+1</f>
        <v>46122</v>
      </c>
      <c r="C186" s="74" t="s">
        <v>1187</v>
      </c>
      <c r="D186" s="6" t="s">
        <v>188</v>
      </c>
      <c r="E186" s="6" t="s">
        <v>165</v>
      </c>
      <c r="F186" s="6">
        <v>1</v>
      </c>
      <c r="G186" s="6"/>
      <c r="H186" s="6">
        <v>6</v>
      </c>
      <c r="I186" s="6"/>
    </row>
    <row r="187" spans="1:9" x14ac:dyDescent="0.2">
      <c r="A187" s="8" t="s">
        <v>1</v>
      </c>
      <c r="B187" s="5"/>
      <c r="C187" s="74" t="s">
        <v>1193</v>
      </c>
      <c r="D187" s="6" t="s">
        <v>347</v>
      </c>
      <c r="E187" s="6" t="s">
        <v>441</v>
      </c>
      <c r="F187" s="6">
        <v>1</v>
      </c>
      <c r="G187" s="6"/>
      <c r="H187" s="6">
        <v>3.5</v>
      </c>
      <c r="I187" s="6"/>
    </row>
    <row r="188" spans="1:9" x14ac:dyDescent="0.2">
      <c r="A188" s="8" t="s">
        <v>2</v>
      </c>
      <c r="B188" s="5"/>
      <c r="C188" s="74" t="s">
        <v>1194</v>
      </c>
      <c r="D188" s="6" t="s">
        <v>188</v>
      </c>
      <c r="E188" s="6" t="s">
        <v>165</v>
      </c>
      <c r="F188" s="6">
        <v>1</v>
      </c>
      <c r="G188" s="6"/>
      <c r="H188" s="6">
        <v>6</v>
      </c>
      <c r="I188" s="6"/>
    </row>
    <row r="189" spans="1:9" x14ac:dyDescent="0.2">
      <c r="A189" s="8" t="s">
        <v>3</v>
      </c>
      <c r="B189" s="5"/>
      <c r="C189" s="74" t="s">
        <v>1195</v>
      </c>
      <c r="D189" s="6" t="s">
        <v>832</v>
      </c>
      <c r="E189" s="6" t="s">
        <v>168</v>
      </c>
      <c r="F189" s="6"/>
      <c r="G189" s="6">
        <v>1</v>
      </c>
      <c r="H189" s="6">
        <v>4</v>
      </c>
      <c r="I189" s="6"/>
    </row>
    <row r="190" spans="1:9" x14ac:dyDescent="0.2">
      <c r="A190" s="8" t="s">
        <v>4</v>
      </c>
      <c r="B190" s="5"/>
      <c r="C190" s="74" t="s">
        <v>1196</v>
      </c>
      <c r="D190" s="6" t="s">
        <v>188</v>
      </c>
      <c r="E190" s="6" t="s">
        <v>165</v>
      </c>
      <c r="F190" s="6"/>
      <c r="G190" s="6">
        <v>1</v>
      </c>
      <c r="H190" s="6">
        <v>6</v>
      </c>
      <c r="I190" s="6"/>
    </row>
    <row r="191" spans="1:9" hidden="1" x14ac:dyDescent="0.2">
      <c r="A191" s="8" t="s">
        <v>5</v>
      </c>
      <c r="B191" s="5"/>
      <c r="C191" s="74"/>
      <c r="D191" s="6"/>
      <c r="E191" s="6"/>
      <c r="F191" s="6"/>
      <c r="G191" s="6"/>
      <c r="H191" s="6"/>
      <c r="I191" s="6"/>
    </row>
    <row r="192" spans="1:9" hidden="1" x14ac:dyDescent="0.2">
      <c r="A192" s="8" t="s">
        <v>6</v>
      </c>
      <c r="B192" s="5"/>
      <c r="C192" s="74"/>
      <c r="D192" s="6"/>
      <c r="E192" s="6"/>
      <c r="F192" s="6"/>
      <c r="G192" s="6"/>
      <c r="H192" s="6"/>
      <c r="I192" s="6"/>
    </row>
    <row r="193" spans="1:9" hidden="1" x14ac:dyDescent="0.2">
      <c r="A193" s="8" t="s">
        <v>7</v>
      </c>
      <c r="B193" s="5"/>
      <c r="C193" s="74"/>
      <c r="D193" s="6"/>
      <c r="E193" s="6"/>
      <c r="F193" s="6"/>
      <c r="G193" s="6"/>
      <c r="H193" s="6"/>
      <c r="I193" s="6"/>
    </row>
    <row r="194" spans="1:9" hidden="1" x14ac:dyDescent="0.2">
      <c r="A194" s="8" t="s">
        <v>8</v>
      </c>
      <c r="B194" s="5"/>
      <c r="C194" s="74"/>
      <c r="D194" s="6"/>
      <c r="E194" s="6"/>
      <c r="F194" s="6"/>
      <c r="G194" s="6"/>
      <c r="H194" s="6"/>
      <c r="I194" s="6"/>
    </row>
    <row r="195" spans="1:9" hidden="1" x14ac:dyDescent="0.2">
      <c r="A195" s="8" t="s">
        <v>9</v>
      </c>
      <c r="B195" s="5"/>
      <c r="C195" s="74"/>
      <c r="D195" s="6"/>
      <c r="E195" s="6"/>
      <c r="F195" s="6"/>
      <c r="G195" s="6"/>
      <c r="H195" s="6"/>
      <c r="I195" s="6"/>
    </row>
    <row r="196" spans="1:9" x14ac:dyDescent="0.2">
      <c r="A196" s="312" t="s">
        <v>10</v>
      </c>
      <c r="B196" s="313"/>
      <c r="C196" s="313"/>
      <c r="D196" s="313"/>
      <c r="E196" s="314"/>
      <c r="F196" s="11">
        <f>SUM(F186:F195)</f>
        <v>3</v>
      </c>
      <c r="G196" s="11">
        <f>SUM(G186:G195)</f>
        <v>2</v>
      </c>
      <c r="H196" s="11">
        <f>SUM(H186:H195)</f>
        <v>25.5</v>
      </c>
      <c r="I196" s="11"/>
    </row>
    <row r="197" spans="1:9" x14ac:dyDescent="0.2">
      <c r="A197" s="8" t="s">
        <v>0</v>
      </c>
      <c r="B197" s="5">
        <f>B186+1</f>
        <v>46123</v>
      </c>
      <c r="C197" s="74" t="s">
        <v>1237</v>
      </c>
      <c r="D197" s="6" t="s">
        <v>342</v>
      </c>
      <c r="E197" s="6" t="s">
        <v>165</v>
      </c>
      <c r="F197" s="6">
        <v>1</v>
      </c>
      <c r="G197" s="6"/>
      <c r="H197" s="6">
        <v>6</v>
      </c>
      <c r="I197" s="6"/>
    </row>
    <row r="198" spans="1:9" x14ac:dyDescent="0.2">
      <c r="A198" s="8" t="s">
        <v>1</v>
      </c>
      <c r="B198" s="5"/>
      <c r="C198" s="74" t="s">
        <v>1238</v>
      </c>
      <c r="D198" s="6" t="s">
        <v>347</v>
      </c>
      <c r="E198" s="6" t="s">
        <v>441</v>
      </c>
      <c r="F198" s="6">
        <v>1</v>
      </c>
      <c r="G198" s="6"/>
      <c r="H198" s="6">
        <v>6</v>
      </c>
      <c r="I198" s="6"/>
    </row>
    <row r="199" spans="1:9" x14ac:dyDescent="0.2">
      <c r="A199" s="8" t="s">
        <v>2</v>
      </c>
      <c r="B199" s="5"/>
      <c r="C199" s="74" t="s">
        <v>1239</v>
      </c>
      <c r="D199" s="6" t="s">
        <v>347</v>
      </c>
      <c r="E199" s="6" t="s">
        <v>441</v>
      </c>
      <c r="F199" s="6">
        <v>1</v>
      </c>
      <c r="G199" s="6"/>
      <c r="H199" s="6">
        <v>6</v>
      </c>
      <c r="I199" s="6"/>
    </row>
    <row r="200" spans="1:9" x14ac:dyDescent="0.2">
      <c r="A200" s="8" t="s">
        <v>3</v>
      </c>
      <c r="B200" s="5"/>
      <c r="C200" s="74" t="s">
        <v>1240</v>
      </c>
      <c r="D200" s="6" t="s">
        <v>347</v>
      </c>
      <c r="E200" s="6" t="s">
        <v>441</v>
      </c>
      <c r="F200" s="6">
        <v>1</v>
      </c>
      <c r="G200" s="6"/>
      <c r="H200" s="6">
        <v>6</v>
      </c>
      <c r="I200" s="6"/>
    </row>
    <row r="201" spans="1:9" hidden="1" x14ac:dyDescent="0.2">
      <c r="A201" s="8" t="s">
        <v>4</v>
      </c>
      <c r="B201" s="5"/>
      <c r="C201" s="74"/>
      <c r="D201" s="6"/>
      <c r="E201" s="6"/>
      <c r="F201" s="6"/>
      <c r="G201" s="6"/>
      <c r="H201" s="6"/>
      <c r="I201" s="6"/>
    </row>
    <row r="202" spans="1:9" hidden="1" x14ac:dyDescent="0.2">
      <c r="A202" s="8" t="s">
        <v>5</v>
      </c>
      <c r="B202" s="5"/>
      <c r="C202" s="74"/>
      <c r="D202" s="6"/>
      <c r="E202" s="6"/>
      <c r="F202" s="6"/>
      <c r="G202" s="6"/>
      <c r="H202" s="6"/>
      <c r="I202" s="6"/>
    </row>
    <row r="203" spans="1:9" hidden="1" x14ac:dyDescent="0.2">
      <c r="A203" s="8" t="s">
        <v>6</v>
      </c>
      <c r="B203" s="5"/>
      <c r="C203" s="74"/>
      <c r="D203" s="6"/>
      <c r="E203" s="6"/>
      <c r="F203" s="6"/>
      <c r="G203" s="6"/>
      <c r="H203" s="6"/>
      <c r="I203" s="6"/>
    </row>
    <row r="204" spans="1:9" hidden="1" x14ac:dyDescent="0.2">
      <c r="A204" s="8" t="s">
        <v>7</v>
      </c>
      <c r="B204" s="5"/>
      <c r="C204" s="74"/>
      <c r="D204" s="6"/>
      <c r="E204" s="6"/>
      <c r="F204" s="6"/>
      <c r="G204" s="6"/>
      <c r="H204" s="6"/>
      <c r="I204" s="6"/>
    </row>
    <row r="205" spans="1:9" hidden="1" x14ac:dyDescent="0.2">
      <c r="A205" s="8" t="s">
        <v>8</v>
      </c>
      <c r="B205" s="5"/>
      <c r="C205" s="74"/>
      <c r="D205" s="6"/>
      <c r="E205" s="6"/>
      <c r="F205" s="6"/>
      <c r="G205" s="6"/>
      <c r="H205" s="6"/>
      <c r="I205" s="6"/>
    </row>
    <row r="206" spans="1:9" hidden="1" x14ac:dyDescent="0.2">
      <c r="A206" s="8" t="s">
        <v>9</v>
      </c>
      <c r="B206" s="5"/>
      <c r="C206" s="74"/>
      <c r="D206" s="6"/>
      <c r="E206" s="6"/>
      <c r="F206" s="6"/>
      <c r="G206" s="6"/>
      <c r="H206" s="6"/>
      <c r="I206" s="6"/>
    </row>
    <row r="207" spans="1:9" x14ac:dyDescent="0.2">
      <c r="A207" s="312" t="s">
        <v>10</v>
      </c>
      <c r="B207" s="313"/>
      <c r="C207" s="313"/>
      <c r="D207" s="313"/>
      <c r="E207" s="314"/>
      <c r="F207" s="11">
        <f>SUM(F197:F206)</f>
        <v>4</v>
      </c>
      <c r="G207" s="11">
        <f>SUM(G197:G206)</f>
        <v>0</v>
      </c>
      <c r="H207" s="11">
        <f>SUM(H197:H206)</f>
        <v>24</v>
      </c>
      <c r="I207" s="11"/>
    </row>
    <row r="208" spans="1:9" hidden="1" x14ac:dyDescent="0.2">
      <c r="A208" s="8" t="s">
        <v>0</v>
      </c>
      <c r="B208" s="5">
        <f>B197+1</f>
        <v>46124</v>
      </c>
      <c r="C208" s="75"/>
      <c r="D208" s="6"/>
      <c r="E208" s="6"/>
      <c r="F208" s="6"/>
      <c r="G208" s="6"/>
      <c r="H208" s="6"/>
      <c r="I208" s="6"/>
    </row>
    <row r="209" spans="1:9" hidden="1" x14ac:dyDescent="0.2">
      <c r="A209" s="8" t="s">
        <v>1</v>
      </c>
      <c r="B209" s="5"/>
      <c r="C209" s="75"/>
      <c r="D209" s="6"/>
      <c r="E209" s="6"/>
      <c r="F209" s="6"/>
      <c r="G209" s="6"/>
      <c r="H209" s="6"/>
      <c r="I209" s="6"/>
    </row>
    <row r="210" spans="1:9" hidden="1" x14ac:dyDescent="0.2">
      <c r="A210" s="8" t="s">
        <v>2</v>
      </c>
      <c r="B210" s="5"/>
      <c r="C210" s="75"/>
      <c r="D210" s="6"/>
      <c r="E210" s="6"/>
      <c r="F210" s="6"/>
      <c r="G210" s="6"/>
      <c r="H210" s="6"/>
      <c r="I210" s="6"/>
    </row>
    <row r="211" spans="1:9" hidden="1" x14ac:dyDescent="0.2">
      <c r="A211" s="8" t="s">
        <v>3</v>
      </c>
      <c r="B211" s="5"/>
      <c r="C211" s="75"/>
      <c r="D211" s="6"/>
      <c r="E211" s="6"/>
      <c r="F211" s="6"/>
      <c r="G211" s="6"/>
      <c r="H211" s="6"/>
      <c r="I211" s="6"/>
    </row>
    <row r="212" spans="1:9" hidden="1" x14ac:dyDescent="0.2">
      <c r="A212" s="8" t="s">
        <v>4</v>
      </c>
      <c r="B212" s="5"/>
      <c r="C212" s="75"/>
      <c r="D212" s="6"/>
      <c r="E212" s="6"/>
      <c r="F212" s="6"/>
      <c r="G212" s="6"/>
      <c r="H212" s="6"/>
      <c r="I212" s="6"/>
    </row>
    <row r="213" spans="1:9" hidden="1" x14ac:dyDescent="0.2">
      <c r="A213" s="8" t="s">
        <v>5</v>
      </c>
      <c r="B213" s="5"/>
      <c r="C213" s="75"/>
      <c r="D213" s="6"/>
      <c r="E213" s="6"/>
      <c r="F213" s="6"/>
      <c r="G213" s="6"/>
      <c r="H213" s="6"/>
      <c r="I213" s="6"/>
    </row>
    <row r="214" spans="1:9" hidden="1" x14ac:dyDescent="0.2">
      <c r="A214" s="8" t="s">
        <v>6</v>
      </c>
      <c r="B214" s="5"/>
      <c r="C214" s="75"/>
      <c r="D214" s="6"/>
      <c r="E214" s="6"/>
      <c r="F214" s="6"/>
      <c r="G214" s="6"/>
      <c r="H214" s="6"/>
      <c r="I214" s="6"/>
    </row>
    <row r="215" spans="1:9" hidden="1" x14ac:dyDescent="0.2">
      <c r="A215" s="8" t="s">
        <v>7</v>
      </c>
      <c r="B215" s="5"/>
      <c r="C215" s="74"/>
      <c r="D215" s="6"/>
      <c r="E215" s="6"/>
      <c r="F215" s="6"/>
      <c r="G215" s="6"/>
      <c r="H215" s="6"/>
      <c r="I215" s="6"/>
    </row>
    <row r="216" spans="1:9" hidden="1" x14ac:dyDescent="0.2">
      <c r="A216" s="8" t="s">
        <v>8</v>
      </c>
      <c r="B216" s="5"/>
      <c r="C216" s="74"/>
      <c r="D216" s="6"/>
      <c r="E216" s="6"/>
      <c r="F216" s="6"/>
      <c r="G216" s="6"/>
      <c r="H216" s="6"/>
      <c r="I216" s="6"/>
    </row>
    <row r="217" spans="1:9" hidden="1" x14ac:dyDescent="0.2">
      <c r="A217" s="8" t="s">
        <v>9</v>
      </c>
      <c r="B217" s="5"/>
      <c r="C217" s="74"/>
      <c r="D217" s="6"/>
      <c r="E217" s="6"/>
      <c r="F217" s="6"/>
      <c r="G217" s="6"/>
      <c r="H217" s="6"/>
      <c r="I217" s="6"/>
    </row>
    <row r="218" spans="1:9" hidden="1" x14ac:dyDescent="0.2">
      <c r="A218" s="312" t="s">
        <v>10</v>
      </c>
      <c r="B218" s="313"/>
      <c r="C218" s="313"/>
      <c r="D218" s="313"/>
      <c r="E218" s="314"/>
      <c r="F218" s="11">
        <f>SUM(F208:F217)</f>
        <v>0</v>
      </c>
      <c r="G218" s="11">
        <f>SUM(G208:G217)</f>
        <v>0</v>
      </c>
      <c r="H218" s="11">
        <f>SUM(H208:H217)</f>
        <v>0</v>
      </c>
      <c r="I218" s="11"/>
    </row>
    <row r="219" spans="1:9" hidden="1" x14ac:dyDescent="0.2">
      <c r="A219" s="8" t="s">
        <v>0</v>
      </c>
      <c r="B219" s="5">
        <f>B208+1</f>
        <v>46125</v>
      </c>
      <c r="C219" s="75"/>
      <c r="D219" s="6"/>
      <c r="E219" s="6"/>
      <c r="F219" s="6"/>
      <c r="G219" s="6"/>
      <c r="H219" s="6"/>
      <c r="I219" s="6"/>
    </row>
    <row r="220" spans="1:9" hidden="1" x14ac:dyDescent="0.2">
      <c r="A220" s="8" t="s">
        <v>1</v>
      </c>
      <c r="B220" s="5"/>
      <c r="C220" s="75"/>
      <c r="D220" s="6"/>
      <c r="E220" s="6"/>
      <c r="F220" s="6"/>
      <c r="G220" s="6"/>
      <c r="H220" s="6"/>
      <c r="I220" s="6"/>
    </row>
    <row r="221" spans="1:9" hidden="1" x14ac:dyDescent="0.2">
      <c r="A221" s="8" t="s">
        <v>2</v>
      </c>
      <c r="B221" s="5"/>
      <c r="C221" s="75"/>
      <c r="D221" s="6"/>
      <c r="E221" s="6"/>
      <c r="F221" s="6"/>
      <c r="G221" s="6"/>
      <c r="H221" s="6"/>
      <c r="I221" s="6"/>
    </row>
    <row r="222" spans="1:9" hidden="1" x14ac:dyDescent="0.2">
      <c r="A222" s="8" t="s">
        <v>3</v>
      </c>
      <c r="B222" s="5"/>
      <c r="C222" s="75"/>
      <c r="D222" s="6"/>
      <c r="E222" s="6"/>
      <c r="F222" s="6"/>
      <c r="G222" s="6"/>
      <c r="H222" s="6"/>
      <c r="I222" s="6"/>
    </row>
    <row r="223" spans="1:9" hidden="1" x14ac:dyDescent="0.2">
      <c r="A223" s="8" t="s">
        <v>4</v>
      </c>
      <c r="B223" s="5"/>
      <c r="C223" s="75"/>
      <c r="D223" s="6"/>
      <c r="E223" s="6"/>
      <c r="F223" s="6"/>
      <c r="G223" s="6"/>
      <c r="H223" s="6"/>
      <c r="I223" s="6"/>
    </row>
    <row r="224" spans="1:9" hidden="1" x14ac:dyDescent="0.2">
      <c r="A224" s="8" t="s">
        <v>5</v>
      </c>
      <c r="B224" s="5"/>
      <c r="C224" s="75"/>
      <c r="D224" s="6"/>
      <c r="E224" s="6"/>
      <c r="F224" s="6"/>
      <c r="G224" s="6"/>
      <c r="H224" s="6"/>
      <c r="I224" s="6"/>
    </row>
    <row r="225" spans="1:9" hidden="1" x14ac:dyDescent="0.2">
      <c r="A225" s="8" t="s">
        <v>6</v>
      </c>
      <c r="B225" s="5"/>
      <c r="C225" s="74"/>
      <c r="D225" s="6"/>
      <c r="E225" s="6"/>
      <c r="F225" s="6"/>
      <c r="G225" s="6"/>
      <c r="H225" s="6"/>
      <c r="I225" s="6"/>
    </row>
    <row r="226" spans="1:9" hidden="1" x14ac:dyDescent="0.2">
      <c r="A226" s="8" t="s">
        <v>7</v>
      </c>
      <c r="B226" s="5"/>
      <c r="C226" s="74"/>
      <c r="D226" s="6"/>
      <c r="E226" s="6"/>
      <c r="F226" s="6"/>
      <c r="G226" s="6"/>
      <c r="H226" s="6"/>
      <c r="I226" s="6"/>
    </row>
    <row r="227" spans="1:9" hidden="1" x14ac:dyDescent="0.2">
      <c r="A227" s="8" t="s">
        <v>8</v>
      </c>
      <c r="B227" s="5"/>
      <c r="C227" s="74"/>
      <c r="D227" s="6"/>
      <c r="E227" s="6"/>
      <c r="F227" s="6"/>
      <c r="G227" s="6"/>
      <c r="H227" s="6"/>
      <c r="I227" s="6"/>
    </row>
    <row r="228" spans="1:9" hidden="1" x14ac:dyDescent="0.2">
      <c r="A228" s="8" t="s">
        <v>9</v>
      </c>
      <c r="B228" s="5"/>
      <c r="C228" s="74"/>
      <c r="D228" s="6"/>
      <c r="E228" s="6"/>
      <c r="F228" s="6"/>
      <c r="G228" s="6"/>
      <c r="H228" s="6"/>
      <c r="I228" s="6"/>
    </row>
    <row r="229" spans="1:9" hidden="1" x14ac:dyDescent="0.2">
      <c r="A229" s="312" t="s">
        <v>10</v>
      </c>
      <c r="B229" s="313"/>
      <c r="C229" s="313"/>
      <c r="D229" s="313"/>
      <c r="E229" s="314"/>
      <c r="F229" s="11">
        <f>SUM(F219:F228)</f>
        <v>0</v>
      </c>
      <c r="G229" s="11">
        <f>SUM(G219:G228)</f>
        <v>0</v>
      </c>
      <c r="H229" s="11">
        <f>SUM(H219:H228)</f>
        <v>0</v>
      </c>
      <c r="I229" s="11"/>
    </row>
    <row r="230" spans="1:9" hidden="1" x14ac:dyDescent="0.2">
      <c r="A230" s="8" t="s">
        <v>0</v>
      </c>
      <c r="B230" s="5">
        <f>B219+1</f>
        <v>46126</v>
      </c>
      <c r="C230" s="75"/>
      <c r="D230" s="6"/>
      <c r="E230" s="6"/>
      <c r="F230" s="6"/>
      <c r="G230" s="6"/>
      <c r="H230" s="6"/>
      <c r="I230" s="6"/>
    </row>
    <row r="231" spans="1:9" hidden="1" x14ac:dyDescent="0.2">
      <c r="A231" s="8" t="s">
        <v>1</v>
      </c>
      <c r="B231" s="5"/>
      <c r="C231" s="75"/>
      <c r="D231" s="6"/>
      <c r="E231" s="6"/>
      <c r="F231" s="6"/>
      <c r="G231" s="6"/>
      <c r="H231" s="6"/>
      <c r="I231" s="6"/>
    </row>
    <row r="232" spans="1:9" hidden="1" x14ac:dyDescent="0.2">
      <c r="A232" s="8" t="s">
        <v>2</v>
      </c>
      <c r="B232" s="5"/>
      <c r="C232" s="75"/>
      <c r="D232" s="6"/>
      <c r="E232" s="6"/>
      <c r="F232" s="6"/>
      <c r="G232" s="6"/>
      <c r="H232" s="6"/>
      <c r="I232" s="6"/>
    </row>
    <row r="233" spans="1:9" hidden="1" x14ac:dyDescent="0.2">
      <c r="A233" s="8" t="s">
        <v>3</v>
      </c>
      <c r="B233" s="5"/>
      <c r="C233" s="75"/>
      <c r="D233" s="6"/>
      <c r="E233" s="6"/>
      <c r="F233" s="6"/>
      <c r="G233" s="6"/>
      <c r="H233" s="6"/>
      <c r="I233" s="6"/>
    </row>
    <row r="234" spans="1:9" hidden="1" x14ac:dyDescent="0.2">
      <c r="A234" s="8" t="s">
        <v>4</v>
      </c>
      <c r="B234" s="5"/>
      <c r="C234" s="75"/>
      <c r="D234" s="6"/>
      <c r="E234" s="6"/>
      <c r="F234" s="6"/>
      <c r="G234" s="6"/>
      <c r="H234" s="6"/>
      <c r="I234" s="6"/>
    </row>
    <row r="235" spans="1:9" hidden="1" x14ac:dyDescent="0.2">
      <c r="A235" s="8" t="s">
        <v>5</v>
      </c>
      <c r="B235" s="5"/>
      <c r="C235" s="75"/>
      <c r="D235" s="6"/>
      <c r="E235" s="6"/>
      <c r="F235" s="6"/>
      <c r="G235" s="6"/>
      <c r="H235" s="6"/>
      <c r="I235" s="6"/>
    </row>
    <row r="236" spans="1:9" hidden="1" x14ac:dyDescent="0.2">
      <c r="A236" s="8" t="s">
        <v>6</v>
      </c>
      <c r="B236" s="5"/>
      <c r="C236" s="75"/>
      <c r="D236" s="6"/>
      <c r="E236" s="6"/>
      <c r="F236" s="6"/>
      <c r="G236" s="6"/>
      <c r="H236" s="6"/>
      <c r="I236" s="6"/>
    </row>
    <row r="237" spans="1:9" hidden="1" x14ac:dyDescent="0.2">
      <c r="A237" s="8" t="s">
        <v>7</v>
      </c>
      <c r="B237" s="5"/>
      <c r="C237" s="75"/>
      <c r="D237" s="6"/>
      <c r="E237" s="6"/>
      <c r="F237" s="6"/>
      <c r="G237" s="6"/>
      <c r="H237" s="6"/>
      <c r="I237" s="6"/>
    </row>
    <row r="238" spans="1:9" hidden="1" x14ac:dyDescent="0.2">
      <c r="A238" s="8" t="s">
        <v>8</v>
      </c>
      <c r="B238" s="5"/>
      <c r="C238" s="75"/>
      <c r="D238" s="6"/>
      <c r="E238" s="6"/>
      <c r="F238" s="6"/>
      <c r="G238" s="6"/>
      <c r="H238" s="6"/>
      <c r="I238" s="6"/>
    </row>
    <row r="239" spans="1:9" hidden="1" x14ac:dyDescent="0.2">
      <c r="A239" s="8" t="s">
        <v>9</v>
      </c>
      <c r="B239" s="5"/>
      <c r="C239" s="75"/>
      <c r="D239" s="6"/>
      <c r="E239" s="6"/>
      <c r="F239" s="6"/>
      <c r="G239" s="6"/>
      <c r="H239" s="6"/>
      <c r="I239" s="6"/>
    </row>
    <row r="240" spans="1:9" hidden="1" x14ac:dyDescent="0.2">
      <c r="A240" s="312" t="s">
        <v>10</v>
      </c>
      <c r="B240" s="313"/>
      <c r="C240" s="313"/>
      <c r="D240" s="313"/>
      <c r="E240" s="314"/>
      <c r="F240" s="11">
        <f>SUM(F230:F239)</f>
        <v>0</v>
      </c>
      <c r="G240" s="11">
        <f>SUM(G230:G239)</f>
        <v>0</v>
      </c>
      <c r="H240" s="11">
        <f>SUM(H230:H239)</f>
        <v>0</v>
      </c>
      <c r="I240" s="11"/>
    </row>
    <row r="241" spans="1:9" hidden="1" x14ac:dyDescent="0.2">
      <c r="A241" s="8" t="s">
        <v>0</v>
      </c>
      <c r="B241" s="5">
        <f>B230+1</f>
        <v>46127</v>
      </c>
      <c r="C241" s="75"/>
      <c r="D241" s="6"/>
      <c r="E241" s="6"/>
      <c r="F241" s="6"/>
      <c r="G241" s="6"/>
      <c r="H241" s="6"/>
      <c r="I241" s="6"/>
    </row>
    <row r="242" spans="1:9" hidden="1" x14ac:dyDescent="0.2">
      <c r="A242" s="8" t="s">
        <v>1</v>
      </c>
      <c r="B242" s="5"/>
      <c r="C242" s="75"/>
      <c r="D242" s="6"/>
      <c r="E242" s="6"/>
      <c r="F242" s="6"/>
      <c r="G242" s="6"/>
      <c r="H242" s="6"/>
      <c r="I242" s="6"/>
    </row>
    <row r="243" spans="1:9" hidden="1" x14ac:dyDescent="0.2">
      <c r="A243" s="8" t="s">
        <v>2</v>
      </c>
      <c r="B243" s="5"/>
      <c r="C243" s="75"/>
      <c r="D243" s="6"/>
      <c r="E243" s="6"/>
      <c r="F243" s="6"/>
      <c r="G243" s="6"/>
      <c r="H243" s="6"/>
      <c r="I243" s="6"/>
    </row>
    <row r="244" spans="1:9" hidden="1" x14ac:dyDescent="0.2">
      <c r="A244" s="8" t="s">
        <v>3</v>
      </c>
      <c r="B244" s="5"/>
      <c r="C244" s="75"/>
      <c r="D244" s="6"/>
      <c r="E244" s="6"/>
      <c r="F244" s="6"/>
      <c r="G244" s="6"/>
      <c r="H244" s="6"/>
      <c r="I244" s="6"/>
    </row>
    <row r="245" spans="1:9" hidden="1" x14ac:dyDescent="0.2">
      <c r="A245" s="8" t="s">
        <v>4</v>
      </c>
      <c r="B245" s="5"/>
      <c r="C245" s="75"/>
      <c r="D245" s="6"/>
      <c r="E245" s="6"/>
      <c r="F245" s="6"/>
      <c r="G245" s="6"/>
      <c r="H245" s="6"/>
      <c r="I245" s="6"/>
    </row>
    <row r="246" spans="1:9" hidden="1" x14ac:dyDescent="0.2">
      <c r="A246" s="8" t="s">
        <v>5</v>
      </c>
      <c r="B246" s="5"/>
      <c r="C246" s="75"/>
      <c r="D246" s="6"/>
      <c r="E246" s="6"/>
      <c r="F246" s="6"/>
      <c r="G246" s="6"/>
      <c r="H246" s="6"/>
      <c r="I246" s="6"/>
    </row>
    <row r="247" spans="1:9" hidden="1" x14ac:dyDescent="0.2">
      <c r="A247" s="8" t="s">
        <v>6</v>
      </c>
      <c r="B247" s="5"/>
      <c r="C247" s="74"/>
      <c r="D247" s="6"/>
      <c r="E247" s="6"/>
      <c r="F247" s="6"/>
      <c r="G247" s="6"/>
      <c r="H247" s="6"/>
      <c r="I247" s="6"/>
    </row>
    <row r="248" spans="1:9" hidden="1" x14ac:dyDescent="0.2">
      <c r="A248" s="8" t="s">
        <v>7</v>
      </c>
      <c r="B248" s="5"/>
      <c r="C248" s="74"/>
      <c r="D248" s="6"/>
      <c r="E248" s="6"/>
      <c r="F248" s="6"/>
      <c r="G248" s="6"/>
      <c r="H248" s="6"/>
      <c r="I248" s="6"/>
    </row>
    <row r="249" spans="1:9" hidden="1" x14ac:dyDescent="0.2">
      <c r="A249" s="8" t="s">
        <v>8</v>
      </c>
      <c r="B249" s="5"/>
      <c r="C249" s="74"/>
      <c r="D249" s="6"/>
      <c r="E249" s="6"/>
      <c r="F249" s="6"/>
      <c r="G249" s="6"/>
      <c r="H249" s="6"/>
      <c r="I249" s="6"/>
    </row>
    <row r="250" spans="1:9" hidden="1" x14ac:dyDescent="0.2">
      <c r="A250" s="8" t="s">
        <v>9</v>
      </c>
      <c r="B250" s="5"/>
      <c r="C250" s="74"/>
      <c r="D250" s="6"/>
      <c r="E250" s="6"/>
      <c r="F250" s="6"/>
      <c r="G250" s="6"/>
      <c r="H250" s="6"/>
      <c r="I250" s="6"/>
    </row>
    <row r="251" spans="1:9" hidden="1" x14ac:dyDescent="0.2">
      <c r="A251" s="312" t="s">
        <v>10</v>
      </c>
      <c r="B251" s="313"/>
      <c r="C251" s="313"/>
      <c r="D251" s="313"/>
      <c r="E251" s="314"/>
      <c r="F251" s="11">
        <f>SUM(F241:F250)</f>
        <v>0</v>
      </c>
      <c r="G251" s="11">
        <f>SUM(G241:G250)</f>
        <v>0</v>
      </c>
      <c r="H251" s="11">
        <f>SUM(H241:H250)</f>
        <v>0</v>
      </c>
      <c r="I251" s="11"/>
    </row>
    <row r="252" spans="1:9" s="25" customFormat="1" ht="18" x14ac:dyDescent="0.2">
      <c r="A252" s="315" t="s">
        <v>39</v>
      </c>
      <c r="B252" s="316"/>
      <c r="C252" s="316"/>
      <c r="D252" s="316"/>
      <c r="E252" s="317"/>
      <c r="F252" s="22">
        <f>F185+F196+F207+F218+F229+F240+F251+F168</f>
        <v>75</v>
      </c>
      <c r="G252" s="22">
        <f>G185+G196+G207+G218+G229+G240+G251+G168</f>
        <v>15</v>
      </c>
      <c r="H252" s="22">
        <f>H185+H196+H207+H218+H229+H240+H251+H168</f>
        <v>488.25</v>
      </c>
      <c r="I252" s="22"/>
    </row>
    <row r="253" spans="1:9" ht="21.95" customHeight="1" x14ac:dyDescent="0.2">
      <c r="A253" s="319" t="s">
        <v>14</v>
      </c>
      <c r="B253" s="319"/>
      <c r="C253" s="319"/>
      <c r="D253" s="319"/>
      <c r="E253" s="319"/>
      <c r="F253" s="319"/>
      <c r="G253" s="319"/>
      <c r="H253" s="319"/>
      <c r="I253" s="319"/>
    </row>
    <row r="254" spans="1:9" s="53" customFormat="1" ht="20.100000000000001" customHeight="1" x14ac:dyDescent="0.2">
      <c r="A254" s="323" t="s">
        <v>86</v>
      </c>
      <c r="B254" s="323"/>
      <c r="C254" s="323"/>
      <c r="D254" s="323"/>
      <c r="E254" s="323"/>
      <c r="F254" s="50" t="str">
        <f>F170</f>
        <v>เมษายน</v>
      </c>
      <c r="G254" s="50" t="s">
        <v>87</v>
      </c>
      <c r="H254" s="51">
        <f>H170</f>
        <v>2569</v>
      </c>
      <c r="I254" s="52"/>
    </row>
    <row r="255" spans="1:9" s="3" customFormat="1" ht="20.100000000000001" customHeight="1" x14ac:dyDescent="0.35">
      <c r="A255" s="318" t="s">
        <v>33</v>
      </c>
      <c r="B255" s="318"/>
      <c r="C255" s="318"/>
      <c r="D255" s="2"/>
      <c r="F255" s="4"/>
      <c r="G255" s="4"/>
      <c r="H255" s="4" t="s">
        <v>21</v>
      </c>
      <c r="I255" s="40">
        <f>I171+1</f>
        <v>4</v>
      </c>
    </row>
    <row r="256" spans="1:9" s="3" customFormat="1" ht="20.100000000000001" customHeight="1" x14ac:dyDescent="0.35">
      <c r="A256" s="311" t="s">
        <v>62</v>
      </c>
      <c r="B256" s="311"/>
      <c r="C256" s="311"/>
      <c r="D256" s="2"/>
      <c r="E256" s="39" t="s">
        <v>81</v>
      </c>
      <c r="F256" s="308">
        <f>F172</f>
        <v>46107</v>
      </c>
      <c r="G256" s="308"/>
      <c r="H256" s="39" t="s">
        <v>82</v>
      </c>
      <c r="I256" s="34">
        <f>I172</f>
        <v>46136</v>
      </c>
    </row>
    <row r="257" spans="1:9" x14ac:dyDescent="0.2">
      <c r="A257" s="12" t="s">
        <v>23</v>
      </c>
      <c r="B257" s="13" t="s">
        <v>11</v>
      </c>
      <c r="C257" s="72" t="s">
        <v>26</v>
      </c>
      <c r="D257" s="12" t="s">
        <v>16</v>
      </c>
      <c r="E257" s="12" t="s">
        <v>17</v>
      </c>
      <c r="F257" s="310" t="s">
        <v>46</v>
      </c>
      <c r="G257" s="310"/>
      <c r="H257" s="310"/>
      <c r="I257" s="12" t="s">
        <v>19</v>
      </c>
    </row>
    <row r="258" spans="1:9" x14ac:dyDescent="0.2">
      <c r="A258" s="15"/>
      <c r="B258" s="16"/>
      <c r="C258" s="73"/>
      <c r="D258" s="15"/>
      <c r="E258" s="15"/>
      <c r="F258" s="21" t="s">
        <v>113</v>
      </c>
      <c r="G258" s="21" t="s">
        <v>114</v>
      </c>
      <c r="H258" s="21" t="s">
        <v>20</v>
      </c>
      <c r="I258" s="15"/>
    </row>
    <row r="259" spans="1:9" hidden="1" x14ac:dyDescent="0.2">
      <c r="A259" s="8" t="s">
        <v>0</v>
      </c>
      <c r="B259" s="5">
        <f>B241+1</f>
        <v>46128</v>
      </c>
      <c r="C259" s="74"/>
      <c r="D259" s="6"/>
      <c r="E259" s="6"/>
      <c r="F259" s="6"/>
      <c r="G259" s="6"/>
      <c r="H259" s="6"/>
      <c r="I259" s="6"/>
    </row>
    <row r="260" spans="1:9" hidden="1" x14ac:dyDescent="0.2">
      <c r="A260" s="8" t="s">
        <v>1</v>
      </c>
      <c r="B260" s="5"/>
      <c r="C260" s="74"/>
      <c r="D260" s="6"/>
      <c r="E260" s="6"/>
      <c r="F260" s="6"/>
      <c r="G260" s="6"/>
      <c r="H260" s="6"/>
      <c r="I260" s="6"/>
    </row>
    <row r="261" spans="1:9" hidden="1" x14ac:dyDescent="0.2">
      <c r="A261" s="8" t="s">
        <v>2</v>
      </c>
      <c r="B261" s="5"/>
      <c r="C261" s="74"/>
      <c r="D261" s="6"/>
      <c r="E261" s="6"/>
      <c r="F261" s="6"/>
      <c r="G261" s="6"/>
      <c r="H261" s="6"/>
      <c r="I261" s="6"/>
    </row>
    <row r="262" spans="1:9" hidden="1" x14ac:dyDescent="0.2">
      <c r="A262" s="8" t="s">
        <v>3</v>
      </c>
      <c r="B262" s="5"/>
      <c r="C262" s="74"/>
      <c r="D262" s="6"/>
      <c r="E262" s="6"/>
      <c r="F262" s="6"/>
      <c r="G262" s="6"/>
      <c r="H262" s="6"/>
      <c r="I262" s="6"/>
    </row>
    <row r="263" spans="1:9" hidden="1" x14ac:dyDescent="0.2">
      <c r="A263" s="8" t="s">
        <v>4</v>
      </c>
      <c r="B263" s="5"/>
      <c r="C263" s="74"/>
      <c r="D263" s="6"/>
      <c r="E263" s="6"/>
      <c r="F263" s="6"/>
      <c r="G263" s="6"/>
      <c r="H263" s="6"/>
      <c r="I263" s="6"/>
    </row>
    <row r="264" spans="1:9" hidden="1" x14ac:dyDescent="0.2">
      <c r="A264" s="8" t="s">
        <v>5</v>
      </c>
      <c r="B264" s="5"/>
      <c r="C264" s="74"/>
      <c r="D264" s="6"/>
      <c r="E264" s="6"/>
      <c r="F264" s="6"/>
      <c r="G264" s="6"/>
      <c r="H264" s="6"/>
      <c r="I264" s="6"/>
    </row>
    <row r="265" spans="1:9" hidden="1" x14ac:dyDescent="0.2">
      <c r="A265" s="8" t="s">
        <v>6</v>
      </c>
      <c r="B265" s="5"/>
      <c r="C265" s="74"/>
      <c r="D265" s="6"/>
      <c r="E265" s="6"/>
      <c r="F265" s="6"/>
      <c r="G265" s="6"/>
      <c r="H265" s="6"/>
      <c r="I265" s="6"/>
    </row>
    <row r="266" spans="1:9" hidden="1" x14ac:dyDescent="0.2">
      <c r="A266" s="8" t="s">
        <v>7</v>
      </c>
      <c r="B266" s="5"/>
      <c r="C266" s="74"/>
      <c r="D266" s="6"/>
      <c r="E266" s="6"/>
      <c r="F266" s="6"/>
      <c r="G266" s="6"/>
      <c r="H266" s="6"/>
      <c r="I266" s="6"/>
    </row>
    <row r="267" spans="1:9" hidden="1" x14ac:dyDescent="0.2">
      <c r="A267" s="8" t="s">
        <v>8</v>
      </c>
      <c r="B267" s="5"/>
      <c r="C267" s="74"/>
      <c r="D267" s="6"/>
      <c r="E267" s="6"/>
      <c r="F267" s="6"/>
      <c r="G267" s="6"/>
      <c r="H267" s="6"/>
      <c r="I267" s="6"/>
    </row>
    <row r="268" spans="1:9" hidden="1" x14ac:dyDescent="0.2">
      <c r="A268" s="8" t="s">
        <v>9</v>
      </c>
      <c r="B268" s="5"/>
      <c r="C268" s="74"/>
      <c r="D268" s="6"/>
      <c r="E268" s="6"/>
      <c r="F268" s="6"/>
      <c r="G268" s="6"/>
      <c r="H268" s="6"/>
      <c r="I268" s="6"/>
    </row>
    <row r="269" spans="1:9" hidden="1" x14ac:dyDescent="0.2">
      <c r="A269" s="312" t="s">
        <v>10</v>
      </c>
      <c r="B269" s="313"/>
      <c r="C269" s="313"/>
      <c r="D269" s="313"/>
      <c r="E269" s="314"/>
      <c r="F269" s="11">
        <f>SUM(F259:F268)</f>
        <v>0</v>
      </c>
      <c r="G269" s="11">
        <f>SUM(G259:G268)</f>
        <v>0</v>
      </c>
      <c r="H269" s="11">
        <f>SUM(H259:H268)</f>
        <v>0</v>
      </c>
      <c r="I269" s="11"/>
    </row>
    <row r="270" spans="1:9" hidden="1" x14ac:dyDescent="0.2">
      <c r="A270" s="8" t="s">
        <v>0</v>
      </c>
      <c r="B270" s="5">
        <f>B259+1</f>
        <v>46129</v>
      </c>
      <c r="C270" s="74"/>
      <c r="D270" s="6"/>
      <c r="E270" s="6"/>
      <c r="F270" s="6"/>
      <c r="G270" s="6"/>
      <c r="H270" s="6"/>
      <c r="I270" s="6"/>
    </row>
    <row r="271" spans="1:9" hidden="1" x14ac:dyDescent="0.2">
      <c r="A271" s="8" t="s">
        <v>1</v>
      </c>
      <c r="B271" s="5"/>
      <c r="C271" s="74"/>
      <c r="D271" s="6"/>
      <c r="E271" s="6"/>
      <c r="F271" s="6"/>
      <c r="G271" s="6"/>
      <c r="H271" s="6"/>
      <c r="I271" s="6"/>
    </row>
    <row r="272" spans="1:9" hidden="1" x14ac:dyDescent="0.2">
      <c r="A272" s="8" t="s">
        <v>2</v>
      </c>
      <c r="B272" s="5"/>
      <c r="C272" s="74"/>
      <c r="D272" s="6"/>
      <c r="E272" s="6"/>
      <c r="F272" s="6"/>
      <c r="G272" s="6"/>
      <c r="H272" s="6"/>
      <c r="I272" s="6"/>
    </row>
    <row r="273" spans="1:9" hidden="1" x14ac:dyDescent="0.2">
      <c r="A273" s="8" t="s">
        <v>3</v>
      </c>
      <c r="B273" s="5"/>
      <c r="C273" s="74"/>
      <c r="D273" s="6"/>
      <c r="E273" s="6"/>
      <c r="F273" s="6"/>
      <c r="G273" s="6"/>
      <c r="H273" s="6"/>
      <c r="I273" s="6"/>
    </row>
    <row r="274" spans="1:9" hidden="1" x14ac:dyDescent="0.2">
      <c r="A274" s="8" t="s">
        <v>4</v>
      </c>
      <c r="B274" s="5"/>
      <c r="C274" s="74"/>
      <c r="D274" s="6"/>
      <c r="E274" s="6"/>
      <c r="F274" s="6"/>
      <c r="G274" s="6"/>
      <c r="H274" s="6"/>
      <c r="I274" s="6"/>
    </row>
    <row r="275" spans="1:9" hidden="1" x14ac:dyDescent="0.2">
      <c r="A275" s="8" t="s">
        <v>5</v>
      </c>
      <c r="B275" s="5"/>
      <c r="C275" s="74"/>
      <c r="D275" s="6"/>
      <c r="E275" s="6"/>
      <c r="F275" s="6"/>
      <c r="G275" s="6"/>
      <c r="H275" s="6"/>
      <c r="I275" s="6"/>
    </row>
    <row r="276" spans="1:9" hidden="1" x14ac:dyDescent="0.2">
      <c r="A276" s="8" t="s">
        <v>6</v>
      </c>
      <c r="B276" s="5"/>
      <c r="C276" s="74"/>
      <c r="D276" s="6"/>
      <c r="E276" s="6"/>
      <c r="F276" s="6"/>
      <c r="G276" s="6"/>
      <c r="H276" s="6"/>
      <c r="I276" s="6"/>
    </row>
    <row r="277" spans="1:9" hidden="1" x14ac:dyDescent="0.2">
      <c r="A277" s="8" t="s">
        <v>7</v>
      </c>
      <c r="B277" s="5"/>
      <c r="C277" s="74"/>
      <c r="D277" s="6"/>
      <c r="E277" s="6"/>
      <c r="F277" s="6"/>
      <c r="G277" s="6"/>
      <c r="H277" s="6"/>
      <c r="I277" s="6"/>
    </row>
    <row r="278" spans="1:9" hidden="1" x14ac:dyDescent="0.2">
      <c r="A278" s="8" t="s">
        <v>8</v>
      </c>
      <c r="B278" s="5"/>
      <c r="C278" s="74"/>
      <c r="D278" s="6"/>
      <c r="E278" s="6"/>
      <c r="F278" s="6"/>
      <c r="G278" s="6"/>
      <c r="H278" s="6"/>
      <c r="I278" s="6"/>
    </row>
    <row r="279" spans="1:9" hidden="1" x14ac:dyDescent="0.2">
      <c r="A279" s="8" t="s">
        <v>9</v>
      </c>
      <c r="B279" s="5"/>
      <c r="C279" s="74"/>
      <c r="D279" s="6"/>
      <c r="E279" s="6"/>
      <c r="F279" s="6"/>
      <c r="G279" s="6"/>
      <c r="H279" s="6"/>
      <c r="I279" s="6"/>
    </row>
    <row r="280" spans="1:9" hidden="1" x14ac:dyDescent="0.2">
      <c r="A280" s="312" t="s">
        <v>10</v>
      </c>
      <c r="B280" s="313"/>
      <c r="C280" s="313"/>
      <c r="D280" s="313"/>
      <c r="E280" s="314"/>
      <c r="F280" s="11">
        <f>SUM(F270:F279)</f>
        <v>0</v>
      </c>
      <c r="G280" s="11">
        <f>SUM(G270:G279)</f>
        <v>0</v>
      </c>
      <c r="H280" s="11">
        <f>SUM(H270:H279)</f>
        <v>0</v>
      </c>
      <c r="I280" s="11"/>
    </row>
    <row r="281" spans="1:9" x14ac:dyDescent="0.2">
      <c r="A281" s="8" t="s">
        <v>0</v>
      </c>
      <c r="B281" s="5">
        <f>B270+1</f>
        <v>46130</v>
      </c>
      <c r="C281" s="74" t="s">
        <v>1274</v>
      </c>
      <c r="D281" s="6" t="s">
        <v>188</v>
      </c>
      <c r="E281" s="6" t="s">
        <v>190</v>
      </c>
      <c r="F281" s="6">
        <v>1</v>
      </c>
      <c r="G281" s="6"/>
      <c r="H281" s="6">
        <v>4</v>
      </c>
      <c r="I281" s="6"/>
    </row>
    <row r="282" spans="1:9" hidden="1" x14ac:dyDescent="0.2">
      <c r="A282" s="8" t="s">
        <v>1</v>
      </c>
      <c r="B282" s="5"/>
      <c r="C282" s="74"/>
      <c r="D282" s="6"/>
      <c r="E282" s="6"/>
      <c r="F282" s="6"/>
      <c r="G282" s="6"/>
      <c r="H282" s="6"/>
      <c r="I282" s="6"/>
    </row>
    <row r="283" spans="1:9" hidden="1" x14ac:dyDescent="0.2">
      <c r="A283" s="8" t="s">
        <v>2</v>
      </c>
      <c r="B283" s="5"/>
      <c r="C283" s="74"/>
      <c r="D283" s="6"/>
      <c r="E283" s="6"/>
      <c r="F283" s="6"/>
      <c r="G283" s="6"/>
      <c r="H283" s="6"/>
      <c r="I283" s="6"/>
    </row>
    <row r="284" spans="1:9" hidden="1" x14ac:dyDescent="0.2">
      <c r="A284" s="8" t="s">
        <v>3</v>
      </c>
      <c r="B284" s="5"/>
      <c r="C284" s="74"/>
      <c r="D284" s="6"/>
      <c r="E284" s="6"/>
      <c r="F284" s="6"/>
      <c r="G284" s="6"/>
      <c r="H284" s="6"/>
      <c r="I284" s="6"/>
    </row>
    <row r="285" spans="1:9" hidden="1" x14ac:dyDescent="0.2">
      <c r="A285" s="8" t="s">
        <v>4</v>
      </c>
      <c r="B285" s="5"/>
      <c r="C285" s="74"/>
      <c r="D285" s="6"/>
      <c r="E285" s="6"/>
      <c r="F285" s="6"/>
      <c r="G285" s="6"/>
      <c r="H285" s="6"/>
      <c r="I285" s="6"/>
    </row>
    <row r="286" spans="1:9" hidden="1" x14ac:dyDescent="0.2">
      <c r="A286" s="8" t="s">
        <v>5</v>
      </c>
      <c r="B286" s="5"/>
      <c r="C286" s="74"/>
      <c r="D286" s="6"/>
      <c r="E286" s="6"/>
      <c r="F286" s="6"/>
      <c r="G286" s="6"/>
      <c r="H286" s="6"/>
      <c r="I286" s="6"/>
    </row>
    <row r="287" spans="1:9" hidden="1" x14ac:dyDescent="0.2">
      <c r="A287" s="8" t="s">
        <v>6</v>
      </c>
      <c r="B287" s="5"/>
      <c r="C287" s="74"/>
      <c r="D287" s="6"/>
      <c r="E287" s="6"/>
      <c r="F287" s="6"/>
      <c r="G287" s="6"/>
      <c r="H287" s="6"/>
      <c r="I287" s="6"/>
    </row>
    <row r="288" spans="1:9" hidden="1" x14ac:dyDescent="0.2">
      <c r="A288" s="8" t="s">
        <v>7</v>
      </c>
      <c r="B288" s="5"/>
      <c r="C288" s="74"/>
      <c r="D288" s="6"/>
      <c r="E288" s="6"/>
      <c r="F288" s="6"/>
      <c r="G288" s="6"/>
      <c r="H288" s="6"/>
      <c r="I288" s="6"/>
    </row>
    <row r="289" spans="1:9" hidden="1" x14ac:dyDescent="0.2">
      <c r="A289" s="8" t="s">
        <v>8</v>
      </c>
      <c r="B289" s="5"/>
      <c r="C289" s="74"/>
      <c r="D289" s="6"/>
      <c r="E289" s="6"/>
      <c r="F289" s="6"/>
      <c r="G289" s="6"/>
      <c r="H289" s="6"/>
      <c r="I289" s="6"/>
    </row>
    <row r="290" spans="1:9" hidden="1" x14ac:dyDescent="0.2">
      <c r="A290" s="8" t="s">
        <v>9</v>
      </c>
      <c r="B290" s="5"/>
      <c r="C290" s="74"/>
      <c r="D290" s="6"/>
      <c r="E290" s="6"/>
      <c r="F290" s="6"/>
      <c r="G290" s="6"/>
      <c r="H290" s="6"/>
      <c r="I290" s="6"/>
    </row>
    <row r="291" spans="1:9" x14ac:dyDescent="0.2">
      <c r="A291" s="312" t="s">
        <v>10</v>
      </c>
      <c r="B291" s="313"/>
      <c r="C291" s="313"/>
      <c r="D291" s="313"/>
      <c r="E291" s="314"/>
      <c r="F291" s="11">
        <f>SUM(F281:F290)</f>
        <v>1</v>
      </c>
      <c r="G291" s="11">
        <f>SUM(G281:G290)</f>
        <v>0</v>
      </c>
      <c r="H291" s="11">
        <f>SUM(H281:H290)</f>
        <v>4</v>
      </c>
      <c r="I291" s="11"/>
    </row>
    <row r="292" spans="1:9" x14ac:dyDescent="0.2">
      <c r="A292" s="8" t="s">
        <v>0</v>
      </c>
      <c r="B292" s="5">
        <f>B281+1</f>
        <v>46131</v>
      </c>
      <c r="C292" s="75" t="s">
        <v>1276</v>
      </c>
      <c r="D292" s="6" t="s">
        <v>253</v>
      </c>
      <c r="E292" s="6" t="s">
        <v>165</v>
      </c>
      <c r="F292" s="6">
        <v>1</v>
      </c>
      <c r="G292" s="6"/>
      <c r="H292" s="6">
        <v>1</v>
      </c>
      <c r="I292" s="6"/>
    </row>
    <row r="293" spans="1:9" hidden="1" x14ac:dyDescent="0.2">
      <c r="A293" s="8" t="s">
        <v>1</v>
      </c>
      <c r="B293" s="5"/>
      <c r="C293" s="75"/>
      <c r="D293" s="6"/>
      <c r="E293" s="6"/>
      <c r="F293" s="6"/>
      <c r="G293" s="6"/>
      <c r="H293" s="6"/>
      <c r="I293" s="6"/>
    </row>
    <row r="294" spans="1:9" hidden="1" x14ac:dyDescent="0.2">
      <c r="A294" s="8" t="s">
        <v>2</v>
      </c>
      <c r="B294" s="5"/>
      <c r="C294" s="75"/>
      <c r="D294" s="6"/>
      <c r="E294" s="6"/>
      <c r="F294" s="6"/>
      <c r="G294" s="6"/>
      <c r="H294" s="6"/>
      <c r="I294" s="6"/>
    </row>
    <row r="295" spans="1:9" hidden="1" x14ac:dyDescent="0.2">
      <c r="A295" s="8" t="s">
        <v>3</v>
      </c>
      <c r="B295" s="5"/>
      <c r="C295" s="75"/>
      <c r="D295" s="6"/>
      <c r="E295" s="6"/>
      <c r="F295" s="6"/>
      <c r="G295" s="6"/>
      <c r="H295" s="6"/>
      <c r="I295" s="6"/>
    </row>
    <row r="296" spans="1:9" hidden="1" x14ac:dyDescent="0.2">
      <c r="A296" s="8" t="s">
        <v>4</v>
      </c>
      <c r="B296" s="5"/>
      <c r="C296" s="75"/>
      <c r="D296" s="6"/>
      <c r="E296" s="6"/>
      <c r="F296" s="6"/>
      <c r="G296" s="6"/>
      <c r="H296" s="6"/>
      <c r="I296" s="6"/>
    </row>
    <row r="297" spans="1:9" hidden="1" x14ac:dyDescent="0.2">
      <c r="A297" s="8" t="s">
        <v>5</v>
      </c>
      <c r="B297" s="5"/>
      <c r="C297" s="75"/>
      <c r="D297" s="6"/>
      <c r="E297" s="6"/>
      <c r="F297" s="6"/>
      <c r="G297" s="6"/>
      <c r="H297" s="6"/>
      <c r="I297" s="6"/>
    </row>
    <row r="298" spans="1:9" hidden="1" x14ac:dyDescent="0.2">
      <c r="A298" s="8" t="s">
        <v>6</v>
      </c>
      <c r="B298" s="5"/>
      <c r="C298" s="75"/>
      <c r="D298" s="6"/>
      <c r="E298" s="6"/>
      <c r="F298" s="6"/>
      <c r="G298" s="6"/>
      <c r="H298" s="6"/>
      <c r="I298" s="6"/>
    </row>
    <row r="299" spans="1:9" hidden="1" x14ac:dyDescent="0.2">
      <c r="A299" s="8" t="s">
        <v>7</v>
      </c>
      <c r="B299" s="5"/>
      <c r="C299" s="74"/>
      <c r="D299" s="6"/>
      <c r="E299" s="6"/>
      <c r="F299" s="6"/>
      <c r="G299" s="6"/>
      <c r="H299" s="6"/>
      <c r="I299" s="6"/>
    </row>
    <row r="300" spans="1:9" hidden="1" x14ac:dyDescent="0.2">
      <c r="A300" s="8" t="s">
        <v>8</v>
      </c>
      <c r="B300" s="5"/>
      <c r="C300" s="74"/>
      <c r="D300" s="6"/>
      <c r="E300" s="6"/>
      <c r="F300" s="6"/>
      <c r="G300" s="6"/>
      <c r="H300" s="6"/>
      <c r="I300" s="6"/>
    </row>
    <row r="301" spans="1:9" hidden="1" x14ac:dyDescent="0.2">
      <c r="A301" s="8" t="s">
        <v>9</v>
      </c>
      <c r="B301" s="5"/>
      <c r="C301" s="74"/>
      <c r="D301" s="6"/>
      <c r="E301" s="6"/>
      <c r="F301" s="6"/>
      <c r="G301" s="6"/>
      <c r="H301" s="6"/>
      <c r="I301" s="6"/>
    </row>
    <row r="302" spans="1:9" x14ac:dyDescent="0.2">
      <c r="A302" s="312" t="s">
        <v>10</v>
      </c>
      <c r="B302" s="313"/>
      <c r="C302" s="313"/>
      <c r="D302" s="313"/>
      <c r="E302" s="314"/>
      <c r="F302" s="11">
        <f>SUM(F292:F301)</f>
        <v>1</v>
      </c>
      <c r="G302" s="11">
        <f>SUM(G292:G301)</f>
        <v>0</v>
      </c>
      <c r="H302" s="11">
        <f>SUM(H292:H301)</f>
        <v>1</v>
      </c>
      <c r="I302" s="11"/>
    </row>
    <row r="303" spans="1:9" x14ac:dyDescent="0.2">
      <c r="A303" s="8" t="s">
        <v>0</v>
      </c>
      <c r="B303" s="5">
        <f>B292+1</f>
        <v>46132</v>
      </c>
      <c r="C303" s="75" t="s">
        <v>1298</v>
      </c>
      <c r="D303" s="6" t="s">
        <v>170</v>
      </c>
      <c r="E303" s="6" t="s">
        <v>165</v>
      </c>
      <c r="F303" s="6">
        <v>1</v>
      </c>
      <c r="G303" s="6"/>
      <c r="H303" s="6">
        <v>6</v>
      </c>
      <c r="I303" s="6"/>
    </row>
    <row r="304" spans="1:9" x14ac:dyDescent="0.2">
      <c r="A304" s="8" t="s">
        <v>1</v>
      </c>
      <c r="B304" s="5"/>
      <c r="C304" s="75" t="s">
        <v>1299</v>
      </c>
      <c r="D304" s="6" t="s">
        <v>188</v>
      </c>
      <c r="E304" s="6" t="s">
        <v>165</v>
      </c>
      <c r="F304" s="6">
        <v>1</v>
      </c>
      <c r="G304" s="6"/>
      <c r="H304" s="6">
        <v>6</v>
      </c>
      <c r="I304" s="6"/>
    </row>
    <row r="305" spans="1:9" x14ac:dyDescent="0.2">
      <c r="A305" s="8" t="s">
        <v>2</v>
      </c>
      <c r="B305" s="5"/>
      <c r="C305" s="75" t="s">
        <v>1300</v>
      </c>
      <c r="D305" s="6" t="s">
        <v>188</v>
      </c>
      <c r="E305" s="6" t="s">
        <v>165</v>
      </c>
      <c r="F305" s="6">
        <v>1</v>
      </c>
      <c r="G305" s="6"/>
      <c r="H305" s="6">
        <v>6</v>
      </c>
      <c r="I305" s="6"/>
    </row>
    <row r="306" spans="1:9" x14ac:dyDescent="0.2">
      <c r="A306" s="8" t="s">
        <v>3</v>
      </c>
      <c r="B306" s="5"/>
      <c r="C306" s="75" t="s">
        <v>1292</v>
      </c>
      <c r="D306" s="6" t="s">
        <v>188</v>
      </c>
      <c r="E306" s="6" t="s">
        <v>165</v>
      </c>
      <c r="F306" s="6">
        <v>1</v>
      </c>
      <c r="G306" s="6"/>
      <c r="H306" s="6">
        <v>6</v>
      </c>
      <c r="I306" s="6"/>
    </row>
    <row r="307" spans="1:9" x14ac:dyDescent="0.2">
      <c r="A307" s="8" t="s">
        <v>4</v>
      </c>
      <c r="B307" s="5"/>
      <c r="C307" s="75" t="s">
        <v>1301</v>
      </c>
      <c r="D307" s="6" t="s">
        <v>832</v>
      </c>
      <c r="E307" s="6" t="s">
        <v>168</v>
      </c>
      <c r="F307" s="6">
        <v>1</v>
      </c>
      <c r="G307" s="6"/>
      <c r="H307" s="6">
        <v>5</v>
      </c>
      <c r="I307" s="6"/>
    </row>
    <row r="308" spans="1:9" x14ac:dyDescent="0.2">
      <c r="A308" s="8" t="s">
        <v>5</v>
      </c>
      <c r="B308" s="5"/>
      <c r="C308" s="75" t="s">
        <v>1302</v>
      </c>
      <c r="D308" s="6" t="s">
        <v>188</v>
      </c>
      <c r="E308" s="6" t="s">
        <v>165</v>
      </c>
      <c r="F308" s="6">
        <v>1</v>
      </c>
      <c r="G308" s="6"/>
      <c r="H308" s="6">
        <v>6</v>
      </c>
      <c r="I308" s="6"/>
    </row>
    <row r="309" spans="1:9" x14ac:dyDescent="0.2">
      <c r="A309" s="8" t="s">
        <v>6</v>
      </c>
      <c r="B309" s="5"/>
      <c r="C309" s="74" t="s">
        <v>1303</v>
      </c>
      <c r="D309" s="6" t="s">
        <v>364</v>
      </c>
      <c r="E309" s="6" t="s">
        <v>165</v>
      </c>
      <c r="F309" s="6">
        <v>1</v>
      </c>
      <c r="G309" s="6"/>
      <c r="H309" s="6">
        <v>5</v>
      </c>
      <c r="I309" s="6"/>
    </row>
    <row r="310" spans="1:9" x14ac:dyDescent="0.2">
      <c r="A310" s="8" t="s">
        <v>7</v>
      </c>
      <c r="B310" s="5"/>
      <c r="C310" s="74" t="s">
        <v>1304</v>
      </c>
      <c r="D310" s="6" t="s">
        <v>364</v>
      </c>
      <c r="E310" s="6" t="s">
        <v>165</v>
      </c>
      <c r="F310" s="6"/>
      <c r="G310" s="6">
        <v>1</v>
      </c>
      <c r="H310" s="6">
        <v>5</v>
      </c>
      <c r="I310" s="6"/>
    </row>
    <row r="311" spans="1:9" hidden="1" x14ac:dyDescent="0.2">
      <c r="A311" s="8" t="s">
        <v>8</v>
      </c>
      <c r="B311" s="5"/>
      <c r="C311" s="74"/>
      <c r="D311" s="6"/>
      <c r="E311" s="6"/>
      <c r="F311" s="6"/>
      <c r="G311" s="6"/>
      <c r="H311" s="6"/>
      <c r="I311" s="6"/>
    </row>
    <row r="312" spans="1:9" hidden="1" x14ac:dyDescent="0.2">
      <c r="A312" s="8" t="s">
        <v>9</v>
      </c>
      <c r="B312" s="5"/>
      <c r="C312" s="74"/>
      <c r="D312" s="6"/>
      <c r="E312" s="6"/>
      <c r="F312" s="6"/>
      <c r="G312" s="6"/>
      <c r="H312" s="6"/>
      <c r="I312" s="6"/>
    </row>
    <row r="313" spans="1:9" x14ac:dyDescent="0.2">
      <c r="A313" s="312" t="s">
        <v>10</v>
      </c>
      <c r="B313" s="313"/>
      <c r="C313" s="313"/>
      <c r="D313" s="313"/>
      <c r="E313" s="314"/>
      <c r="F313" s="11">
        <f>SUM(F303:F312)</f>
        <v>7</v>
      </c>
      <c r="G313" s="11">
        <f>SUM(G303:G312)</f>
        <v>1</v>
      </c>
      <c r="H313" s="11">
        <f>SUM(H303:H312)</f>
        <v>45</v>
      </c>
      <c r="I313" s="11"/>
    </row>
    <row r="314" spans="1:9" x14ac:dyDescent="0.2">
      <c r="A314" s="8" t="s">
        <v>0</v>
      </c>
      <c r="B314" s="5">
        <f>B303+1</f>
        <v>46133</v>
      </c>
      <c r="C314" s="75" t="s">
        <v>1378</v>
      </c>
      <c r="D314" s="6" t="s">
        <v>342</v>
      </c>
      <c r="E314" s="6" t="s">
        <v>165</v>
      </c>
      <c r="F314" s="6">
        <v>1</v>
      </c>
      <c r="G314" s="6"/>
      <c r="H314" s="6">
        <v>6</v>
      </c>
      <c r="I314" s="6"/>
    </row>
    <row r="315" spans="1:9" x14ac:dyDescent="0.2">
      <c r="A315" s="8" t="s">
        <v>1</v>
      </c>
      <c r="B315" s="5"/>
      <c r="C315" s="75" t="s">
        <v>1379</v>
      </c>
      <c r="D315" s="6" t="s">
        <v>170</v>
      </c>
      <c r="E315" s="6" t="s">
        <v>171</v>
      </c>
      <c r="F315" s="6">
        <v>1</v>
      </c>
      <c r="G315" s="6"/>
      <c r="H315" s="6">
        <v>6</v>
      </c>
      <c r="I315" s="6"/>
    </row>
    <row r="316" spans="1:9" x14ac:dyDescent="0.2">
      <c r="A316" s="8" t="s">
        <v>2</v>
      </c>
      <c r="B316" s="5"/>
      <c r="C316" s="75" t="s">
        <v>1380</v>
      </c>
      <c r="D316" s="6" t="s">
        <v>170</v>
      </c>
      <c r="E316" s="6" t="s">
        <v>171</v>
      </c>
      <c r="F316" s="6">
        <v>1</v>
      </c>
      <c r="G316" s="6"/>
      <c r="H316" s="6">
        <v>6</v>
      </c>
      <c r="I316" s="6"/>
    </row>
    <row r="317" spans="1:9" x14ac:dyDescent="0.2">
      <c r="A317" s="8" t="s">
        <v>3</v>
      </c>
      <c r="B317" s="5"/>
      <c r="C317" s="75" t="s">
        <v>1381</v>
      </c>
      <c r="D317" s="6" t="s">
        <v>170</v>
      </c>
      <c r="E317" s="6" t="s">
        <v>171</v>
      </c>
      <c r="F317" s="6">
        <v>1</v>
      </c>
      <c r="G317" s="6"/>
      <c r="H317" s="6">
        <v>4</v>
      </c>
      <c r="I317" s="6"/>
    </row>
    <row r="318" spans="1:9" x14ac:dyDescent="0.2">
      <c r="A318" s="8" t="s">
        <v>4</v>
      </c>
      <c r="B318" s="5"/>
      <c r="C318" s="75" t="s">
        <v>1382</v>
      </c>
      <c r="D318" s="6" t="s">
        <v>170</v>
      </c>
      <c r="E318" s="6" t="s">
        <v>171</v>
      </c>
      <c r="F318" s="6"/>
      <c r="G318" s="6">
        <v>1</v>
      </c>
      <c r="H318" s="6">
        <v>6</v>
      </c>
      <c r="I318" s="6"/>
    </row>
    <row r="319" spans="1:9" x14ac:dyDescent="0.2">
      <c r="A319" s="8" t="s">
        <v>5</v>
      </c>
      <c r="B319" s="5"/>
      <c r="C319" s="75" t="s">
        <v>1383</v>
      </c>
      <c r="D319" s="6" t="s">
        <v>170</v>
      </c>
      <c r="E319" s="6" t="s">
        <v>171</v>
      </c>
      <c r="F319" s="6"/>
      <c r="G319" s="6">
        <v>1</v>
      </c>
      <c r="H319" s="6">
        <v>6</v>
      </c>
      <c r="I319" s="6"/>
    </row>
    <row r="320" spans="1:9" hidden="1" x14ac:dyDescent="0.2">
      <c r="A320" s="8" t="s">
        <v>6</v>
      </c>
      <c r="B320" s="5"/>
      <c r="C320" s="75"/>
      <c r="D320" s="6"/>
      <c r="E320" s="6"/>
      <c r="F320" s="6"/>
      <c r="G320" s="6"/>
      <c r="H320" s="6"/>
      <c r="I320" s="6"/>
    </row>
    <row r="321" spans="1:9" hidden="1" x14ac:dyDescent="0.2">
      <c r="A321" s="8" t="s">
        <v>7</v>
      </c>
      <c r="B321" s="5"/>
      <c r="C321" s="75"/>
      <c r="D321" s="6"/>
      <c r="E321" s="6"/>
      <c r="F321" s="6"/>
      <c r="G321" s="6"/>
      <c r="H321" s="6"/>
      <c r="I321" s="6"/>
    </row>
    <row r="322" spans="1:9" hidden="1" x14ac:dyDescent="0.2">
      <c r="A322" s="8" t="s">
        <v>8</v>
      </c>
      <c r="B322" s="5"/>
      <c r="C322" s="75"/>
      <c r="D322" s="6"/>
      <c r="E322" s="6"/>
      <c r="F322" s="6"/>
      <c r="G322" s="6"/>
      <c r="H322" s="6"/>
      <c r="I322" s="6"/>
    </row>
    <row r="323" spans="1:9" hidden="1" x14ac:dyDescent="0.2">
      <c r="A323" s="8" t="s">
        <v>9</v>
      </c>
      <c r="B323" s="5"/>
      <c r="C323" s="75"/>
      <c r="D323" s="6"/>
      <c r="E323" s="6"/>
      <c r="F323" s="6"/>
      <c r="G323" s="6"/>
      <c r="H323" s="6"/>
      <c r="I323" s="6"/>
    </row>
    <row r="324" spans="1:9" x14ac:dyDescent="0.2">
      <c r="A324" s="312" t="s">
        <v>10</v>
      </c>
      <c r="B324" s="313"/>
      <c r="C324" s="313"/>
      <c r="D324" s="313"/>
      <c r="E324" s="314"/>
      <c r="F324" s="11">
        <f>SUM(F314:F323)</f>
        <v>4</v>
      </c>
      <c r="G324" s="11">
        <f>SUM(G314:G323)</f>
        <v>2</v>
      </c>
      <c r="H324" s="11">
        <f>SUM(H314:H323)</f>
        <v>34</v>
      </c>
      <c r="I324" s="11"/>
    </row>
    <row r="325" spans="1:9" x14ac:dyDescent="0.2">
      <c r="A325" s="8" t="s">
        <v>0</v>
      </c>
      <c r="B325" s="5">
        <f>B314+1</f>
        <v>46134</v>
      </c>
      <c r="C325" s="74" t="s">
        <v>1453</v>
      </c>
      <c r="D325" s="6" t="s">
        <v>211</v>
      </c>
      <c r="E325" s="6" t="s">
        <v>165</v>
      </c>
      <c r="F325" s="6">
        <v>1</v>
      </c>
      <c r="G325" s="6"/>
      <c r="H325" s="6">
        <v>6</v>
      </c>
      <c r="I325" s="6"/>
    </row>
    <row r="326" spans="1:9" x14ac:dyDescent="0.2">
      <c r="A326" s="8" t="s">
        <v>1</v>
      </c>
      <c r="B326" s="5"/>
      <c r="C326" s="74" t="s">
        <v>1454</v>
      </c>
      <c r="D326" s="6" t="s">
        <v>170</v>
      </c>
      <c r="E326" s="6" t="s">
        <v>171</v>
      </c>
      <c r="F326" s="6">
        <v>1</v>
      </c>
      <c r="G326" s="6"/>
      <c r="H326" s="6">
        <v>6</v>
      </c>
      <c r="I326" s="6"/>
    </row>
    <row r="327" spans="1:9" x14ac:dyDescent="0.2">
      <c r="A327" s="8" t="s">
        <v>2</v>
      </c>
      <c r="B327" s="5"/>
      <c r="C327" s="74" t="s">
        <v>1455</v>
      </c>
      <c r="D327" s="6" t="s">
        <v>170</v>
      </c>
      <c r="E327" s="6" t="s">
        <v>171</v>
      </c>
      <c r="F327" s="6">
        <v>1</v>
      </c>
      <c r="G327" s="6"/>
      <c r="H327" s="6">
        <v>6</v>
      </c>
      <c r="I327" s="6"/>
    </row>
    <row r="328" spans="1:9" x14ac:dyDescent="0.2">
      <c r="A328" s="8" t="s">
        <v>3</v>
      </c>
      <c r="B328" s="5"/>
      <c r="C328" s="74" t="s">
        <v>1456</v>
      </c>
      <c r="D328" s="6" t="s">
        <v>170</v>
      </c>
      <c r="E328" s="6" t="s">
        <v>171</v>
      </c>
      <c r="F328" s="6">
        <v>1</v>
      </c>
      <c r="G328" s="6"/>
      <c r="H328" s="6">
        <v>6</v>
      </c>
      <c r="I328" s="6"/>
    </row>
    <row r="329" spans="1:9" hidden="1" x14ac:dyDescent="0.2">
      <c r="A329" s="8" t="s">
        <v>4</v>
      </c>
      <c r="B329" s="5"/>
      <c r="C329" s="74"/>
      <c r="D329" s="6"/>
      <c r="E329" s="6"/>
      <c r="F329" s="6"/>
      <c r="G329" s="6"/>
      <c r="H329" s="6"/>
      <c r="I329" s="6"/>
    </row>
    <row r="330" spans="1:9" hidden="1" x14ac:dyDescent="0.2">
      <c r="A330" s="8" t="s">
        <v>5</v>
      </c>
      <c r="B330" s="5"/>
      <c r="C330" s="74"/>
      <c r="D330" s="6"/>
      <c r="E330" s="6"/>
      <c r="F330" s="6"/>
      <c r="G330" s="6"/>
      <c r="H330" s="6"/>
      <c r="I330" s="6"/>
    </row>
    <row r="331" spans="1:9" hidden="1" x14ac:dyDescent="0.2">
      <c r="A331" s="8" t="s">
        <v>6</v>
      </c>
      <c r="B331" s="5"/>
      <c r="C331" s="74"/>
      <c r="D331" s="6"/>
      <c r="E331" s="6"/>
      <c r="F331" s="6"/>
      <c r="G331" s="6"/>
      <c r="H331" s="6"/>
      <c r="I331" s="6"/>
    </row>
    <row r="332" spans="1:9" hidden="1" x14ac:dyDescent="0.2">
      <c r="A332" s="8" t="s">
        <v>7</v>
      </c>
      <c r="B332" s="5"/>
      <c r="C332" s="74"/>
      <c r="D332" s="6"/>
      <c r="E332" s="6"/>
      <c r="F332" s="6"/>
      <c r="G332" s="6"/>
      <c r="H332" s="6"/>
      <c r="I332" s="6"/>
    </row>
    <row r="333" spans="1:9" hidden="1" x14ac:dyDescent="0.2">
      <c r="A333" s="8" t="s">
        <v>8</v>
      </c>
      <c r="B333" s="5"/>
      <c r="C333" s="74"/>
      <c r="D333" s="6"/>
      <c r="E333" s="6"/>
      <c r="F333" s="6"/>
      <c r="G333" s="6"/>
      <c r="H333" s="6"/>
      <c r="I333" s="6"/>
    </row>
    <row r="334" spans="1:9" hidden="1" x14ac:dyDescent="0.2">
      <c r="A334" s="8" t="s">
        <v>9</v>
      </c>
      <c r="B334" s="5"/>
      <c r="C334" s="74"/>
      <c r="D334" s="6"/>
      <c r="E334" s="6"/>
      <c r="F334" s="6"/>
      <c r="G334" s="6"/>
      <c r="H334" s="6"/>
      <c r="I334" s="6"/>
    </row>
    <row r="335" spans="1:9" x14ac:dyDescent="0.2">
      <c r="A335" s="312" t="s">
        <v>10</v>
      </c>
      <c r="B335" s="313"/>
      <c r="C335" s="313"/>
      <c r="D335" s="313"/>
      <c r="E335" s="314"/>
      <c r="F335" s="11">
        <f>SUM(F325:F334)</f>
        <v>4</v>
      </c>
      <c r="G335" s="11">
        <f>SUM(G325:G334)</f>
        <v>0</v>
      </c>
      <c r="H335" s="11">
        <f>SUM(H325:H334)</f>
        <v>24</v>
      </c>
      <c r="I335" s="11"/>
    </row>
    <row r="336" spans="1:9" s="25" customFormat="1" ht="18" x14ac:dyDescent="0.2">
      <c r="A336" s="315" t="s">
        <v>39</v>
      </c>
      <c r="B336" s="316"/>
      <c r="C336" s="316"/>
      <c r="D336" s="316"/>
      <c r="E336" s="317"/>
      <c r="F336" s="22">
        <f>F269+F280+F291+F302+F313+F324+F335+F252</f>
        <v>92</v>
      </c>
      <c r="G336" s="22">
        <f>G269+G280+G291+G302+G313+G324+G335+G252</f>
        <v>18</v>
      </c>
      <c r="H336" s="22">
        <f>H269+H280+H291+H302+H313+H324+H335+H252</f>
        <v>596.25</v>
      </c>
      <c r="I336" s="22"/>
    </row>
    <row r="337" spans="1:9" ht="21.95" customHeight="1" x14ac:dyDescent="0.2">
      <c r="A337" s="319" t="s">
        <v>14</v>
      </c>
      <c r="B337" s="319"/>
      <c r="C337" s="319"/>
      <c r="D337" s="319"/>
      <c r="E337" s="319"/>
      <c r="F337" s="319"/>
      <c r="G337" s="319"/>
      <c r="H337" s="319"/>
      <c r="I337" s="319"/>
    </row>
    <row r="338" spans="1:9" s="53" customFormat="1" ht="20.100000000000001" customHeight="1" x14ac:dyDescent="0.2">
      <c r="A338" s="323" t="s">
        <v>86</v>
      </c>
      <c r="B338" s="323"/>
      <c r="C338" s="323"/>
      <c r="D338" s="323"/>
      <c r="E338" s="323"/>
      <c r="F338" s="50" t="str">
        <f>F254</f>
        <v>เมษายน</v>
      </c>
      <c r="G338" s="50" t="s">
        <v>87</v>
      </c>
      <c r="H338" s="51">
        <f>H254</f>
        <v>2569</v>
      </c>
      <c r="I338" s="52"/>
    </row>
    <row r="339" spans="1:9" s="3" customFormat="1" ht="20.100000000000001" customHeight="1" x14ac:dyDescent="0.35">
      <c r="A339" s="318" t="s">
        <v>33</v>
      </c>
      <c r="B339" s="318"/>
      <c r="C339" s="318"/>
      <c r="D339" s="2"/>
      <c r="F339" s="4"/>
      <c r="G339" s="4"/>
      <c r="H339" s="4" t="s">
        <v>21</v>
      </c>
      <c r="I339" s="40">
        <f>I255+1</f>
        <v>5</v>
      </c>
    </row>
    <row r="340" spans="1:9" s="3" customFormat="1" ht="20.100000000000001" customHeight="1" x14ac:dyDescent="0.35">
      <c r="A340" s="311" t="s">
        <v>62</v>
      </c>
      <c r="B340" s="311"/>
      <c r="C340" s="311"/>
      <c r="D340" s="2"/>
      <c r="E340" s="39" t="s">
        <v>81</v>
      </c>
      <c r="F340" s="308">
        <f>F256</f>
        <v>46107</v>
      </c>
      <c r="G340" s="308"/>
      <c r="H340" s="39" t="s">
        <v>82</v>
      </c>
      <c r="I340" s="34">
        <f>I256</f>
        <v>46136</v>
      </c>
    </row>
    <row r="341" spans="1:9" x14ac:dyDescent="0.2">
      <c r="A341" s="12" t="s">
        <v>23</v>
      </c>
      <c r="B341" s="13" t="s">
        <v>11</v>
      </c>
      <c r="C341" s="72" t="s">
        <v>26</v>
      </c>
      <c r="D341" s="12" t="s">
        <v>16</v>
      </c>
      <c r="E341" s="12" t="s">
        <v>17</v>
      </c>
      <c r="F341" s="310" t="s">
        <v>46</v>
      </c>
      <c r="G341" s="310"/>
      <c r="H341" s="310"/>
      <c r="I341" s="12" t="s">
        <v>19</v>
      </c>
    </row>
    <row r="342" spans="1:9" x14ac:dyDescent="0.2">
      <c r="A342" s="15"/>
      <c r="B342" s="16"/>
      <c r="C342" s="73"/>
      <c r="D342" s="15"/>
      <c r="E342" s="15"/>
      <c r="F342" s="21" t="s">
        <v>113</v>
      </c>
      <c r="G342" s="21" t="s">
        <v>114</v>
      </c>
      <c r="H342" s="21" t="s">
        <v>20</v>
      </c>
      <c r="I342" s="15"/>
    </row>
    <row r="343" spans="1:9" x14ac:dyDescent="0.2">
      <c r="A343" s="8" t="s">
        <v>0</v>
      </c>
      <c r="B343" s="5">
        <f>B325+1</f>
        <v>46135</v>
      </c>
      <c r="C343" s="74" t="s">
        <v>1519</v>
      </c>
      <c r="D343" s="6" t="s">
        <v>211</v>
      </c>
      <c r="E343" s="6" t="s">
        <v>165</v>
      </c>
      <c r="F343" s="6">
        <v>1</v>
      </c>
      <c r="G343" s="6"/>
      <c r="H343" s="6">
        <v>5</v>
      </c>
      <c r="I343" s="6"/>
    </row>
    <row r="344" spans="1:9" x14ac:dyDescent="0.2">
      <c r="A344" s="8" t="s">
        <v>1</v>
      </c>
      <c r="B344" s="5"/>
      <c r="C344" s="74" t="s">
        <v>1513</v>
      </c>
      <c r="D344" s="6" t="s">
        <v>170</v>
      </c>
      <c r="E344" s="6" t="s">
        <v>165</v>
      </c>
      <c r="F344" s="6">
        <v>1</v>
      </c>
      <c r="G344" s="6"/>
      <c r="H344" s="6">
        <v>6</v>
      </c>
      <c r="I344" s="6"/>
    </row>
    <row r="345" spans="1:9" x14ac:dyDescent="0.2">
      <c r="A345" s="8" t="s">
        <v>2</v>
      </c>
      <c r="B345" s="5"/>
      <c r="C345" s="74" t="s">
        <v>1499</v>
      </c>
      <c r="D345" s="6" t="s">
        <v>170</v>
      </c>
      <c r="E345" s="6" t="s">
        <v>165</v>
      </c>
      <c r="F345" s="6">
        <v>1</v>
      </c>
      <c r="G345" s="6"/>
      <c r="H345" s="6">
        <v>6</v>
      </c>
      <c r="I345" s="6"/>
    </row>
    <row r="346" spans="1:9" x14ac:dyDescent="0.2">
      <c r="A346" s="8" t="s">
        <v>3</v>
      </c>
      <c r="B346" s="5"/>
      <c r="C346" s="74" t="s">
        <v>1505</v>
      </c>
      <c r="D346" s="6" t="s">
        <v>170</v>
      </c>
      <c r="E346" s="6" t="s">
        <v>165</v>
      </c>
      <c r="F346" s="6">
        <v>1</v>
      </c>
      <c r="G346" s="6"/>
      <c r="H346" s="6">
        <v>6</v>
      </c>
      <c r="I346" s="6"/>
    </row>
    <row r="347" spans="1:9" x14ac:dyDescent="0.2">
      <c r="A347" s="8" t="s">
        <v>4</v>
      </c>
      <c r="B347" s="5"/>
      <c r="C347" s="74" t="s">
        <v>1520</v>
      </c>
      <c r="D347" s="6" t="s">
        <v>188</v>
      </c>
      <c r="E347" s="6" t="s">
        <v>165</v>
      </c>
      <c r="F347" s="6">
        <v>1</v>
      </c>
      <c r="G347" s="6"/>
      <c r="H347" s="6">
        <v>6</v>
      </c>
      <c r="I347" s="6"/>
    </row>
    <row r="348" spans="1:9" x14ac:dyDescent="0.2">
      <c r="A348" s="8" t="s">
        <v>5</v>
      </c>
      <c r="B348" s="5"/>
      <c r="C348" s="74" t="s">
        <v>1521</v>
      </c>
      <c r="D348" s="6" t="s">
        <v>170</v>
      </c>
      <c r="E348" s="6" t="s">
        <v>165</v>
      </c>
      <c r="F348" s="6"/>
      <c r="G348" s="6">
        <v>1</v>
      </c>
      <c r="H348" s="6">
        <v>6</v>
      </c>
      <c r="I348" s="6"/>
    </row>
    <row r="349" spans="1:9" hidden="1" x14ac:dyDescent="0.2">
      <c r="A349" s="8" t="s">
        <v>6</v>
      </c>
      <c r="B349" s="5"/>
      <c r="C349" s="74"/>
      <c r="D349" s="6"/>
      <c r="E349" s="6"/>
      <c r="F349" s="6"/>
      <c r="G349" s="6"/>
      <c r="H349" s="6"/>
      <c r="I349" s="6"/>
    </row>
    <row r="350" spans="1:9" hidden="1" x14ac:dyDescent="0.2">
      <c r="A350" s="8" t="s">
        <v>7</v>
      </c>
      <c r="B350" s="5"/>
      <c r="C350" s="74"/>
      <c r="D350" s="6"/>
      <c r="E350" s="6"/>
      <c r="F350" s="6"/>
      <c r="G350" s="6"/>
      <c r="H350" s="6"/>
      <c r="I350" s="6"/>
    </row>
    <row r="351" spans="1:9" hidden="1" x14ac:dyDescent="0.2">
      <c r="A351" s="8" t="s">
        <v>8</v>
      </c>
      <c r="B351" s="5"/>
      <c r="C351" s="74"/>
      <c r="D351" s="6"/>
      <c r="E351" s="6"/>
      <c r="F351" s="6"/>
      <c r="G351" s="6"/>
      <c r="H351" s="6"/>
      <c r="I351" s="6"/>
    </row>
    <row r="352" spans="1:9" hidden="1" x14ac:dyDescent="0.2">
      <c r="A352" s="8" t="s">
        <v>9</v>
      </c>
      <c r="B352" s="5"/>
      <c r="C352" s="74"/>
      <c r="D352" s="6"/>
      <c r="E352" s="6"/>
      <c r="F352" s="6"/>
      <c r="G352" s="6"/>
      <c r="H352" s="6"/>
      <c r="I352" s="6"/>
    </row>
    <row r="353" spans="1:9" x14ac:dyDescent="0.2">
      <c r="A353" s="312" t="s">
        <v>10</v>
      </c>
      <c r="B353" s="313"/>
      <c r="C353" s="313"/>
      <c r="D353" s="313"/>
      <c r="E353" s="314"/>
      <c r="F353" s="11">
        <f>SUM(F343:F352)</f>
        <v>5</v>
      </c>
      <c r="G353" s="11">
        <f>SUM(G343:G352)</f>
        <v>1</v>
      </c>
      <c r="H353" s="11">
        <f>SUM(H343:H352)</f>
        <v>35</v>
      </c>
      <c r="I353" s="11"/>
    </row>
    <row r="354" spans="1:9" x14ac:dyDescent="0.2">
      <c r="A354" s="8" t="s">
        <v>0</v>
      </c>
      <c r="B354" s="5">
        <f>B343+1</f>
        <v>46136</v>
      </c>
      <c r="C354" s="74" t="s">
        <v>1582</v>
      </c>
      <c r="D354" s="6" t="s">
        <v>334</v>
      </c>
      <c r="E354" s="6" t="s">
        <v>168</v>
      </c>
      <c r="F354" s="6">
        <v>1</v>
      </c>
      <c r="G354" s="6"/>
      <c r="H354" s="6">
        <v>4.5</v>
      </c>
      <c r="I354" s="6"/>
    </row>
    <row r="355" spans="1:9" x14ac:dyDescent="0.2">
      <c r="A355" s="8" t="s">
        <v>1</v>
      </c>
      <c r="B355" s="5"/>
      <c r="C355" s="74" t="s">
        <v>1583</v>
      </c>
      <c r="D355" s="6" t="s">
        <v>170</v>
      </c>
      <c r="E355" s="6" t="s">
        <v>171</v>
      </c>
      <c r="F355" s="6">
        <v>1</v>
      </c>
      <c r="G355" s="6"/>
      <c r="H355" s="6">
        <v>6</v>
      </c>
      <c r="I355" s="6"/>
    </row>
    <row r="356" spans="1:9" x14ac:dyDescent="0.2">
      <c r="A356" s="8" t="s">
        <v>2</v>
      </c>
      <c r="B356" s="5"/>
      <c r="C356" s="74" t="s">
        <v>1584</v>
      </c>
      <c r="D356" s="6" t="s">
        <v>170</v>
      </c>
      <c r="E356" s="6" t="s">
        <v>171</v>
      </c>
      <c r="F356" s="6">
        <v>1</v>
      </c>
      <c r="G356" s="6"/>
      <c r="H356" s="6">
        <v>6</v>
      </c>
      <c r="I356" s="6"/>
    </row>
    <row r="357" spans="1:9" x14ac:dyDescent="0.2">
      <c r="A357" s="8" t="s">
        <v>3</v>
      </c>
      <c r="B357" s="5"/>
      <c r="C357" s="74" t="s">
        <v>1585</v>
      </c>
      <c r="D357" s="6" t="s">
        <v>170</v>
      </c>
      <c r="E357" s="6" t="s">
        <v>171</v>
      </c>
      <c r="F357" s="6">
        <v>1</v>
      </c>
      <c r="G357" s="6"/>
      <c r="H357" s="6">
        <v>5</v>
      </c>
      <c r="I357" s="6"/>
    </row>
    <row r="358" spans="1:9" x14ac:dyDescent="0.2">
      <c r="A358" s="8" t="s">
        <v>4</v>
      </c>
      <c r="B358" s="5"/>
      <c r="C358" s="74" t="s">
        <v>1586</v>
      </c>
      <c r="D358" s="6" t="s">
        <v>170</v>
      </c>
      <c r="E358" s="6" t="s">
        <v>171</v>
      </c>
      <c r="F358" s="6">
        <v>1</v>
      </c>
      <c r="G358" s="6"/>
      <c r="H358" s="6">
        <v>6</v>
      </c>
      <c r="I358" s="6"/>
    </row>
    <row r="359" spans="1:9" x14ac:dyDescent="0.2">
      <c r="A359" s="8" t="s">
        <v>5</v>
      </c>
      <c r="B359" s="5"/>
      <c r="C359" s="74" t="s">
        <v>1587</v>
      </c>
      <c r="D359" s="6" t="s">
        <v>347</v>
      </c>
      <c r="E359" s="6" t="s">
        <v>441</v>
      </c>
      <c r="F359" s="6">
        <v>1</v>
      </c>
      <c r="G359" s="6"/>
      <c r="H359" s="6">
        <v>5</v>
      </c>
      <c r="I359" s="6"/>
    </row>
    <row r="360" spans="1:9" x14ac:dyDescent="0.2">
      <c r="A360" s="8" t="s">
        <v>6</v>
      </c>
      <c r="B360" s="5"/>
      <c r="C360" s="74" t="s">
        <v>1588</v>
      </c>
      <c r="D360" s="6" t="s">
        <v>253</v>
      </c>
      <c r="E360" s="6" t="s">
        <v>596</v>
      </c>
      <c r="F360" s="6">
        <v>1</v>
      </c>
      <c r="G360" s="6"/>
      <c r="H360" s="6">
        <v>6</v>
      </c>
      <c r="I360" s="6"/>
    </row>
    <row r="361" spans="1:9" x14ac:dyDescent="0.2">
      <c r="A361" s="8" t="s">
        <v>7</v>
      </c>
      <c r="B361" s="5"/>
      <c r="C361" s="74" t="s">
        <v>1589</v>
      </c>
      <c r="D361" s="6" t="s">
        <v>253</v>
      </c>
      <c r="E361" s="6" t="s">
        <v>596</v>
      </c>
      <c r="F361" s="6"/>
      <c r="G361" s="6">
        <v>1</v>
      </c>
      <c r="H361" s="6">
        <v>6</v>
      </c>
      <c r="I361" s="6"/>
    </row>
    <row r="362" spans="1:9" hidden="1" x14ac:dyDescent="0.2">
      <c r="A362" s="8" t="s">
        <v>8</v>
      </c>
      <c r="B362" s="5"/>
      <c r="C362" s="74"/>
      <c r="D362" s="6"/>
      <c r="E362" s="6"/>
      <c r="F362" s="6"/>
      <c r="G362" s="6"/>
      <c r="H362" s="6"/>
      <c r="I362" s="6"/>
    </row>
    <row r="363" spans="1:9" hidden="1" x14ac:dyDescent="0.2">
      <c r="A363" s="8" t="s">
        <v>9</v>
      </c>
      <c r="B363" s="5"/>
      <c r="C363" s="74"/>
      <c r="D363" s="6"/>
      <c r="E363" s="6"/>
      <c r="F363" s="6"/>
      <c r="G363" s="6"/>
      <c r="H363" s="6"/>
      <c r="I363" s="6"/>
    </row>
    <row r="364" spans="1:9" x14ac:dyDescent="0.2">
      <c r="A364" s="312" t="s">
        <v>10</v>
      </c>
      <c r="B364" s="313"/>
      <c r="C364" s="313"/>
      <c r="D364" s="313"/>
      <c r="E364" s="314"/>
      <c r="F364" s="11">
        <f>SUM(F354:F363)</f>
        <v>7</v>
      </c>
      <c r="G364" s="11">
        <f>SUM(G354:G363)</f>
        <v>1</v>
      </c>
      <c r="H364" s="11">
        <f>SUM(H354:H363)</f>
        <v>44.5</v>
      </c>
      <c r="I364" s="11"/>
    </row>
    <row r="365" spans="1:9" hidden="1" x14ac:dyDescent="0.2">
      <c r="A365" s="8" t="s">
        <v>0</v>
      </c>
      <c r="B365" s="5">
        <f>B354+1</f>
        <v>46137</v>
      </c>
      <c r="C365" s="74"/>
      <c r="D365" s="6"/>
      <c r="E365" s="6"/>
      <c r="F365" s="6"/>
      <c r="G365" s="6"/>
      <c r="H365" s="6"/>
      <c r="I365" s="6"/>
    </row>
    <row r="366" spans="1:9" hidden="1" x14ac:dyDescent="0.2">
      <c r="A366" s="8" t="s">
        <v>1</v>
      </c>
      <c r="B366" s="5"/>
      <c r="C366" s="74"/>
      <c r="D366" s="6"/>
      <c r="E366" s="6"/>
      <c r="F366" s="6"/>
      <c r="G366" s="6"/>
      <c r="H366" s="6"/>
      <c r="I366" s="6"/>
    </row>
    <row r="367" spans="1:9" hidden="1" x14ac:dyDescent="0.2">
      <c r="A367" s="8" t="s">
        <v>2</v>
      </c>
      <c r="B367" s="5"/>
      <c r="C367" s="74"/>
      <c r="D367" s="6"/>
      <c r="E367" s="6"/>
      <c r="F367" s="6"/>
      <c r="G367" s="6"/>
      <c r="H367" s="6"/>
      <c r="I367" s="6"/>
    </row>
    <row r="368" spans="1:9" hidden="1" x14ac:dyDescent="0.2">
      <c r="A368" s="8" t="s">
        <v>3</v>
      </c>
      <c r="B368" s="5"/>
      <c r="C368" s="74"/>
      <c r="D368" s="6"/>
      <c r="E368" s="6"/>
      <c r="F368" s="6"/>
      <c r="G368" s="6"/>
      <c r="H368" s="6"/>
      <c r="I368" s="6"/>
    </row>
    <row r="369" spans="1:9" hidden="1" x14ac:dyDescent="0.2">
      <c r="A369" s="8" t="s">
        <v>4</v>
      </c>
      <c r="B369" s="5"/>
      <c r="C369" s="74"/>
      <c r="D369" s="6"/>
      <c r="E369" s="6"/>
      <c r="F369" s="6"/>
      <c r="G369" s="6"/>
      <c r="H369" s="6"/>
      <c r="I369" s="6"/>
    </row>
    <row r="370" spans="1:9" hidden="1" x14ac:dyDescent="0.2">
      <c r="A370" s="8" t="s">
        <v>5</v>
      </c>
      <c r="B370" s="5"/>
      <c r="C370" s="74"/>
      <c r="D370" s="6"/>
      <c r="E370" s="6"/>
      <c r="F370" s="6"/>
      <c r="G370" s="6"/>
      <c r="H370" s="6"/>
      <c r="I370" s="6"/>
    </row>
    <row r="371" spans="1:9" hidden="1" x14ac:dyDescent="0.2">
      <c r="A371" s="8" t="s">
        <v>6</v>
      </c>
      <c r="B371" s="5"/>
      <c r="C371" s="74"/>
      <c r="D371" s="6"/>
      <c r="E371" s="6"/>
      <c r="F371" s="6"/>
      <c r="G371" s="6"/>
      <c r="H371" s="6"/>
      <c r="I371" s="6"/>
    </row>
    <row r="372" spans="1:9" hidden="1" x14ac:dyDescent="0.2">
      <c r="A372" s="8" t="s">
        <v>7</v>
      </c>
      <c r="B372" s="5"/>
      <c r="C372" s="74"/>
      <c r="D372" s="6"/>
      <c r="E372" s="6"/>
      <c r="F372" s="6"/>
      <c r="G372" s="6"/>
      <c r="H372" s="6"/>
      <c r="I372" s="6"/>
    </row>
    <row r="373" spans="1:9" hidden="1" x14ac:dyDescent="0.2">
      <c r="A373" s="8" t="s">
        <v>8</v>
      </c>
      <c r="B373" s="5"/>
      <c r="C373" s="74"/>
      <c r="D373" s="6"/>
      <c r="E373" s="6"/>
      <c r="F373" s="6"/>
      <c r="G373" s="6"/>
      <c r="H373" s="6"/>
      <c r="I373" s="6"/>
    </row>
    <row r="374" spans="1:9" hidden="1" x14ac:dyDescent="0.2">
      <c r="A374" s="8" t="s">
        <v>9</v>
      </c>
      <c r="B374" s="5"/>
      <c r="C374" s="74"/>
      <c r="D374" s="6"/>
      <c r="E374" s="6"/>
      <c r="F374" s="6"/>
      <c r="G374" s="6"/>
      <c r="H374" s="6"/>
      <c r="I374" s="6"/>
    </row>
    <row r="375" spans="1:9" hidden="1" x14ac:dyDescent="0.2">
      <c r="A375" s="312" t="s">
        <v>10</v>
      </c>
      <c r="B375" s="313"/>
      <c r="C375" s="313"/>
      <c r="D375" s="313"/>
      <c r="E375" s="314"/>
      <c r="F375" s="11">
        <f>SUM(F365:F374)</f>
        <v>0</v>
      </c>
      <c r="G375" s="11">
        <f>SUM(G365:G374)</f>
        <v>0</v>
      </c>
      <c r="H375" s="11">
        <f>SUM(H365:H374)</f>
        <v>0</v>
      </c>
      <c r="I375" s="11"/>
    </row>
    <row r="376" spans="1:9" hidden="1" x14ac:dyDescent="0.2">
      <c r="A376" s="8" t="s">
        <v>0</v>
      </c>
      <c r="B376" s="5">
        <f>B365+1</f>
        <v>46138</v>
      </c>
      <c r="C376" s="75"/>
      <c r="D376" s="6"/>
      <c r="E376" s="6"/>
      <c r="F376" s="6"/>
      <c r="G376" s="6"/>
      <c r="H376" s="6"/>
      <c r="I376" s="6"/>
    </row>
    <row r="377" spans="1:9" hidden="1" x14ac:dyDescent="0.2">
      <c r="A377" s="8" t="s">
        <v>1</v>
      </c>
      <c r="B377" s="5"/>
      <c r="C377" s="75"/>
      <c r="D377" s="6"/>
      <c r="E377" s="6"/>
      <c r="F377" s="6"/>
      <c r="G377" s="6"/>
      <c r="H377" s="6"/>
      <c r="I377" s="6"/>
    </row>
    <row r="378" spans="1:9" hidden="1" x14ac:dyDescent="0.2">
      <c r="A378" s="8" t="s">
        <v>2</v>
      </c>
      <c r="B378" s="5"/>
      <c r="C378" s="75"/>
      <c r="D378" s="6"/>
      <c r="E378" s="6"/>
      <c r="F378" s="6"/>
      <c r="G378" s="6"/>
      <c r="H378" s="6"/>
      <c r="I378" s="6"/>
    </row>
    <row r="379" spans="1:9" hidden="1" x14ac:dyDescent="0.2">
      <c r="A379" s="8" t="s">
        <v>3</v>
      </c>
      <c r="B379" s="5"/>
      <c r="C379" s="75"/>
      <c r="D379" s="6"/>
      <c r="E379" s="6"/>
      <c r="F379" s="6"/>
      <c r="G379" s="6"/>
      <c r="H379" s="6"/>
      <c r="I379" s="6"/>
    </row>
    <row r="380" spans="1:9" hidden="1" x14ac:dyDescent="0.2">
      <c r="A380" s="8" t="s">
        <v>4</v>
      </c>
      <c r="B380" s="5"/>
      <c r="C380" s="75"/>
      <c r="D380" s="6"/>
      <c r="E380" s="6"/>
      <c r="F380" s="6"/>
      <c r="G380" s="6"/>
      <c r="H380" s="6"/>
      <c r="I380" s="6"/>
    </row>
    <row r="381" spans="1:9" hidden="1" x14ac:dyDescent="0.2">
      <c r="A381" s="8" t="s">
        <v>5</v>
      </c>
      <c r="B381" s="5"/>
      <c r="C381" s="75"/>
      <c r="D381" s="6"/>
      <c r="E381" s="6"/>
      <c r="F381" s="6"/>
      <c r="G381" s="6"/>
      <c r="H381" s="6"/>
      <c r="I381" s="6"/>
    </row>
    <row r="382" spans="1:9" hidden="1" x14ac:dyDescent="0.2">
      <c r="A382" s="8" t="s">
        <v>6</v>
      </c>
      <c r="B382" s="5"/>
      <c r="C382" s="75"/>
      <c r="D382" s="6"/>
      <c r="E382" s="6"/>
      <c r="F382" s="6"/>
      <c r="G382" s="6"/>
      <c r="H382" s="6"/>
      <c r="I382" s="6"/>
    </row>
    <row r="383" spans="1:9" hidden="1" x14ac:dyDescent="0.2">
      <c r="A383" s="8" t="s">
        <v>7</v>
      </c>
      <c r="B383" s="5"/>
      <c r="C383" s="74"/>
      <c r="D383" s="6"/>
      <c r="E383" s="6"/>
      <c r="F383" s="6"/>
      <c r="G383" s="6"/>
      <c r="H383" s="6"/>
      <c r="I383" s="6"/>
    </row>
    <row r="384" spans="1:9" hidden="1" x14ac:dyDescent="0.2">
      <c r="A384" s="8" t="s">
        <v>8</v>
      </c>
      <c r="B384" s="5"/>
      <c r="C384" s="74"/>
      <c r="D384" s="6"/>
      <c r="E384" s="6"/>
      <c r="F384" s="6"/>
      <c r="G384" s="6"/>
      <c r="H384" s="6"/>
      <c r="I384" s="6"/>
    </row>
    <row r="385" spans="1:9" hidden="1" x14ac:dyDescent="0.2">
      <c r="A385" s="8" t="s">
        <v>9</v>
      </c>
      <c r="B385" s="5"/>
      <c r="C385" s="74"/>
      <c r="D385" s="6"/>
      <c r="E385" s="6"/>
      <c r="F385" s="6"/>
      <c r="G385" s="6"/>
      <c r="H385" s="6"/>
      <c r="I385" s="6"/>
    </row>
    <row r="386" spans="1:9" hidden="1" x14ac:dyDescent="0.2">
      <c r="A386" s="312" t="s">
        <v>10</v>
      </c>
      <c r="B386" s="313"/>
      <c r="C386" s="313"/>
      <c r="D386" s="313"/>
      <c r="E386" s="314"/>
      <c r="F386" s="11">
        <f>SUM(F376:F385)</f>
        <v>0</v>
      </c>
      <c r="G386" s="11">
        <f>SUM(G376:G385)</f>
        <v>0</v>
      </c>
      <c r="H386" s="11">
        <f>SUM(H376:H385)</f>
        <v>0</v>
      </c>
      <c r="I386" s="11"/>
    </row>
    <row r="387" spans="1:9" hidden="1" x14ac:dyDescent="0.2">
      <c r="A387" s="8" t="s">
        <v>0</v>
      </c>
      <c r="B387" s="5">
        <f>B376+1</f>
        <v>46139</v>
      </c>
      <c r="C387" s="75"/>
      <c r="D387" s="6"/>
      <c r="E387" s="6"/>
      <c r="F387" s="6"/>
      <c r="G387" s="6"/>
      <c r="H387" s="6"/>
      <c r="I387" s="6"/>
    </row>
    <row r="388" spans="1:9" hidden="1" x14ac:dyDescent="0.2">
      <c r="A388" s="8" t="s">
        <v>1</v>
      </c>
      <c r="B388" s="5"/>
      <c r="C388" s="75"/>
      <c r="D388" s="6"/>
      <c r="E388" s="6"/>
      <c r="F388" s="6"/>
      <c r="G388" s="6"/>
      <c r="H388" s="6"/>
      <c r="I388" s="6"/>
    </row>
    <row r="389" spans="1:9" hidden="1" x14ac:dyDescent="0.2">
      <c r="A389" s="8" t="s">
        <v>2</v>
      </c>
      <c r="B389" s="5"/>
      <c r="C389" s="75"/>
      <c r="D389" s="6"/>
      <c r="E389" s="6"/>
      <c r="F389" s="6"/>
      <c r="G389" s="6"/>
      <c r="H389" s="6"/>
      <c r="I389" s="6"/>
    </row>
    <row r="390" spans="1:9" hidden="1" x14ac:dyDescent="0.2">
      <c r="A390" s="8" t="s">
        <v>3</v>
      </c>
      <c r="B390" s="5"/>
      <c r="C390" s="75"/>
      <c r="D390" s="6"/>
      <c r="E390" s="6"/>
      <c r="F390" s="6"/>
      <c r="G390" s="6"/>
      <c r="H390" s="6"/>
      <c r="I390" s="6"/>
    </row>
    <row r="391" spans="1:9" hidden="1" x14ac:dyDescent="0.2">
      <c r="A391" s="8" t="s">
        <v>4</v>
      </c>
      <c r="B391" s="5"/>
      <c r="C391" s="75"/>
      <c r="D391" s="6"/>
      <c r="E391" s="6"/>
      <c r="F391" s="6"/>
      <c r="G391" s="6"/>
      <c r="H391" s="6"/>
      <c r="I391" s="6"/>
    </row>
    <row r="392" spans="1:9" hidden="1" x14ac:dyDescent="0.2">
      <c r="A392" s="8" t="s">
        <v>5</v>
      </c>
      <c r="B392" s="5"/>
      <c r="C392" s="75"/>
      <c r="D392" s="6"/>
      <c r="E392" s="6"/>
      <c r="F392" s="6"/>
      <c r="G392" s="6"/>
      <c r="H392" s="6"/>
      <c r="I392" s="6"/>
    </row>
    <row r="393" spans="1:9" hidden="1" x14ac:dyDescent="0.2">
      <c r="A393" s="8" t="s">
        <v>6</v>
      </c>
      <c r="B393" s="5"/>
      <c r="C393" s="74"/>
      <c r="D393" s="6"/>
      <c r="E393" s="6"/>
      <c r="F393" s="6"/>
      <c r="G393" s="6"/>
      <c r="H393" s="6"/>
      <c r="I393" s="6"/>
    </row>
    <row r="394" spans="1:9" hidden="1" x14ac:dyDescent="0.2">
      <c r="A394" s="8" t="s">
        <v>7</v>
      </c>
      <c r="B394" s="5"/>
      <c r="C394" s="74"/>
      <c r="D394" s="6"/>
      <c r="E394" s="6"/>
      <c r="F394" s="6"/>
      <c r="G394" s="6"/>
      <c r="H394" s="6"/>
      <c r="I394" s="6"/>
    </row>
    <row r="395" spans="1:9" hidden="1" x14ac:dyDescent="0.2">
      <c r="A395" s="8" t="s">
        <v>8</v>
      </c>
      <c r="B395" s="5"/>
      <c r="C395" s="74"/>
      <c r="D395" s="6"/>
      <c r="E395" s="6"/>
      <c r="F395" s="6"/>
      <c r="G395" s="6"/>
      <c r="H395" s="6"/>
      <c r="I395" s="6"/>
    </row>
    <row r="396" spans="1:9" hidden="1" x14ac:dyDescent="0.2">
      <c r="A396" s="8" t="s">
        <v>9</v>
      </c>
      <c r="B396" s="5"/>
      <c r="C396" s="74"/>
      <c r="D396" s="6"/>
      <c r="E396" s="6"/>
      <c r="F396" s="6"/>
      <c r="G396" s="6"/>
      <c r="H396" s="6"/>
      <c r="I396" s="6"/>
    </row>
    <row r="397" spans="1:9" hidden="1" x14ac:dyDescent="0.2">
      <c r="A397" s="312" t="s">
        <v>10</v>
      </c>
      <c r="B397" s="313"/>
      <c r="C397" s="313"/>
      <c r="D397" s="313"/>
      <c r="E397" s="314"/>
      <c r="F397" s="11">
        <f>SUM(F387:F396)</f>
        <v>0</v>
      </c>
      <c r="G397" s="11">
        <f>SUM(G387:G396)</f>
        <v>0</v>
      </c>
      <c r="H397" s="11">
        <f>SUM(H387:H396)</f>
        <v>0</v>
      </c>
      <c r="I397" s="11"/>
    </row>
    <row r="398" spans="1:9" hidden="1" x14ac:dyDescent="0.2">
      <c r="A398" s="8" t="s">
        <v>0</v>
      </c>
      <c r="B398" s="5">
        <f>B387+1</f>
        <v>46140</v>
      </c>
      <c r="C398" s="75"/>
      <c r="D398" s="6"/>
      <c r="E398" s="6"/>
      <c r="F398" s="6"/>
      <c r="G398" s="6"/>
      <c r="H398" s="6"/>
      <c r="I398" s="6"/>
    </row>
    <row r="399" spans="1:9" hidden="1" x14ac:dyDescent="0.2">
      <c r="A399" s="8" t="s">
        <v>1</v>
      </c>
      <c r="B399" s="5"/>
      <c r="C399" s="75"/>
      <c r="D399" s="6"/>
      <c r="E399" s="6"/>
      <c r="F399" s="6"/>
      <c r="G399" s="6"/>
      <c r="H399" s="6"/>
      <c r="I399" s="6"/>
    </row>
    <row r="400" spans="1:9" hidden="1" x14ac:dyDescent="0.2">
      <c r="A400" s="8" t="s">
        <v>2</v>
      </c>
      <c r="B400" s="5"/>
      <c r="C400" s="75"/>
      <c r="D400" s="6"/>
      <c r="E400" s="6"/>
      <c r="F400" s="6"/>
      <c r="G400" s="6"/>
      <c r="H400" s="6"/>
      <c r="I400" s="6"/>
    </row>
    <row r="401" spans="1:9" hidden="1" x14ac:dyDescent="0.2">
      <c r="A401" s="8" t="s">
        <v>3</v>
      </c>
      <c r="B401" s="5"/>
      <c r="C401" s="75"/>
      <c r="D401" s="6"/>
      <c r="E401" s="6"/>
      <c r="F401" s="6"/>
      <c r="G401" s="6"/>
      <c r="H401" s="6"/>
      <c r="I401" s="6"/>
    </row>
    <row r="402" spans="1:9" hidden="1" x14ac:dyDescent="0.2">
      <c r="A402" s="8" t="s">
        <v>4</v>
      </c>
      <c r="B402" s="5"/>
      <c r="C402" s="75"/>
      <c r="D402" s="6"/>
      <c r="E402" s="6"/>
      <c r="F402" s="6"/>
      <c r="G402" s="6"/>
      <c r="H402" s="6"/>
      <c r="I402" s="6"/>
    </row>
    <row r="403" spans="1:9" hidden="1" x14ac:dyDescent="0.2">
      <c r="A403" s="8" t="s">
        <v>5</v>
      </c>
      <c r="B403" s="5"/>
      <c r="C403" s="75"/>
      <c r="D403" s="6"/>
      <c r="E403" s="6"/>
      <c r="F403" s="6"/>
      <c r="G403" s="6"/>
      <c r="H403" s="6"/>
      <c r="I403" s="6"/>
    </row>
    <row r="404" spans="1:9" hidden="1" x14ac:dyDescent="0.2">
      <c r="A404" s="8" t="s">
        <v>6</v>
      </c>
      <c r="B404" s="5"/>
      <c r="C404" s="75"/>
      <c r="D404" s="6"/>
      <c r="E404" s="6"/>
      <c r="F404" s="6"/>
      <c r="G404" s="6"/>
      <c r="H404" s="6"/>
      <c r="I404" s="6"/>
    </row>
    <row r="405" spans="1:9" hidden="1" x14ac:dyDescent="0.2">
      <c r="A405" s="8" t="s">
        <v>7</v>
      </c>
      <c r="B405" s="5"/>
      <c r="C405" s="75"/>
      <c r="D405" s="6"/>
      <c r="E405" s="6"/>
      <c r="F405" s="6"/>
      <c r="G405" s="6"/>
      <c r="H405" s="6"/>
      <c r="I405" s="6"/>
    </row>
    <row r="406" spans="1:9" hidden="1" x14ac:dyDescent="0.2">
      <c r="A406" s="8" t="s">
        <v>8</v>
      </c>
      <c r="B406" s="5"/>
      <c r="C406" s="75"/>
      <c r="D406" s="6"/>
      <c r="E406" s="6"/>
      <c r="F406" s="6"/>
      <c r="G406" s="6"/>
      <c r="H406" s="6"/>
      <c r="I406" s="6"/>
    </row>
    <row r="407" spans="1:9" hidden="1" x14ac:dyDescent="0.2">
      <c r="A407" s="8" t="s">
        <v>9</v>
      </c>
      <c r="B407" s="5"/>
      <c r="C407" s="75"/>
      <c r="D407" s="6"/>
      <c r="E407" s="6"/>
      <c r="F407" s="6"/>
      <c r="G407" s="6"/>
      <c r="H407" s="6"/>
      <c r="I407" s="6"/>
    </row>
    <row r="408" spans="1:9" hidden="1" x14ac:dyDescent="0.2">
      <c r="A408" s="312" t="s">
        <v>10</v>
      </c>
      <c r="B408" s="313"/>
      <c r="C408" s="313"/>
      <c r="D408" s="313"/>
      <c r="E408" s="314"/>
      <c r="F408" s="11">
        <f>SUM(F398:F407)</f>
        <v>0</v>
      </c>
      <c r="G408" s="11">
        <f>SUM(G398:G407)</f>
        <v>0</v>
      </c>
      <c r="H408" s="11">
        <f>SUM(H398:H407)</f>
        <v>0</v>
      </c>
      <c r="I408" s="11"/>
    </row>
    <row r="409" spans="1:9" hidden="1" x14ac:dyDescent="0.2">
      <c r="A409" s="8" t="s">
        <v>0</v>
      </c>
      <c r="B409" s="5">
        <f>B398+1</f>
        <v>46141</v>
      </c>
      <c r="C409" s="74"/>
      <c r="D409" s="6"/>
      <c r="E409" s="6"/>
      <c r="F409" s="6"/>
      <c r="G409" s="6"/>
      <c r="H409" s="6"/>
      <c r="I409" s="6"/>
    </row>
    <row r="410" spans="1:9" hidden="1" x14ac:dyDescent="0.2">
      <c r="A410" s="8" t="s">
        <v>1</v>
      </c>
      <c r="B410" s="5"/>
      <c r="C410" s="74"/>
      <c r="D410" s="6"/>
      <c r="E410" s="6"/>
      <c r="F410" s="6"/>
      <c r="G410" s="6"/>
      <c r="H410" s="6"/>
      <c r="I410" s="6"/>
    </row>
    <row r="411" spans="1:9" hidden="1" x14ac:dyDescent="0.2">
      <c r="A411" s="8" t="s">
        <v>2</v>
      </c>
      <c r="B411" s="5"/>
      <c r="C411" s="74"/>
      <c r="D411" s="6"/>
      <c r="E411" s="6"/>
      <c r="F411" s="6"/>
      <c r="G411" s="6"/>
      <c r="H411" s="6"/>
      <c r="I411" s="6"/>
    </row>
    <row r="412" spans="1:9" hidden="1" x14ac:dyDescent="0.2">
      <c r="A412" s="8" t="s">
        <v>3</v>
      </c>
      <c r="B412" s="5"/>
      <c r="C412" s="74"/>
      <c r="D412" s="6"/>
      <c r="E412" s="6"/>
      <c r="F412" s="6"/>
      <c r="G412" s="6"/>
      <c r="H412" s="6"/>
      <c r="I412" s="6"/>
    </row>
    <row r="413" spans="1:9" hidden="1" x14ac:dyDescent="0.2">
      <c r="A413" s="8" t="s">
        <v>4</v>
      </c>
      <c r="B413" s="5"/>
      <c r="C413" s="74"/>
      <c r="D413" s="6"/>
      <c r="E413" s="6"/>
      <c r="F413" s="6"/>
      <c r="G413" s="6"/>
      <c r="H413" s="6"/>
      <c r="I413" s="6"/>
    </row>
    <row r="414" spans="1:9" hidden="1" x14ac:dyDescent="0.2">
      <c r="A414" s="8" t="s">
        <v>5</v>
      </c>
      <c r="B414" s="5"/>
      <c r="C414" s="74"/>
      <c r="D414" s="6"/>
      <c r="E414" s="6"/>
      <c r="F414" s="6"/>
      <c r="G414" s="6"/>
      <c r="H414" s="6"/>
      <c r="I414" s="6"/>
    </row>
    <row r="415" spans="1:9" hidden="1" x14ac:dyDescent="0.2">
      <c r="A415" s="8" t="s">
        <v>6</v>
      </c>
      <c r="B415" s="5"/>
      <c r="C415" s="74"/>
      <c r="D415" s="6"/>
      <c r="E415" s="6"/>
      <c r="F415" s="6"/>
      <c r="G415" s="6"/>
      <c r="H415" s="6"/>
      <c r="I415" s="6"/>
    </row>
    <row r="416" spans="1:9" hidden="1" x14ac:dyDescent="0.2">
      <c r="A416" s="8" t="s">
        <v>7</v>
      </c>
      <c r="B416" s="5"/>
      <c r="C416" s="74"/>
      <c r="D416" s="6"/>
      <c r="E416" s="6"/>
      <c r="F416" s="6"/>
      <c r="G416" s="6"/>
      <c r="H416" s="6"/>
      <c r="I416" s="6"/>
    </row>
    <row r="417" spans="1:9" hidden="1" x14ac:dyDescent="0.2">
      <c r="A417" s="8" t="s">
        <v>8</v>
      </c>
      <c r="B417" s="5"/>
      <c r="C417" s="74"/>
      <c r="D417" s="6"/>
      <c r="E417" s="6"/>
      <c r="F417" s="6"/>
      <c r="G417" s="6"/>
      <c r="H417" s="6"/>
      <c r="I417" s="6"/>
    </row>
    <row r="418" spans="1:9" hidden="1" x14ac:dyDescent="0.2">
      <c r="A418" s="8" t="s">
        <v>9</v>
      </c>
      <c r="B418" s="5"/>
      <c r="C418" s="74"/>
      <c r="D418" s="6"/>
      <c r="E418" s="6"/>
      <c r="F418" s="6"/>
      <c r="G418" s="6"/>
      <c r="H418" s="6"/>
      <c r="I418" s="6"/>
    </row>
    <row r="419" spans="1:9" hidden="1" x14ac:dyDescent="0.2">
      <c r="A419" s="312" t="s">
        <v>10</v>
      </c>
      <c r="B419" s="313"/>
      <c r="C419" s="313"/>
      <c r="D419" s="313"/>
      <c r="E419" s="314"/>
      <c r="F419" s="11">
        <f>SUM(F409:F418)</f>
        <v>0</v>
      </c>
      <c r="G419" s="11">
        <f>SUM(G409:G418)</f>
        <v>0</v>
      </c>
      <c r="H419" s="11">
        <f>SUM(H409:H418)</f>
        <v>0</v>
      </c>
      <c r="I419" s="11"/>
    </row>
    <row r="420" spans="1:9" s="25" customFormat="1" ht="18" x14ac:dyDescent="0.2">
      <c r="A420" s="315" t="s">
        <v>39</v>
      </c>
      <c r="B420" s="316"/>
      <c r="C420" s="316"/>
      <c r="D420" s="316"/>
      <c r="E420" s="317"/>
      <c r="F420" s="22">
        <f>F353+F364+F375+F386+F397+F408+F419+F336</f>
        <v>104</v>
      </c>
      <c r="G420" s="22">
        <f>G353+G364+G375+G386+G397+G408+G419+G336</f>
        <v>20</v>
      </c>
      <c r="H420" s="22">
        <f>H353+H364+H375+H386+H397+H408+H419+H336</f>
        <v>675.75</v>
      </c>
      <c r="I420" s="22"/>
    </row>
  </sheetData>
  <mergeCells count="70">
    <mergeCell ref="F341:H341"/>
    <mergeCell ref="A353:E353"/>
    <mergeCell ref="A335:E335"/>
    <mergeCell ref="A255:C255"/>
    <mergeCell ref="A256:C256"/>
    <mergeCell ref="A302:E302"/>
    <mergeCell ref="A313:E313"/>
    <mergeCell ref="A337:I337"/>
    <mergeCell ref="A339:C339"/>
    <mergeCell ref="A340:C340"/>
    <mergeCell ref="A291:E291"/>
    <mergeCell ref="F340:G340"/>
    <mergeCell ref="A338:E338"/>
    <mergeCell ref="F257:H257"/>
    <mergeCell ref="A269:E269"/>
    <mergeCell ref="A280:E280"/>
    <mergeCell ref="A196:E196"/>
    <mergeCell ref="A207:E207"/>
    <mergeCell ref="A185:E185"/>
    <mergeCell ref="F88:G88"/>
    <mergeCell ref="F172:G172"/>
    <mergeCell ref="A170:E170"/>
    <mergeCell ref="A167:E167"/>
    <mergeCell ref="A169:I169"/>
    <mergeCell ref="A171:C171"/>
    <mergeCell ref="A172:C172"/>
    <mergeCell ref="F89:H89"/>
    <mergeCell ref="A218:E218"/>
    <mergeCell ref="A240:E240"/>
    <mergeCell ref="A251:E251"/>
    <mergeCell ref="A253:I253"/>
    <mergeCell ref="F256:G256"/>
    <mergeCell ref="A254:E254"/>
    <mergeCell ref="A1:I1"/>
    <mergeCell ref="A3:C3"/>
    <mergeCell ref="A4:C4"/>
    <mergeCell ref="F5:H5"/>
    <mergeCell ref="F4:G4"/>
    <mergeCell ref="A2:E2"/>
    <mergeCell ref="A17:E17"/>
    <mergeCell ref="A28:E28"/>
    <mergeCell ref="A39:E39"/>
    <mergeCell ref="A50:E50"/>
    <mergeCell ref="A156:E156"/>
    <mergeCell ref="A145:E145"/>
    <mergeCell ref="A87:C87"/>
    <mergeCell ref="A101:E101"/>
    <mergeCell ref="A86:E86"/>
    <mergeCell ref="A61:E61"/>
    <mergeCell ref="A83:E83"/>
    <mergeCell ref="A72:E72"/>
    <mergeCell ref="A112:E112"/>
    <mergeCell ref="A123:E123"/>
    <mergeCell ref="A134:E134"/>
    <mergeCell ref="A420:E420"/>
    <mergeCell ref="A419:E419"/>
    <mergeCell ref="A84:E84"/>
    <mergeCell ref="A168:E168"/>
    <mergeCell ref="A252:E252"/>
    <mergeCell ref="A336:E336"/>
    <mergeCell ref="A364:E364"/>
    <mergeCell ref="A375:E375"/>
    <mergeCell ref="A386:E386"/>
    <mergeCell ref="A397:E397"/>
    <mergeCell ref="A408:E408"/>
    <mergeCell ref="A88:C88"/>
    <mergeCell ref="A229:E229"/>
    <mergeCell ref="A324:E324"/>
    <mergeCell ref="A85:I85"/>
    <mergeCell ref="F173:H173"/>
  </mergeCells>
  <pageMargins left="0.59055118110236227" right="0.39370078740157483" top="0.59055118110236227" bottom="0.39370078740157483" header="0.31496062992125984" footer="0.31496062992125984"/>
  <pageSetup paperSize="9" scale="99" fitToHeight="5" orientation="portrait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0"/>
  <sheetViews>
    <sheetView topLeftCell="A345" zoomScale="150" zoomScaleNormal="150" workbookViewId="0">
      <selection activeCell="D422" sqref="D422"/>
    </sheetView>
  </sheetViews>
  <sheetFormatPr defaultColWidth="9" defaultRowHeight="17.25" x14ac:dyDescent="0.2"/>
  <cols>
    <col min="1" max="1" width="4" style="1" bestFit="1" customWidth="1"/>
    <col min="2" max="2" width="10.625" style="7" customWidth="1"/>
    <col min="3" max="3" width="11.25" style="76" customWidth="1"/>
    <col min="4" max="4" width="17.25" style="1" customWidth="1"/>
    <col min="5" max="5" width="10.625" style="1" customWidth="1"/>
    <col min="6" max="8" width="7.625" style="1" customWidth="1"/>
    <col min="9" max="9" width="18" style="1" customWidth="1"/>
    <col min="10" max="16384" width="9" style="1"/>
  </cols>
  <sheetData>
    <row r="1" spans="1:9" ht="21.95" customHeight="1" x14ac:dyDescent="0.2">
      <c r="A1" s="319" t="s">
        <v>14</v>
      </c>
      <c r="B1" s="319"/>
      <c r="C1" s="319"/>
      <c r="D1" s="319"/>
      <c r="E1" s="319"/>
      <c r="F1" s="319"/>
      <c r="G1" s="319"/>
      <c r="H1" s="319"/>
      <c r="I1" s="319"/>
    </row>
    <row r="2" spans="1:9" s="53" customFormat="1" ht="20.100000000000001" customHeight="1" x14ac:dyDescent="0.2">
      <c r="A2" s="323" t="s">
        <v>86</v>
      </c>
      <c r="B2" s="323"/>
      <c r="C2" s="323"/>
      <c r="D2" s="323"/>
      <c r="E2" s="323"/>
      <c r="F2" s="104" t="str">
        <f>'1'!$F$2</f>
        <v>เมษายน</v>
      </c>
      <c r="G2" s="50" t="s">
        <v>87</v>
      </c>
      <c r="H2" s="51">
        <f>'1'!$H$2</f>
        <v>2569</v>
      </c>
      <c r="I2" s="52"/>
    </row>
    <row r="3" spans="1:9" s="3" customFormat="1" ht="20.100000000000001" customHeight="1" x14ac:dyDescent="0.4">
      <c r="A3" s="318" t="s">
        <v>29</v>
      </c>
      <c r="B3" s="318"/>
      <c r="C3" s="318"/>
      <c r="D3" s="2"/>
      <c r="F3" s="4"/>
      <c r="G3" s="4"/>
      <c r="H3" s="4" t="s">
        <v>21</v>
      </c>
      <c r="I3" s="41">
        <v>1</v>
      </c>
    </row>
    <row r="4" spans="1:9" s="49" customFormat="1" ht="20.100000000000001" customHeight="1" x14ac:dyDescent="0.35">
      <c r="A4" s="327" t="s">
        <v>63</v>
      </c>
      <c r="B4" s="327"/>
      <c r="C4" s="327"/>
      <c r="D4" s="46"/>
      <c r="E4" s="47" t="s">
        <v>81</v>
      </c>
      <c r="F4" s="328">
        <f>'1'!$F$4</f>
        <v>46107</v>
      </c>
      <c r="G4" s="328"/>
      <c r="H4" s="47" t="s">
        <v>82</v>
      </c>
      <c r="I4" s="48">
        <f>'1'!$I$4</f>
        <v>46136</v>
      </c>
    </row>
    <row r="5" spans="1:9" x14ac:dyDescent="0.2">
      <c r="A5" s="12" t="s">
        <v>23</v>
      </c>
      <c r="B5" s="13" t="s">
        <v>11</v>
      </c>
      <c r="C5" s="72" t="s">
        <v>26</v>
      </c>
      <c r="D5" s="12" t="s">
        <v>16</v>
      </c>
      <c r="E5" s="12" t="s">
        <v>17</v>
      </c>
      <c r="F5" s="310" t="s">
        <v>46</v>
      </c>
      <c r="G5" s="310"/>
      <c r="H5" s="310"/>
      <c r="I5" s="12" t="s">
        <v>19</v>
      </c>
    </row>
    <row r="6" spans="1:9" x14ac:dyDescent="0.2">
      <c r="A6" s="15"/>
      <c r="B6" s="16"/>
      <c r="C6" s="73"/>
      <c r="D6" s="15"/>
      <c r="E6" s="15"/>
      <c r="F6" s="21" t="s">
        <v>113</v>
      </c>
      <c r="G6" s="21" t="s">
        <v>114</v>
      </c>
      <c r="H6" s="21" t="s">
        <v>20</v>
      </c>
      <c r="I6" s="15"/>
    </row>
    <row r="7" spans="1:9" x14ac:dyDescent="0.2">
      <c r="A7" s="29">
        <v>1</v>
      </c>
      <c r="B7" s="30">
        <f>'4'!B7</f>
        <v>46107</v>
      </c>
      <c r="C7" s="77" t="s">
        <v>194</v>
      </c>
      <c r="D7" s="29" t="s">
        <v>178</v>
      </c>
      <c r="E7" s="29" t="s">
        <v>165</v>
      </c>
      <c r="F7" s="6">
        <v>1</v>
      </c>
      <c r="G7" s="6"/>
      <c r="H7" s="6">
        <v>6</v>
      </c>
      <c r="I7" s="29"/>
    </row>
    <row r="8" spans="1:9" x14ac:dyDescent="0.2">
      <c r="A8" s="29">
        <v>2</v>
      </c>
      <c r="B8" s="30"/>
      <c r="C8" s="77" t="s">
        <v>195</v>
      </c>
      <c r="D8" s="29" t="s">
        <v>196</v>
      </c>
      <c r="E8" s="29" t="s">
        <v>168</v>
      </c>
      <c r="F8" s="6">
        <v>1</v>
      </c>
      <c r="G8" s="6"/>
      <c r="H8" s="6">
        <v>3</v>
      </c>
      <c r="I8" s="29"/>
    </row>
    <row r="9" spans="1:9" x14ac:dyDescent="0.2">
      <c r="A9" s="29">
        <v>3</v>
      </c>
      <c r="B9" s="30"/>
      <c r="C9" s="77" t="s">
        <v>197</v>
      </c>
      <c r="D9" s="29" t="s">
        <v>170</v>
      </c>
      <c r="E9" s="29" t="s">
        <v>171</v>
      </c>
      <c r="F9" s="54">
        <v>1</v>
      </c>
      <c r="G9" s="6"/>
      <c r="H9" s="6">
        <v>6</v>
      </c>
      <c r="I9" s="29"/>
    </row>
    <row r="10" spans="1:9" x14ac:dyDescent="0.2">
      <c r="A10" s="29">
        <v>4</v>
      </c>
      <c r="B10" s="30"/>
      <c r="C10" s="77" t="s">
        <v>198</v>
      </c>
      <c r="D10" s="29" t="s">
        <v>170</v>
      </c>
      <c r="E10" s="29" t="s">
        <v>171</v>
      </c>
      <c r="F10" s="6">
        <v>1</v>
      </c>
      <c r="G10" s="6"/>
      <c r="H10" s="6">
        <v>6</v>
      </c>
      <c r="I10" s="29"/>
    </row>
    <row r="11" spans="1:9" x14ac:dyDescent="0.2">
      <c r="A11" s="29">
        <v>5</v>
      </c>
      <c r="B11" s="30"/>
      <c r="C11" s="77" t="s">
        <v>199</v>
      </c>
      <c r="D11" s="29" t="s">
        <v>170</v>
      </c>
      <c r="E11" s="29" t="s">
        <v>171</v>
      </c>
      <c r="F11" s="6">
        <v>1</v>
      </c>
      <c r="G11" s="6"/>
      <c r="H11" s="6">
        <v>6</v>
      </c>
      <c r="I11" s="29"/>
    </row>
    <row r="12" spans="1:9" hidden="1" x14ac:dyDescent="0.2">
      <c r="A12" s="29">
        <v>6</v>
      </c>
      <c r="B12" s="30"/>
      <c r="C12" s="77"/>
      <c r="D12" s="29"/>
      <c r="E12" s="29"/>
      <c r="F12" s="6"/>
      <c r="G12" s="6"/>
      <c r="H12" s="6"/>
      <c r="I12" s="29"/>
    </row>
    <row r="13" spans="1:9" hidden="1" x14ac:dyDescent="0.2">
      <c r="A13" s="8" t="s">
        <v>6</v>
      </c>
      <c r="B13" s="5"/>
      <c r="C13" s="74"/>
      <c r="D13" s="6"/>
      <c r="E13" s="6"/>
      <c r="F13" s="6"/>
      <c r="G13" s="6"/>
      <c r="H13" s="6"/>
      <c r="I13" s="6"/>
    </row>
    <row r="14" spans="1:9" hidden="1" x14ac:dyDescent="0.2">
      <c r="A14" s="8" t="s">
        <v>7</v>
      </c>
      <c r="B14" s="5"/>
      <c r="C14" s="74"/>
      <c r="D14" s="6"/>
      <c r="E14" s="6"/>
      <c r="F14" s="6"/>
      <c r="G14" s="6"/>
      <c r="H14" s="6"/>
      <c r="I14" s="6"/>
    </row>
    <row r="15" spans="1:9" hidden="1" x14ac:dyDescent="0.2">
      <c r="A15" s="8" t="s">
        <v>8</v>
      </c>
      <c r="B15" s="5"/>
      <c r="C15" s="74"/>
      <c r="D15" s="6"/>
      <c r="E15" s="6"/>
      <c r="F15" s="6"/>
      <c r="G15" s="6"/>
      <c r="H15" s="6"/>
      <c r="I15" s="6"/>
    </row>
    <row r="16" spans="1:9" hidden="1" x14ac:dyDescent="0.2">
      <c r="A16" s="8" t="s">
        <v>9</v>
      </c>
      <c r="B16" s="5"/>
      <c r="C16" s="74"/>
      <c r="D16" s="6"/>
      <c r="E16" s="6"/>
      <c r="F16" s="6"/>
      <c r="G16" s="6"/>
      <c r="H16" s="6"/>
      <c r="I16" s="6"/>
    </row>
    <row r="17" spans="1:9" x14ac:dyDescent="0.2">
      <c r="A17" s="312" t="s">
        <v>10</v>
      </c>
      <c r="B17" s="313"/>
      <c r="C17" s="313"/>
      <c r="D17" s="313"/>
      <c r="E17" s="314"/>
      <c r="F17" s="11">
        <f>SUM(F7:F16)</f>
        <v>5</v>
      </c>
      <c r="G17" s="11">
        <f>SUM(G7:G16)</f>
        <v>0</v>
      </c>
      <c r="H17" s="11">
        <f>SUM(H7:H16)</f>
        <v>27</v>
      </c>
      <c r="I17" s="11"/>
    </row>
    <row r="18" spans="1:9" x14ac:dyDescent="0.2">
      <c r="A18" s="8" t="s">
        <v>0</v>
      </c>
      <c r="B18" s="5">
        <f>B7+1</f>
        <v>46108</v>
      </c>
      <c r="C18" s="75" t="s">
        <v>266</v>
      </c>
      <c r="D18" s="6" t="s">
        <v>250</v>
      </c>
      <c r="E18" s="6" t="s">
        <v>168</v>
      </c>
      <c r="F18" s="6">
        <v>1</v>
      </c>
      <c r="G18" s="6"/>
      <c r="H18" s="6">
        <v>5</v>
      </c>
      <c r="I18" s="6"/>
    </row>
    <row r="19" spans="1:9" x14ac:dyDescent="0.2">
      <c r="A19" s="8" t="s">
        <v>1</v>
      </c>
      <c r="B19" s="5"/>
      <c r="C19" s="75" t="s">
        <v>267</v>
      </c>
      <c r="D19" s="6" t="s">
        <v>242</v>
      </c>
      <c r="E19" s="6" t="s">
        <v>171</v>
      </c>
      <c r="F19" s="6">
        <v>1</v>
      </c>
      <c r="G19" s="6"/>
      <c r="H19" s="6">
        <v>5</v>
      </c>
      <c r="I19" s="6"/>
    </row>
    <row r="20" spans="1:9" x14ac:dyDescent="0.2">
      <c r="A20" s="8" t="s">
        <v>2</v>
      </c>
      <c r="B20" s="5"/>
      <c r="C20" s="75" t="s">
        <v>268</v>
      </c>
      <c r="D20" s="6" t="s">
        <v>170</v>
      </c>
      <c r="E20" s="6" t="s">
        <v>171</v>
      </c>
      <c r="F20" s="6">
        <v>1</v>
      </c>
      <c r="G20" s="6"/>
      <c r="H20" s="6">
        <v>6</v>
      </c>
      <c r="I20" s="6"/>
    </row>
    <row r="21" spans="1:9" x14ac:dyDescent="0.2">
      <c r="A21" s="8" t="s">
        <v>3</v>
      </c>
      <c r="B21" s="5"/>
      <c r="C21" s="75" t="s">
        <v>269</v>
      </c>
      <c r="D21" s="6" t="s">
        <v>170</v>
      </c>
      <c r="E21" s="6" t="s">
        <v>171</v>
      </c>
      <c r="F21" s="6">
        <v>1</v>
      </c>
      <c r="G21" s="6"/>
      <c r="H21" s="6">
        <v>6</v>
      </c>
      <c r="I21" s="6"/>
    </row>
    <row r="22" spans="1:9" x14ac:dyDescent="0.2">
      <c r="A22" s="8" t="s">
        <v>4</v>
      </c>
      <c r="B22" s="5"/>
      <c r="C22" s="75" t="s">
        <v>270</v>
      </c>
      <c r="D22" s="6" t="s">
        <v>170</v>
      </c>
      <c r="E22" s="6" t="s">
        <v>171</v>
      </c>
      <c r="F22" s="6">
        <v>1</v>
      </c>
      <c r="G22" s="6"/>
      <c r="H22" s="6">
        <v>6</v>
      </c>
      <c r="I22" s="6"/>
    </row>
    <row r="23" spans="1:9" x14ac:dyDescent="0.2">
      <c r="A23" s="8" t="s">
        <v>5</v>
      </c>
      <c r="B23" s="5"/>
      <c r="C23" s="75" t="s">
        <v>271</v>
      </c>
      <c r="D23" s="6" t="s">
        <v>242</v>
      </c>
      <c r="E23" s="6" t="s">
        <v>171</v>
      </c>
      <c r="F23" s="6">
        <v>1</v>
      </c>
      <c r="G23" s="6"/>
      <c r="H23" s="6">
        <v>6</v>
      </c>
      <c r="I23" s="6"/>
    </row>
    <row r="24" spans="1:9" x14ac:dyDescent="0.2">
      <c r="A24" s="8" t="s">
        <v>6</v>
      </c>
      <c r="B24" s="5"/>
      <c r="C24" s="75" t="s">
        <v>272</v>
      </c>
      <c r="D24" s="6" t="s">
        <v>170</v>
      </c>
      <c r="E24" s="6" t="s">
        <v>171</v>
      </c>
      <c r="F24" s="6"/>
      <c r="G24" s="6">
        <v>1</v>
      </c>
      <c r="H24" s="6">
        <v>6</v>
      </c>
      <c r="I24" s="6"/>
    </row>
    <row r="25" spans="1:9" hidden="1" x14ac:dyDescent="0.2">
      <c r="A25" s="8" t="s">
        <v>7</v>
      </c>
      <c r="B25" s="5"/>
      <c r="C25" s="75"/>
      <c r="D25" s="6"/>
      <c r="E25" s="6"/>
      <c r="F25" s="6"/>
      <c r="G25" s="6"/>
      <c r="H25" s="6"/>
      <c r="I25" s="6"/>
    </row>
    <row r="26" spans="1:9" hidden="1" x14ac:dyDescent="0.2">
      <c r="A26" s="8" t="s">
        <v>8</v>
      </c>
      <c r="B26" s="5"/>
      <c r="C26" s="74"/>
      <c r="D26" s="6"/>
      <c r="E26" s="6"/>
      <c r="F26" s="6"/>
      <c r="G26" s="6"/>
      <c r="H26" s="6"/>
      <c r="I26" s="6"/>
    </row>
    <row r="27" spans="1:9" hidden="1" x14ac:dyDescent="0.2">
      <c r="A27" s="8" t="s">
        <v>9</v>
      </c>
      <c r="B27" s="5"/>
      <c r="C27" s="74"/>
      <c r="D27" s="6"/>
      <c r="E27" s="6"/>
      <c r="F27" s="6"/>
      <c r="G27" s="6"/>
      <c r="H27" s="6"/>
      <c r="I27" s="6"/>
    </row>
    <row r="28" spans="1:9" x14ac:dyDescent="0.2">
      <c r="A28" s="312" t="s">
        <v>10</v>
      </c>
      <c r="B28" s="313"/>
      <c r="C28" s="313"/>
      <c r="D28" s="313"/>
      <c r="E28" s="314"/>
      <c r="F28" s="11">
        <f>SUM(F18:F27)</f>
        <v>6</v>
      </c>
      <c r="G28" s="11">
        <f>SUM(G18:G27)</f>
        <v>1</v>
      </c>
      <c r="H28" s="11">
        <f>SUM(H18:H27)</f>
        <v>40</v>
      </c>
      <c r="I28" s="11"/>
    </row>
    <row r="29" spans="1:9" x14ac:dyDescent="0.2">
      <c r="A29" s="8" t="s">
        <v>0</v>
      </c>
      <c r="B29" s="5">
        <f>B18+1</f>
        <v>46109</v>
      </c>
      <c r="C29" s="75" t="s">
        <v>352</v>
      </c>
      <c r="D29" s="6" t="s">
        <v>250</v>
      </c>
      <c r="E29" s="6" t="s">
        <v>168</v>
      </c>
      <c r="F29" s="6">
        <v>1</v>
      </c>
      <c r="G29" s="6"/>
      <c r="H29" s="6">
        <v>5</v>
      </c>
      <c r="I29" s="6"/>
    </row>
    <row r="30" spans="1:9" x14ac:dyDescent="0.2">
      <c r="A30" s="8" t="s">
        <v>1</v>
      </c>
      <c r="B30" s="5"/>
      <c r="C30" s="75" t="s">
        <v>353</v>
      </c>
      <c r="D30" s="6" t="s">
        <v>250</v>
      </c>
      <c r="E30" s="6" t="s">
        <v>168</v>
      </c>
      <c r="F30" s="6">
        <v>1</v>
      </c>
      <c r="G30" s="6"/>
      <c r="H30" s="6">
        <v>5</v>
      </c>
      <c r="I30" s="6"/>
    </row>
    <row r="31" spans="1:9" x14ac:dyDescent="0.2">
      <c r="A31" s="8" t="s">
        <v>2</v>
      </c>
      <c r="B31" s="5"/>
      <c r="C31" s="75" t="s">
        <v>336</v>
      </c>
      <c r="D31" s="6" t="s">
        <v>173</v>
      </c>
      <c r="E31" s="6" t="s">
        <v>174</v>
      </c>
      <c r="F31" s="6">
        <v>1</v>
      </c>
      <c r="G31" s="6"/>
      <c r="H31" s="6">
        <v>4</v>
      </c>
      <c r="I31" s="6"/>
    </row>
    <row r="32" spans="1:9" hidden="1" x14ac:dyDescent="0.2">
      <c r="A32" s="8" t="s">
        <v>3</v>
      </c>
      <c r="B32" s="5"/>
      <c r="C32" s="75"/>
      <c r="D32" s="6"/>
      <c r="E32" s="6"/>
      <c r="F32" s="6"/>
      <c r="G32" s="6"/>
      <c r="H32" s="6"/>
      <c r="I32" s="6"/>
    </row>
    <row r="33" spans="1:9" hidden="1" x14ac:dyDescent="0.2">
      <c r="A33" s="8" t="s">
        <v>4</v>
      </c>
      <c r="B33" s="5"/>
      <c r="C33" s="74"/>
      <c r="D33" s="6"/>
      <c r="E33" s="6"/>
      <c r="F33" s="6"/>
      <c r="G33" s="6"/>
      <c r="H33" s="6"/>
      <c r="I33" s="6"/>
    </row>
    <row r="34" spans="1:9" hidden="1" x14ac:dyDescent="0.2">
      <c r="A34" s="8" t="s">
        <v>5</v>
      </c>
      <c r="B34" s="5"/>
      <c r="C34" s="74"/>
      <c r="D34" s="6"/>
      <c r="E34" s="6"/>
      <c r="F34" s="6"/>
      <c r="G34" s="6"/>
      <c r="H34" s="6"/>
      <c r="I34" s="6"/>
    </row>
    <row r="35" spans="1:9" hidden="1" x14ac:dyDescent="0.2">
      <c r="A35" s="8" t="s">
        <v>6</v>
      </c>
      <c r="B35" s="5"/>
      <c r="C35" s="74"/>
      <c r="D35" s="6"/>
      <c r="E35" s="6"/>
      <c r="F35" s="6"/>
      <c r="G35" s="6"/>
      <c r="H35" s="6"/>
      <c r="I35" s="6"/>
    </row>
    <row r="36" spans="1:9" hidden="1" x14ac:dyDescent="0.2">
      <c r="A36" s="8" t="s">
        <v>7</v>
      </c>
      <c r="B36" s="5"/>
      <c r="C36" s="74"/>
      <c r="D36" s="6"/>
      <c r="E36" s="6"/>
      <c r="F36" s="6"/>
      <c r="G36" s="6"/>
      <c r="H36" s="6"/>
      <c r="I36" s="6"/>
    </row>
    <row r="37" spans="1:9" hidden="1" x14ac:dyDescent="0.2">
      <c r="A37" s="8" t="s">
        <v>8</v>
      </c>
      <c r="B37" s="5"/>
      <c r="C37" s="74"/>
      <c r="D37" s="6"/>
      <c r="E37" s="6"/>
      <c r="F37" s="6"/>
      <c r="G37" s="6"/>
      <c r="H37" s="6"/>
      <c r="I37" s="6"/>
    </row>
    <row r="38" spans="1:9" hidden="1" x14ac:dyDescent="0.2">
      <c r="A38" s="8" t="s">
        <v>9</v>
      </c>
      <c r="B38" s="5"/>
      <c r="C38" s="74"/>
      <c r="D38" s="6"/>
      <c r="E38" s="6"/>
      <c r="F38" s="6"/>
      <c r="G38" s="6"/>
      <c r="H38" s="6"/>
      <c r="I38" s="6"/>
    </row>
    <row r="39" spans="1:9" x14ac:dyDescent="0.2">
      <c r="A39" s="312" t="s">
        <v>10</v>
      </c>
      <c r="B39" s="313"/>
      <c r="C39" s="313"/>
      <c r="D39" s="313"/>
      <c r="E39" s="314"/>
      <c r="F39" s="11">
        <f>SUM(F29:F38)</f>
        <v>3</v>
      </c>
      <c r="G39" s="11">
        <f>SUM(G29:G38)</f>
        <v>0</v>
      </c>
      <c r="H39" s="11">
        <f>SUM(H29:H38)</f>
        <v>14</v>
      </c>
      <c r="I39" s="11"/>
    </row>
    <row r="40" spans="1:9" x14ac:dyDescent="0.2">
      <c r="A40" s="8" t="s">
        <v>0</v>
      </c>
      <c r="B40" s="5">
        <f>B29+1</f>
        <v>46110</v>
      </c>
      <c r="C40" s="75" t="s">
        <v>392</v>
      </c>
      <c r="D40" s="6" t="s">
        <v>371</v>
      </c>
      <c r="E40" s="6" t="s">
        <v>165</v>
      </c>
      <c r="F40" s="6">
        <v>1</v>
      </c>
      <c r="G40" s="6"/>
      <c r="H40" s="6">
        <v>6</v>
      </c>
      <c r="I40" s="6"/>
    </row>
    <row r="41" spans="1:9" x14ac:dyDescent="0.2">
      <c r="A41" s="8" t="s">
        <v>1</v>
      </c>
      <c r="B41" s="5"/>
      <c r="C41" s="75" t="s">
        <v>393</v>
      </c>
      <c r="D41" s="6" t="s">
        <v>242</v>
      </c>
      <c r="E41" s="6" t="s">
        <v>171</v>
      </c>
      <c r="F41" s="6">
        <v>1</v>
      </c>
      <c r="G41" s="6"/>
      <c r="H41" s="6">
        <v>5.5</v>
      </c>
      <c r="I41" s="6"/>
    </row>
    <row r="42" spans="1:9" x14ac:dyDescent="0.2">
      <c r="A42" s="8" t="s">
        <v>2</v>
      </c>
      <c r="B42" s="5"/>
      <c r="C42" s="75" t="s">
        <v>394</v>
      </c>
      <c r="D42" s="6" t="s">
        <v>242</v>
      </c>
      <c r="E42" s="6" t="s">
        <v>171</v>
      </c>
      <c r="F42" s="6">
        <v>1</v>
      </c>
      <c r="G42" s="6"/>
      <c r="H42" s="6">
        <v>5.5</v>
      </c>
      <c r="I42" s="6"/>
    </row>
    <row r="43" spans="1:9" x14ac:dyDescent="0.2">
      <c r="A43" s="8" t="s">
        <v>3</v>
      </c>
      <c r="B43" s="5"/>
      <c r="C43" s="75" t="s">
        <v>395</v>
      </c>
      <c r="D43" s="6" t="s">
        <v>242</v>
      </c>
      <c r="E43" s="6" t="s">
        <v>171</v>
      </c>
      <c r="F43" s="6">
        <v>1</v>
      </c>
      <c r="G43" s="6"/>
      <c r="H43" s="6">
        <v>5.5</v>
      </c>
      <c r="I43" s="6"/>
    </row>
    <row r="44" spans="1:9" x14ac:dyDescent="0.2">
      <c r="A44" s="8" t="s">
        <v>4</v>
      </c>
      <c r="B44" s="5"/>
      <c r="C44" s="75" t="s">
        <v>398</v>
      </c>
      <c r="D44" s="6" t="s">
        <v>242</v>
      </c>
      <c r="E44" s="6" t="s">
        <v>171</v>
      </c>
      <c r="F44" s="6">
        <v>1</v>
      </c>
      <c r="G44" s="6"/>
      <c r="H44" s="6">
        <v>6</v>
      </c>
      <c r="I44" s="6"/>
    </row>
    <row r="45" spans="1:9" x14ac:dyDescent="0.2">
      <c r="A45" s="8" t="s">
        <v>5</v>
      </c>
      <c r="B45" s="5"/>
      <c r="C45" s="75" t="s">
        <v>399</v>
      </c>
      <c r="D45" s="6" t="s">
        <v>202</v>
      </c>
      <c r="E45" s="6" t="s">
        <v>165</v>
      </c>
      <c r="F45" s="6"/>
      <c r="G45" s="6">
        <v>1</v>
      </c>
      <c r="H45" s="6">
        <v>4</v>
      </c>
      <c r="I45" s="6"/>
    </row>
    <row r="46" spans="1:9" hidden="1" x14ac:dyDescent="0.2">
      <c r="A46" s="8" t="s">
        <v>6</v>
      </c>
      <c r="B46" s="5"/>
      <c r="C46" s="75"/>
      <c r="D46" s="6"/>
      <c r="E46" s="6"/>
      <c r="F46" s="6"/>
      <c r="G46" s="6"/>
      <c r="H46" s="6"/>
      <c r="I46" s="6"/>
    </row>
    <row r="47" spans="1:9" hidden="1" x14ac:dyDescent="0.2">
      <c r="A47" s="8" t="s">
        <v>7</v>
      </c>
      <c r="B47" s="5"/>
      <c r="C47" s="74"/>
      <c r="D47" s="6"/>
      <c r="E47" s="6"/>
      <c r="F47" s="6"/>
      <c r="G47" s="6"/>
      <c r="H47" s="6"/>
      <c r="I47" s="6"/>
    </row>
    <row r="48" spans="1:9" hidden="1" x14ac:dyDescent="0.2">
      <c r="A48" s="8" t="s">
        <v>8</v>
      </c>
      <c r="B48" s="5"/>
      <c r="C48" s="74"/>
      <c r="D48" s="6"/>
      <c r="E48" s="6"/>
      <c r="F48" s="6"/>
      <c r="G48" s="6"/>
      <c r="H48" s="6"/>
      <c r="I48" s="6"/>
    </row>
    <row r="49" spans="1:9" hidden="1" x14ac:dyDescent="0.2">
      <c r="A49" s="8" t="s">
        <v>9</v>
      </c>
      <c r="B49" s="5"/>
      <c r="C49" s="74"/>
      <c r="D49" s="6"/>
      <c r="E49" s="6"/>
      <c r="F49" s="6"/>
      <c r="G49" s="6"/>
      <c r="H49" s="6"/>
      <c r="I49" s="6"/>
    </row>
    <row r="50" spans="1:9" x14ac:dyDescent="0.2">
      <c r="A50" s="312" t="s">
        <v>10</v>
      </c>
      <c r="B50" s="313"/>
      <c r="C50" s="313"/>
      <c r="D50" s="313"/>
      <c r="E50" s="314"/>
      <c r="F50" s="11">
        <f>SUM(F40:F49)</f>
        <v>5</v>
      </c>
      <c r="G50" s="11">
        <f>SUM(G40:G49)</f>
        <v>1</v>
      </c>
      <c r="H50" s="11">
        <f>SUM(H40:H49)</f>
        <v>32.5</v>
      </c>
      <c r="I50" s="11"/>
    </row>
    <row r="51" spans="1:9" x14ac:dyDescent="0.2">
      <c r="A51" s="8" t="s">
        <v>0</v>
      </c>
      <c r="B51" s="5">
        <f>B40+1</f>
        <v>46111</v>
      </c>
      <c r="C51" s="75" t="s">
        <v>465</v>
      </c>
      <c r="D51" s="6" t="s">
        <v>170</v>
      </c>
      <c r="E51" s="6" t="s">
        <v>184</v>
      </c>
      <c r="F51" s="6">
        <v>1</v>
      </c>
      <c r="G51" s="6"/>
      <c r="H51" s="6">
        <v>1</v>
      </c>
      <c r="I51" s="6"/>
    </row>
    <row r="52" spans="1:9" x14ac:dyDescent="0.2">
      <c r="A52" s="8" t="s">
        <v>1</v>
      </c>
      <c r="B52" s="5"/>
      <c r="C52" s="75" t="s">
        <v>466</v>
      </c>
      <c r="D52" s="6" t="s">
        <v>170</v>
      </c>
      <c r="E52" s="6" t="s">
        <v>171</v>
      </c>
      <c r="F52" s="6">
        <v>1</v>
      </c>
      <c r="G52" s="6"/>
      <c r="H52" s="6">
        <v>6</v>
      </c>
      <c r="I52" s="6"/>
    </row>
    <row r="53" spans="1:9" x14ac:dyDescent="0.2">
      <c r="A53" s="8" t="s">
        <v>2</v>
      </c>
      <c r="B53" s="5"/>
      <c r="C53" s="75" t="s">
        <v>467</v>
      </c>
      <c r="D53" s="6" t="s">
        <v>170</v>
      </c>
      <c r="E53" s="6" t="s">
        <v>171</v>
      </c>
      <c r="F53" s="6">
        <v>1</v>
      </c>
      <c r="G53" s="6"/>
      <c r="H53" s="6">
        <v>6</v>
      </c>
      <c r="I53" s="6"/>
    </row>
    <row r="54" spans="1:9" x14ac:dyDescent="0.2">
      <c r="A54" s="8" t="s">
        <v>3</v>
      </c>
      <c r="B54" s="5"/>
      <c r="C54" s="75" t="s">
        <v>468</v>
      </c>
      <c r="D54" s="6" t="s">
        <v>170</v>
      </c>
      <c r="E54" s="6" t="s">
        <v>171</v>
      </c>
      <c r="F54" s="6">
        <v>1</v>
      </c>
      <c r="G54" s="6"/>
      <c r="H54" s="6">
        <v>6</v>
      </c>
      <c r="I54" s="6"/>
    </row>
    <row r="55" spans="1:9" x14ac:dyDescent="0.2">
      <c r="A55" s="8" t="s">
        <v>4</v>
      </c>
      <c r="B55" s="5"/>
      <c r="C55" s="75" t="s">
        <v>469</v>
      </c>
      <c r="D55" s="6" t="s">
        <v>170</v>
      </c>
      <c r="E55" s="6" t="s">
        <v>171</v>
      </c>
      <c r="F55" s="6">
        <v>1</v>
      </c>
      <c r="G55" s="6"/>
      <c r="H55" s="6">
        <v>6</v>
      </c>
      <c r="I55" s="6"/>
    </row>
    <row r="56" spans="1:9" x14ac:dyDescent="0.2">
      <c r="A56" s="8" t="s">
        <v>5</v>
      </c>
      <c r="B56" s="5"/>
      <c r="C56" s="75" t="s">
        <v>470</v>
      </c>
      <c r="D56" s="6" t="s">
        <v>170</v>
      </c>
      <c r="E56" s="6" t="s">
        <v>174</v>
      </c>
      <c r="F56" s="6">
        <v>1</v>
      </c>
      <c r="G56" s="6"/>
      <c r="H56" s="6">
        <v>3.5</v>
      </c>
      <c r="I56" s="6"/>
    </row>
    <row r="57" spans="1:9" hidden="1" x14ac:dyDescent="0.2">
      <c r="A57" s="8" t="s">
        <v>6</v>
      </c>
      <c r="B57" s="5"/>
      <c r="C57" s="74"/>
      <c r="D57" s="6"/>
      <c r="E57" s="6"/>
      <c r="F57" s="6"/>
      <c r="G57" s="6"/>
      <c r="H57" s="6"/>
      <c r="I57" s="6"/>
    </row>
    <row r="58" spans="1:9" hidden="1" x14ac:dyDescent="0.2">
      <c r="A58" s="8" t="s">
        <v>7</v>
      </c>
      <c r="B58" s="5"/>
      <c r="C58" s="74"/>
      <c r="D58" s="6"/>
      <c r="E58" s="6"/>
      <c r="F58" s="6"/>
      <c r="G58" s="6"/>
      <c r="H58" s="6"/>
      <c r="I58" s="6"/>
    </row>
    <row r="59" spans="1:9" hidden="1" x14ac:dyDescent="0.2">
      <c r="A59" s="8" t="s">
        <v>8</v>
      </c>
      <c r="B59" s="5"/>
      <c r="C59" s="74"/>
      <c r="D59" s="6"/>
      <c r="E59" s="6"/>
      <c r="F59" s="6"/>
      <c r="G59" s="6"/>
      <c r="H59" s="6"/>
      <c r="I59" s="6"/>
    </row>
    <row r="60" spans="1:9" hidden="1" x14ac:dyDescent="0.2">
      <c r="A60" s="8" t="s">
        <v>9</v>
      </c>
      <c r="B60" s="5"/>
      <c r="C60" s="74"/>
      <c r="D60" s="6"/>
      <c r="E60" s="6"/>
      <c r="F60" s="6"/>
      <c r="G60" s="6"/>
      <c r="H60" s="6"/>
      <c r="I60" s="6"/>
    </row>
    <row r="61" spans="1:9" x14ac:dyDescent="0.2">
      <c r="A61" s="312" t="s">
        <v>10</v>
      </c>
      <c r="B61" s="313"/>
      <c r="C61" s="313"/>
      <c r="D61" s="313"/>
      <c r="E61" s="314"/>
      <c r="F61" s="11">
        <f>SUM(F51:F60)</f>
        <v>6</v>
      </c>
      <c r="G61" s="11">
        <f>SUM(G51:G60)</f>
        <v>0</v>
      </c>
      <c r="H61" s="11">
        <f>SUM(H51:H60)</f>
        <v>28.5</v>
      </c>
      <c r="I61" s="11"/>
    </row>
    <row r="62" spans="1:9" x14ac:dyDescent="0.2">
      <c r="A62" s="8" t="s">
        <v>0</v>
      </c>
      <c r="B62" s="5">
        <f>B51+1</f>
        <v>46112</v>
      </c>
      <c r="C62" s="74" t="s">
        <v>536</v>
      </c>
      <c r="D62" s="6" t="s">
        <v>342</v>
      </c>
      <c r="E62" s="6" t="s">
        <v>165</v>
      </c>
      <c r="F62" s="6">
        <v>1</v>
      </c>
      <c r="G62" s="6"/>
      <c r="H62" s="6">
        <v>6</v>
      </c>
      <c r="I62" s="6"/>
    </row>
    <row r="63" spans="1:9" x14ac:dyDescent="0.2">
      <c r="A63" s="8" t="s">
        <v>1</v>
      </c>
      <c r="B63" s="5"/>
      <c r="C63" s="74" t="s">
        <v>537</v>
      </c>
      <c r="D63" s="6" t="s">
        <v>170</v>
      </c>
      <c r="E63" s="6" t="s">
        <v>171</v>
      </c>
      <c r="F63" s="6"/>
      <c r="G63" s="6">
        <v>1</v>
      </c>
      <c r="H63" s="6">
        <v>6</v>
      </c>
      <c r="I63" s="6"/>
    </row>
    <row r="64" spans="1:9" x14ac:dyDescent="0.2">
      <c r="A64" s="8" t="s">
        <v>2</v>
      </c>
      <c r="B64" s="5"/>
      <c r="C64" s="74" t="s">
        <v>538</v>
      </c>
      <c r="D64" s="6" t="s">
        <v>170</v>
      </c>
      <c r="E64" s="6" t="s">
        <v>171</v>
      </c>
      <c r="F64" s="6"/>
      <c r="G64" s="6">
        <v>1</v>
      </c>
      <c r="H64" s="6">
        <v>3</v>
      </c>
      <c r="I64" s="6"/>
    </row>
    <row r="65" spans="1:9" hidden="1" x14ac:dyDescent="0.2">
      <c r="A65" s="8" t="s">
        <v>3</v>
      </c>
      <c r="B65" s="5"/>
      <c r="C65" s="74"/>
      <c r="D65" s="6"/>
      <c r="E65" s="6"/>
      <c r="F65" s="6"/>
      <c r="G65" s="6"/>
      <c r="H65" s="6"/>
      <c r="I65" s="6"/>
    </row>
    <row r="66" spans="1:9" hidden="1" x14ac:dyDescent="0.2">
      <c r="A66" s="8" t="s">
        <v>4</v>
      </c>
      <c r="B66" s="5"/>
      <c r="C66" s="75"/>
      <c r="D66" s="6"/>
      <c r="E66" s="6"/>
      <c r="F66" s="6"/>
      <c r="G66" s="6"/>
      <c r="H66" s="6"/>
      <c r="I66" s="6"/>
    </row>
    <row r="67" spans="1:9" hidden="1" x14ac:dyDescent="0.2">
      <c r="A67" s="8" t="s">
        <v>5</v>
      </c>
      <c r="B67" s="5"/>
      <c r="C67" s="75"/>
      <c r="D67" s="6"/>
      <c r="E67" s="6"/>
      <c r="F67" s="6"/>
      <c r="G67" s="6"/>
      <c r="H67" s="6"/>
      <c r="I67" s="6"/>
    </row>
    <row r="68" spans="1:9" hidden="1" x14ac:dyDescent="0.2">
      <c r="A68" s="8" t="s">
        <v>6</v>
      </c>
      <c r="B68" s="5"/>
      <c r="C68" s="75"/>
      <c r="D68" s="6"/>
      <c r="E68" s="6"/>
      <c r="F68" s="6"/>
      <c r="G68" s="6"/>
      <c r="H68" s="6"/>
      <c r="I68" s="6"/>
    </row>
    <row r="69" spans="1:9" hidden="1" x14ac:dyDescent="0.2">
      <c r="A69" s="8" t="s">
        <v>7</v>
      </c>
      <c r="B69" s="5"/>
      <c r="C69" s="75"/>
      <c r="D69" s="6"/>
      <c r="E69" s="6"/>
      <c r="F69" s="6"/>
      <c r="G69" s="6"/>
      <c r="H69" s="6"/>
      <c r="I69" s="6"/>
    </row>
    <row r="70" spans="1:9" hidden="1" x14ac:dyDescent="0.2">
      <c r="A70" s="8" t="s">
        <v>8</v>
      </c>
      <c r="B70" s="5"/>
      <c r="C70" s="75"/>
      <c r="D70" s="6"/>
      <c r="E70" s="6"/>
      <c r="F70" s="6"/>
      <c r="G70" s="6"/>
      <c r="H70" s="6"/>
      <c r="I70" s="6"/>
    </row>
    <row r="71" spans="1:9" hidden="1" x14ac:dyDescent="0.2">
      <c r="A71" s="8" t="s">
        <v>9</v>
      </c>
      <c r="B71" s="5"/>
      <c r="C71" s="75"/>
      <c r="D71" s="6"/>
      <c r="E71" s="6"/>
      <c r="F71" s="6"/>
      <c r="G71" s="6"/>
      <c r="H71" s="6"/>
      <c r="I71" s="6"/>
    </row>
    <row r="72" spans="1:9" x14ac:dyDescent="0.2">
      <c r="A72" s="312" t="s">
        <v>10</v>
      </c>
      <c r="B72" s="313"/>
      <c r="C72" s="313"/>
      <c r="D72" s="313"/>
      <c r="E72" s="314"/>
      <c r="F72" s="11">
        <f>SUM(F62:F71)</f>
        <v>1</v>
      </c>
      <c r="G72" s="11">
        <f>SUM(G62:G71)</f>
        <v>2</v>
      </c>
      <c r="H72" s="11">
        <f>SUM(H62:H71)</f>
        <v>15</v>
      </c>
      <c r="I72" s="11"/>
    </row>
    <row r="73" spans="1:9" x14ac:dyDescent="0.2">
      <c r="A73" s="8" t="s">
        <v>0</v>
      </c>
      <c r="B73" s="5">
        <f>B62+1</f>
        <v>46113</v>
      </c>
      <c r="C73" s="74" t="s">
        <v>608</v>
      </c>
      <c r="D73" s="6" t="s">
        <v>188</v>
      </c>
      <c r="E73" s="6" t="s">
        <v>165</v>
      </c>
      <c r="F73" s="6">
        <v>1</v>
      </c>
      <c r="G73" s="6"/>
      <c r="H73" s="6">
        <v>6</v>
      </c>
      <c r="I73" s="6"/>
    </row>
    <row r="74" spans="1:9" x14ac:dyDescent="0.2">
      <c r="A74" s="8" t="s">
        <v>1</v>
      </c>
      <c r="B74" s="5"/>
      <c r="C74" s="74" t="s">
        <v>609</v>
      </c>
      <c r="D74" s="6" t="s">
        <v>188</v>
      </c>
      <c r="E74" s="6" t="s">
        <v>165</v>
      </c>
      <c r="F74" s="6">
        <v>1</v>
      </c>
      <c r="G74" s="6"/>
      <c r="H74" s="6">
        <v>6</v>
      </c>
      <c r="I74" s="6"/>
    </row>
    <row r="75" spans="1:9" x14ac:dyDescent="0.2">
      <c r="A75" s="8" t="s">
        <v>2</v>
      </c>
      <c r="B75" s="5"/>
      <c r="C75" s="74" t="s">
        <v>611</v>
      </c>
      <c r="D75" s="6" t="s">
        <v>170</v>
      </c>
      <c r="E75" s="6" t="s">
        <v>165</v>
      </c>
      <c r="F75" s="6">
        <v>1</v>
      </c>
      <c r="G75" s="6"/>
      <c r="H75" s="6">
        <v>4</v>
      </c>
      <c r="I75" s="6"/>
    </row>
    <row r="76" spans="1:9" hidden="1" x14ac:dyDescent="0.2">
      <c r="A76" s="8" t="s">
        <v>3</v>
      </c>
      <c r="B76" s="5"/>
      <c r="C76" s="74"/>
      <c r="D76" s="6"/>
      <c r="E76" s="6"/>
      <c r="F76" s="6"/>
      <c r="G76" s="6"/>
      <c r="H76" s="6"/>
      <c r="I76" s="6"/>
    </row>
    <row r="77" spans="1:9" hidden="1" x14ac:dyDescent="0.2">
      <c r="A77" s="8" t="s">
        <v>4</v>
      </c>
      <c r="B77" s="5"/>
      <c r="C77" s="74"/>
      <c r="D77" s="6"/>
      <c r="E77" s="6"/>
      <c r="F77" s="6"/>
      <c r="G77" s="6"/>
      <c r="H77" s="6"/>
      <c r="I77" s="6"/>
    </row>
    <row r="78" spans="1:9" hidden="1" x14ac:dyDescent="0.2">
      <c r="A78" s="8" t="s">
        <v>5</v>
      </c>
      <c r="B78" s="5"/>
      <c r="C78" s="74"/>
      <c r="D78" s="6"/>
      <c r="E78" s="6"/>
      <c r="F78" s="6"/>
      <c r="G78" s="6"/>
      <c r="H78" s="6"/>
      <c r="I78" s="6"/>
    </row>
    <row r="79" spans="1:9" hidden="1" x14ac:dyDescent="0.2">
      <c r="A79" s="8" t="s">
        <v>6</v>
      </c>
      <c r="B79" s="5"/>
      <c r="C79" s="74"/>
      <c r="D79" s="6"/>
      <c r="E79" s="6"/>
      <c r="F79" s="6"/>
      <c r="G79" s="6"/>
      <c r="H79" s="6"/>
      <c r="I79" s="6"/>
    </row>
    <row r="80" spans="1:9" hidden="1" x14ac:dyDescent="0.2">
      <c r="A80" s="8" t="s">
        <v>7</v>
      </c>
      <c r="B80" s="5"/>
      <c r="C80" s="74"/>
      <c r="D80" s="6"/>
      <c r="E80" s="6"/>
      <c r="F80" s="6"/>
      <c r="G80" s="6"/>
      <c r="H80" s="6"/>
      <c r="I80" s="6"/>
    </row>
    <row r="81" spans="1:9" hidden="1" x14ac:dyDescent="0.2">
      <c r="A81" s="8" t="s">
        <v>8</v>
      </c>
      <c r="B81" s="5"/>
      <c r="C81" s="74"/>
      <c r="D81" s="6"/>
      <c r="E81" s="6"/>
      <c r="F81" s="6"/>
      <c r="G81" s="6"/>
      <c r="H81" s="6"/>
      <c r="I81" s="6"/>
    </row>
    <row r="82" spans="1:9" hidden="1" x14ac:dyDescent="0.2">
      <c r="A82" s="8" t="s">
        <v>9</v>
      </c>
      <c r="B82" s="5"/>
      <c r="C82" s="74"/>
      <c r="D82" s="6"/>
      <c r="E82" s="6"/>
      <c r="F82" s="6"/>
      <c r="G82" s="6"/>
      <c r="H82" s="6"/>
      <c r="I82" s="6"/>
    </row>
    <row r="83" spans="1:9" x14ac:dyDescent="0.2">
      <c r="A83" s="312" t="s">
        <v>10</v>
      </c>
      <c r="B83" s="313"/>
      <c r="C83" s="313"/>
      <c r="D83" s="313"/>
      <c r="E83" s="314"/>
      <c r="F83" s="11">
        <f>SUM(F73:F82)</f>
        <v>3</v>
      </c>
      <c r="G83" s="11">
        <f>SUM(G73:G82)</f>
        <v>0</v>
      </c>
      <c r="H83" s="11">
        <f>SUM(H73:H82)</f>
        <v>16</v>
      </c>
      <c r="I83" s="11"/>
    </row>
    <row r="84" spans="1:9" s="25" customFormat="1" ht="18" x14ac:dyDescent="0.2">
      <c r="A84" s="324" t="s">
        <v>39</v>
      </c>
      <c r="B84" s="325"/>
      <c r="C84" s="325"/>
      <c r="D84" s="325"/>
      <c r="E84" s="326"/>
      <c r="F84" s="24">
        <f>F17+F28+F39+F50+F61+F72+F83</f>
        <v>29</v>
      </c>
      <c r="G84" s="24">
        <f>G17+G28+G39+G50+G61+G72+G83</f>
        <v>4</v>
      </c>
      <c r="H84" s="24">
        <f>H17+H28+H39+H50+H61+H72+H83</f>
        <v>173</v>
      </c>
      <c r="I84" s="24"/>
    </row>
    <row r="85" spans="1:9" ht="21.95" customHeight="1" x14ac:dyDescent="0.2">
      <c r="A85" s="319" t="s">
        <v>14</v>
      </c>
      <c r="B85" s="319"/>
      <c r="C85" s="319"/>
      <c r="D85" s="319"/>
      <c r="E85" s="319"/>
      <c r="F85" s="319"/>
      <c r="G85" s="319"/>
      <c r="H85" s="319"/>
      <c r="I85" s="319"/>
    </row>
    <row r="86" spans="1:9" s="53" customFormat="1" ht="20.100000000000001" customHeight="1" x14ac:dyDescent="0.2">
      <c r="A86" s="323" t="s">
        <v>86</v>
      </c>
      <c r="B86" s="323"/>
      <c r="C86" s="323"/>
      <c r="D86" s="323"/>
      <c r="E86" s="323"/>
      <c r="F86" s="50" t="str">
        <f>F2</f>
        <v>เมษายน</v>
      </c>
      <c r="G86" s="50" t="s">
        <v>87</v>
      </c>
      <c r="H86" s="51">
        <f>H2</f>
        <v>2569</v>
      </c>
      <c r="I86" s="52"/>
    </row>
    <row r="87" spans="1:9" s="3" customFormat="1" ht="20.100000000000001" customHeight="1" x14ac:dyDescent="0.35">
      <c r="A87" s="318" t="s">
        <v>29</v>
      </c>
      <c r="B87" s="318"/>
      <c r="C87" s="318"/>
      <c r="D87" s="2"/>
      <c r="F87" s="4"/>
      <c r="G87" s="4"/>
      <c r="H87" s="4" t="s">
        <v>21</v>
      </c>
      <c r="I87" s="40">
        <f>I3+1</f>
        <v>2</v>
      </c>
    </row>
    <row r="88" spans="1:9" s="3" customFormat="1" ht="20.100000000000001" customHeight="1" x14ac:dyDescent="0.35">
      <c r="A88" s="311" t="s">
        <v>63</v>
      </c>
      <c r="B88" s="311"/>
      <c r="C88" s="311"/>
      <c r="D88" s="2"/>
      <c r="E88" s="39" t="s">
        <v>81</v>
      </c>
      <c r="F88" s="308">
        <f>F4</f>
        <v>46107</v>
      </c>
      <c r="G88" s="308"/>
      <c r="H88" s="39" t="s">
        <v>82</v>
      </c>
      <c r="I88" s="34">
        <f>I4</f>
        <v>46136</v>
      </c>
    </row>
    <row r="89" spans="1:9" x14ac:dyDescent="0.2">
      <c r="A89" s="12" t="s">
        <v>23</v>
      </c>
      <c r="B89" s="13" t="s">
        <v>11</v>
      </c>
      <c r="C89" s="72" t="s">
        <v>26</v>
      </c>
      <c r="D89" s="12" t="s">
        <v>16</v>
      </c>
      <c r="E89" s="12" t="s">
        <v>17</v>
      </c>
      <c r="F89" s="310" t="s">
        <v>46</v>
      </c>
      <c r="G89" s="310"/>
      <c r="H89" s="310"/>
      <c r="I89" s="12" t="s">
        <v>19</v>
      </c>
    </row>
    <row r="90" spans="1:9" x14ac:dyDescent="0.2">
      <c r="A90" s="15"/>
      <c r="B90" s="16"/>
      <c r="C90" s="73"/>
      <c r="D90" s="15"/>
      <c r="E90" s="15"/>
      <c r="F90" s="21" t="s">
        <v>113</v>
      </c>
      <c r="G90" s="21" t="s">
        <v>114</v>
      </c>
      <c r="H90" s="21" t="s">
        <v>20</v>
      </c>
      <c r="I90" s="15"/>
    </row>
    <row r="91" spans="1:9" x14ac:dyDescent="0.2">
      <c r="A91" s="8" t="s">
        <v>0</v>
      </c>
      <c r="B91" s="5">
        <f>B73+1</f>
        <v>46114</v>
      </c>
      <c r="C91" s="74" t="s">
        <v>666</v>
      </c>
      <c r="D91" s="6" t="s">
        <v>188</v>
      </c>
      <c r="E91" s="6" t="s">
        <v>165</v>
      </c>
      <c r="F91" s="6">
        <v>1</v>
      </c>
      <c r="G91" s="6"/>
      <c r="H91" s="6">
        <v>5</v>
      </c>
      <c r="I91" s="6"/>
    </row>
    <row r="92" spans="1:9" x14ac:dyDescent="0.2">
      <c r="A92" s="8" t="s">
        <v>1</v>
      </c>
      <c r="B92" s="5"/>
      <c r="C92" s="74" t="s">
        <v>667</v>
      </c>
      <c r="D92" s="6" t="s">
        <v>170</v>
      </c>
      <c r="E92" s="6" t="s">
        <v>171</v>
      </c>
      <c r="F92" s="6">
        <v>1</v>
      </c>
      <c r="G92" s="6"/>
      <c r="H92" s="6">
        <v>6</v>
      </c>
      <c r="I92" s="6"/>
    </row>
    <row r="93" spans="1:9" x14ac:dyDescent="0.2">
      <c r="A93" s="8" t="s">
        <v>2</v>
      </c>
      <c r="B93" s="5"/>
      <c r="C93" s="74" t="s">
        <v>668</v>
      </c>
      <c r="D93" s="6" t="s">
        <v>170</v>
      </c>
      <c r="E93" s="6" t="s">
        <v>171</v>
      </c>
      <c r="F93" s="6">
        <v>1</v>
      </c>
      <c r="G93" s="6"/>
      <c r="H93" s="6">
        <v>6</v>
      </c>
      <c r="I93" s="6"/>
    </row>
    <row r="94" spans="1:9" x14ac:dyDescent="0.2">
      <c r="A94" s="8" t="s">
        <v>3</v>
      </c>
      <c r="B94" s="5"/>
      <c r="C94" s="74" t="s">
        <v>669</v>
      </c>
      <c r="D94" s="6" t="s">
        <v>170</v>
      </c>
      <c r="E94" s="6" t="s">
        <v>171</v>
      </c>
      <c r="F94" s="6">
        <v>1</v>
      </c>
      <c r="G94" s="6"/>
      <c r="H94" s="6">
        <v>6</v>
      </c>
      <c r="I94" s="6"/>
    </row>
    <row r="95" spans="1:9" x14ac:dyDescent="0.2">
      <c r="A95" s="8" t="s">
        <v>4</v>
      </c>
      <c r="B95" s="5"/>
      <c r="C95" s="74" t="s">
        <v>670</v>
      </c>
      <c r="D95" s="6" t="s">
        <v>170</v>
      </c>
      <c r="E95" s="6" t="s">
        <v>171</v>
      </c>
      <c r="F95" s="6">
        <v>1</v>
      </c>
      <c r="G95" s="6"/>
      <c r="H95" s="6">
        <v>6</v>
      </c>
      <c r="I95" s="6"/>
    </row>
    <row r="96" spans="1:9" x14ac:dyDescent="0.2">
      <c r="A96" s="8" t="s">
        <v>5</v>
      </c>
      <c r="B96" s="5"/>
      <c r="C96" s="74" t="s">
        <v>671</v>
      </c>
      <c r="D96" s="6" t="s">
        <v>170</v>
      </c>
      <c r="E96" s="6" t="s">
        <v>171</v>
      </c>
      <c r="F96" s="6"/>
      <c r="G96" s="6">
        <v>1</v>
      </c>
      <c r="H96" s="6">
        <v>6</v>
      </c>
      <c r="I96" s="6"/>
    </row>
    <row r="97" spans="1:9" x14ac:dyDescent="0.2">
      <c r="A97" s="8" t="s">
        <v>6</v>
      </c>
      <c r="B97" s="5"/>
      <c r="C97" s="74" t="s">
        <v>672</v>
      </c>
      <c r="D97" s="6" t="s">
        <v>170</v>
      </c>
      <c r="E97" s="6" t="s">
        <v>171</v>
      </c>
      <c r="F97" s="6"/>
      <c r="G97" s="6">
        <v>1</v>
      </c>
      <c r="H97" s="6">
        <v>6</v>
      </c>
      <c r="I97" s="6"/>
    </row>
    <row r="98" spans="1:9" hidden="1" x14ac:dyDescent="0.2">
      <c r="A98" s="8" t="s">
        <v>7</v>
      </c>
      <c r="B98" s="5"/>
      <c r="C98" s="74"/>
      <c r="D98" s="6"/>
      <c r="E98" s="6"/>
      <c r="F98" s="6"/>
      <c r="G98" s="6"/>
      <c r="H98" s="6"/>
      <c r="I98" s="6"/>
    </row>
    <row r="99" spans="1:9" hidden="1" x14ac:dyDescent="0.2">
      <c r="A99" s="8" t="s">
        <v>8</v>
      </c>
      <c r="B99" s="5"/>
      <c r="C99" s="74"/>
      <c r="D99" s="6"/>
      <c r="E99" s="6"/>
      <c r="F99" s="6"/>
      <c r="G99" s="6"/>
      <c r="H99" s="6"/>
      <c r="I99" s="6"/>
    </row>
    <row r="100" spans="1:9" hidden="1" x14ac:dyDescent="0.2">
      <c r="A100" s="8" t="s">
        <v>9</v>
      </c>
      <c r="B100" s="5"/>
      <c r="C100" s="74"/>
      <c r="D100" s="6"/>
      <c r="E100" s="6"/>
      <c r="F100" s="6"/>
      <c r="G100" s="6"/>
      <c r="H100" s="6"/>
      <c r="I100" s="6"/>
    </row>
    <row r="101" spans="1:9" x14ac:dyDescent="0.2">
      <c r="A101" s="312" t="s">
        <v>10</v>
      </c>
      <c r="B101" s="313"/>
      <c r="C101" s="313"/>
      <c r="D101" s="313"/>
      <c r="E101" s="314"/>
      <c r="F101" s="11">
        <f>SUM(F91:F100)</f>
        <v>5</v>
      </c>
      <c r="G101" s="11">
        <f>SUM(G91:G100)</f>
        <v>2</v>
      </c>
      <c r="H101" s="11">
        <f>SUM(H91:H100)</f>
        <v>41</v>
      </c>
      <c r="I101" s="11"/>
    </row>
    <row r="102" spans="1:9" x14ac:dyDescent="0.2">
      <c r="A102" s="8" t="s">
        <v>0</v>
      </c>
      <c r="B102" s="5">
        <f>B91+1</f>
        <v>46115</v>
      </c>
      <c r="C102" s="74" t="s">
        <v>749</v>
      </c>
      <c r="D102" s="6" t="s">
        <v>170</v>
      </c>
      <c r="E102" s="6" t="s">
        <v>171</v>
      </c>
      <c r="F102" s="6">
        <v>1</v>
      </c>
      <c r="G102" s="6"/>
      <c r="H102" s="6">
        <v>6</v>
      </c>
      <c r="I102" s="6"/>
    </row>
    <row r="103" spans="1:9" x14ac:dyDescent="0.2">
      <c r="A103" s="8" t="s">
        <v>1</v>
      </c>
      <c r="B103" s="5"/>
      <c r="C103" s="74" t="s">
        <v>750</v>
      </c>
      <c r="D103" s="6" t="s">
        <v>170</v>
      </c>
      <c r="E103" s="6" t="s">
        <v>171</v>
      </c>
      <c r="F103" s="6">
        <v>1</v>
      </c>
      <c r="G103" s="6"/>
      <c r="H103" s="6">
        <v>6</v>
      </c>
      <c r="I103" s="6"/>
    </row>
    <row r="104" spans="1:9" x14ac:dyDescent="0.2">
      <c r="A104" s="8" t="s">
        <v>2</v>
      </c>
      <c r="B104" s="5"/>
      <c r="C104" s="74" t="s">
        <v>752</v>
      </c>
      <c r="D104" s="6" t="s">
        <v>170</v>
      </c>
      <c r="E104" s="6" t="s">
        <v>171</v>
      </c>
      <c r="F104" s="6">
        <v>1</v>
      </c>
      <c r="G104" s="6"/>
      <c r="H104" s="6">
        <v>6</v>
      </c>
      <c r="I104" s="6"/>
    </row>
    <row r="105" spans="1:9" x14ac:dyDescent="0.2">
      <c r="A105" s="8" t="s">
        <v>3</v>
      </c>
      <c r="B105" s="5"/>
      <c r="C105" s="74" t="s">
        <v>753</v>
      </c>
      <c r="D105" s="6" t="s">
        <v>170</v>
      </c>
      <c r="E105" s="6" t="s">
        <v>171</v>
      </c>
      <c r="F105" s="6">
        <v>1</v>
      </c>
      <c r="G105" s="6"/>
      <c r="H105" s="6">
        <v>6</v>
      </c>
      <c r="I105" s="6"/>
    </row>
    <row r="106" spans="1:9" x14ac:dyDescent="0.2">
      <c r="A106" s="8" t="s">
        <v>4</v>
      </c>
      <c r="B106" s="5"/>
      <c r="C106" s="74" t="s">
        <v>754</v>
      </c>
      <c r="D106" s="6" t="s">
        <v>170</v>
      </c>
      <c r="E106" s="6" t="s">
        <v>171</v>
      </c>
      <c r="F106" s="6"/>
      <c r="G106" s="6">
        <v>1</v>
      </c>
      <c r="H106" s="6">
        <v>6</v>
      </c>
      <c r="I106" s="6"/>
    </row>
    <row r="107" spans="1:9" x14ac:dyDescent="0.2">
      <c r="A107" s="8" t="s">
        <v>5</v>
      </c>
      <c r="B107" s="5"/>
      <c r="C107" s="74" t="s">
        <v>755</v>
      </c>
      <c r="D107" s="6" t="s">
        <v>170</v>
      </c>
      <c r="E107" s="6" t="s">
        <v>171</v>
      </c>
      <c r="F107" s="6"/>
      <c r="G107" s="6">
        <v>1</v>
      </c>
      <c r="H107" s="6">
        <v>6</v>
      </c>
      <c r="I107" s="6"/>
    </row>
    <row r="108" spans="1:9" x14ac:dyDescent="0.2">
      <c r="A108" s="8" t="s">
        <v>6</v>
      </c>
      <c r="B108" s="5"/>
      <c r="C108" s="74" t="s">
        <v>756</v>
      </c>
      <c r="D108" s="6" t="s">
        <v>170</v>
      </c>
      <c r="E108" s="6" t="s">
        <v>171</v>
      </c>
      <c r="F108" s="6"/>
      <c r="G108" s="6">
        <v>1</v>
      </c>
      <c r="H108" s="6">
        <v>6</v>
      </c>
      <c r="I108" s="6"/>
    </row>
    <row r="109" spans="1:9" hidden="1" x14ac:dyDescent="0.2">
      <c r="A109" s="8" t="s">
        <v>7</v>
      </c>
      <c r="B109" s="5"/>
      <c r="C109" s="74"/>
      <c r="D109" s="6"/>
      <c r="E109" s="6"/>
      <c r="F109" s="6"/>
      <c r="G109" s="6"/>
      <c r="H109" s="6"/>
      <c r="I109" s="6"/>
    </row>
    <row r="110" spans="1:9" hidden="1" x14ac:dyDescent="0.2">
      <c r="A110" s="8" t="s">
        <v>8</v>
      </c>
      <c r="B110" s="5"/>
      <c r="C110" s="74"/>
      <c r="D110" s="6"/>
      <c r="E110" s="6"/>
      <c r="F110" s="6"/>
      <c r="G110" s="6"/>
      <c r="H110" s="6"/>
      <c r="I110" s="6"/>
    </row>
    <row r="111" spans="1:9" hidden="1" x14ac:dyDescent="0.2">
      <c r="A111" s="8" t="s">
        <v>9</v>
      </c>
      <c r="B111" s="5"/>
      <c r="C111" s="74"/>
      <c r="D111" s="6"/>
      <c r="E111" s="6"/>
      <c r="F111" s="6"/>
      <c r="G111" s="6"/>
      <c r="H111" s="6"/>
      <c r="I111" s="6"/>
    </row>
    <row r="112" spans="1:9" x14ac:dyDescent="0.2">
      <c r="A112" s="312" t="s">
        <v>10</v>
      </c>
      <c r="B112" s="313"/>
      <c r="C112" s="313"/>
      <c r="D112" s="313"/>
      <c r="E112" s="314"/>
      <c r="F112" s="11">
        <f>SUM(F102:F111)</f>
        <v>4</v>
      </c>
      <c r="G112" s="11">
        <f>SUM(G102:G111)</f>
        <v>3</v>
      </c>
      <c r="H112" s="11">
        <f>SUM(H102:H111)</f>
        <v>42</v>
      </c>
      <c r="I112" s="11"/>
    </row>
    <row r="113" spans="1:9" x14ac:dyDescent="0.2">
      <c r="A113" s="8" t="s">
        <v>0</v>
      </c>
      <c r="B113" s="5">
        <f>B102+1</f>
        <v>46116</v>
      </c>
      <c r="C113" s="74" t="s">
        <v>829</v>
      </c>
      <c r="D113" s="6" t="s">
        <v>250</v>
      </c>
      <c r="E113" s="6" t="s">
        <v>168</v>
      </c>
      <c r="F113" s="6">
        <v>1</v>
      </c>
      <c r="G113" s="6"/>
      <c r="H113" s="6">
        <v>5</v>
      </c>
      <c r="I113" s="6"/>
    </row>
    <row r="114" spans="1:9" x14ac:dyDescent="0.2">
      <c r="A114" s="8" t="s">
        <v>1</v>
      </c>
      <c r="B114" s="5"/>
      <c r="C114" s="74" t="s">
        <v>830</v>
      </c>
      <c r="D114" s="6" t="s">
        <v>211</v>
      </c>
      <c r="E114" s="6" t="s">
        <v>184</v>
      </c>
      <c r="F114" s="6">
        <v>1</v>
      </c>
      <c r="G114" s="6"/>
      <c r="H114" s="6">
        <v>5</v>
      </c>
      <c r="I114" s="6"/>
    </row>
    <row r="115" spans="1:9" x14ac:dyDescent="0.2">
      <c r="A115" s="8" t="s">
        <v>2</v>
      </c>
      <c r="B115" s="5"/>
      <c r="C115" s="74" t="s">
        <v>831</v>
      </c>
      <c r="D115" s="6" t="s">
        <v>832</v>
      </c>
      <c r="E115" s="6" t="s">
        <v>168</v>
      </c>
      <c r="F115" s="6">
        <v>1</v>
      </c>
      <c r="G115" s="6"/>
      <c r="H115" s="6">
        <v>5</v>
      </c>
      <c r="I115" s="6"/>
    </row>
    <row r="116" spans="1:9" x14ac:dyDescent="0.2">
      <c r="A116" s="8" t="s">
        <v>3</v>
      </c>
      <c r="B116" s="5"/>
      <c r="C116" s="74" t="s">
        <v>833</v>
      </c>
      <c r="D116" s="6" t="s">
        <v>371</v>
      </c>
      <c r="E116" s="6" t="s">
        <v>174</v>
      </c>
      <c r="F116" s="6">
        <v>1</v>
      </c>
      <c r="G116" s="6"/>
      <c r="H116" s="6">
        <v>6</v>
      </c>
      <c r="I116" s="6"/>
    </row>
    <row r="117" spans="1:9" hidden="1" x14ac:dyDescent="0.2">
      <c r="A117" s="8" t="s">
        <v>4</v>
      </c>
      <c r="B117" s="5"/>
      <c r="C117" s="74"/>
      <c r="D117" s="6"/>
      <c r="E117" s="6"/>
      <c r="F117" s="6"/>
      <c r="G117" s="6"/>
      <c r="H117" s="6"/>
      <c r="I117" s="6"/>
    </row>
    <row r="118" spans="1:9" hidden="1" x14ac:dyDescent="0.2">
      <c r="A118" s="8" t="s">
        <v>5</v>
      </c>
      <c r="B118" s="5"/>
      <c r="C118" s="74"/>
      <c r="D118" s="6"/>
      <c r="E118" s="6"/>
      <c r="F118" s="6"/>
      <c r="G118" s="6"/>
      <c r="H118" s="6"/>
      <c r="I118" s="6"/>
    </row>
    <row r="119" spans="1:9" hidden="1" x14ac:dyDescent="0.2">
      <c r="A119" s="8" t="s">
        <v>6</v>
      </c>
      <c r="B119" s="5"/>
      <c r="C119" s="74"/>
      <c r="D119" s="6"/>
      <c r="E119" s="6"/>
      <c r="F119" s="6"/>
      <c r="G119" s="6"/>
      <c r="H119" s="6"/>
      <c r="I119" s="6"/>
    </row>
    <row r="120" spans="1:9" hidden="1" x14ac:dyDescent="0.2">
      <c r="A120" s="8" t="s">
        <v>7</v>
      </c>
      <c r="B120" s="5"/>
      <c r="C120" s="74"/>
      <c r="D120" s="6"/>
      <c r="E120" s="6"/>
      <c r="F120" s="6"/>
      <c r="G120" s="6"/>
      <c r="H120" s="6"/>
      <c r="I120" s="6"/>
    </row>
    <row r="121" spans="1:9" hidden="1" x14ac:dyDescent="0.2">
      <c r="A121" s="8" t="s">
        <v>8</v>
      </c>
      <c r="B121" s="5"/>
      <c r="C121" s="74"/>
      <c r="D121" s="6"/>
      <c r="E121" s="6"/>
      <c r="F121" s="6"/>
      <c r="G121" s="6"/>
      <c r="H121" s="6"/>
      <c r="I121" s="6"/>
    </row>
    <row r="122" spans="1:9" hidden="1" x14ac:dyDescent="0.2">
      <c r="A122" s="8" t="s">
        <v>9</v>
      </c>
      <c r="B122" s="5"/>
      <c r="C122" s="74"/>
      <c r="D122" s="6"/>
      <c r="E122" s="6"/>
      <c r="F122" s="6"/>
      <c r="G122" s="6"/>
      <c r="H122" s="6"/>
      <c r="I122" s="6"/>
    </row>
    <row r="123" spans="1:9" x14ac:dyDescent="0.2">
      <c r="A123" s="312" t="s">
        <v>10</v>
      </c>
      <c r="B123" s="313"/>
      <c r="C123" s="313"/>
      <c r="D123" s="313"/>
      <c r="E123" s="314"/>
      <c r="F123" s="11">
        <f>SUM(F113:F122)</f>
        <v>4</v>
      </c>
      <c r="G123" s="11">
        <f>SUM(G113:G122)</f>
        <v>0</v>
      </c>
      <c r="H123" s="11">
        <f>SUM(H113:H122)</f>
        <v>21</v>
      </c>
      <c r="I123" s="11"/>
    </row>
    <row r="124" spans="1:9" x14ac:dyDescent="0.2">
      <c r="A124" s="8" t="s">
        <v>0</v>
      </c>
      <c r="B124" s="5">
        <f>B113+1</f>
        <v>46117</v>
      </c>
      <c r="C124" s="75" t="s">
        <v>875</v>
      </c>
      <c r="D124" s="6" t="s">
        <v>342</v>
      </c>
      <c r="E124" s="6" t="s">
        <v>165</v>
      </c>
      <c r="F124" s="6">
        <v>1</v>
      </c>
      <c r="G124" s="6"/>
      <c r="H124" s="6">
        <v>6</v>
      </c>
      <c r="I124" s="6"/>
    </row>
    <row r="125" spans="1:9" x14ac:dyDescent="0.2">
      <c r="A125" s="8" t="s">
        <v>1</v>
      </c>
      <c r="B125" s="5"/>
      <c r="C125" s="75" t="s">
        <v>868</v>
      </c>
      <c r="D125" s="6" t="s">
        <v>211</v>
      </c>
      <c r="E125" s="6" t="s">
        <v>165</v>
      </c>
      <c r="F125" s="6">
        <v>1</v>
      </c>
      <c r="G125" s="6"/>
      <c r="H125" s="6">
        <v>5</v>
      </c>
      <c r="I125" s="6"/>
    </row>
    <row r="126" spans="1:9" x14ac:dyDescent="0.2">
      <c r="A126" s="8" t="s">
        <v>2</v>
      </c>
      <c r="B126" s="5"/>
      <c r="C126" s="75" t="s">
        <v>876</v>
      </c>
      <c r="D126" s="6" t="s">
        <v>170</v>
      </c>
      <c r="E126" s="6" t="s">
        <v>171</v>
      </c>
      <c r="F126" s="6">
        <v>1</v>
      </c>
      <c r="G126" s="6"/>
      <c r="H126" s="6">
        <v>6</v>
      </c>
      <c r="I126" s="6"/>
    </row>
    <row r="127" spans="1:9" x14ac:dyDescent="0.2">
      <c r="A127" s="8" t="s">
        <v>3</v>
      </c>
      <c r="B127" s="5"/>
      <c r="C127" s="75" t="s">
        <v>878</v>
      </c>
      <c r="D127" s="6" t="s">
        <v>170</v>
      </c>
      <c r="E127" s="6" t="s">
        <v>171</v>
      </c>
      <c r="F127" s="6">
        <v>1</v>
      </c>
      <c r="G127" s="6"/>
      <c r="H127" s="6">
        <v>6</v>
      </c>
      <c r="I127" s="6"/>
    </row>
    <row r="128" spans="1:9" x14ac:dyDescent="0.2">
      <c r="A128" s="8" t="s">
        <v>4</v>
      </c>
      <c r="B128" s="5"/>
      <c r="C128" s="75" t="s">
        <v>879</v>
      </c>
      <c r="D128" s="6" t="s">
        <v>170</v>
      </c>
      <c r="E128" s="6" t="s">
        <v>171</v>
      </c>
      <c r="F128" s="6">
        <v>1</v>
      </c>
      <c r="G128" s="6"/>
      <c r="H128" s="6">
        <v>6</v>
      </c>
      <c r="I128" s="6"/>
    </row>
    <row r="129" spans="1:9" x14ac:dyDescent="0.2">
      <c r="A129" s="8" t="s">
        <v>5</v>
      </c>
      <c r="B129" s="5"/>
      <c r="C129" s="75" t="s">
        <v>880</v>
      </c>
      <c r="D129" s="6" t="s">
        <v>170</v>
      </c>
      <c r="E129" s="6" t="s">
        <v>171</v>
      </c>
      <c r="F129" s="6"/>
      <c r="G129" s="6">
        <v>1</v>
      </c>
      <c r="H129" s="6">
        <v>6</v>
      </c>
      <c r="I129" s="6"/>
    </row>
    <row r="130" spans="1:9" hidden="1" x14ac:dyDescent="0.2">
      <c r="A130" s="8" t="s">
        <v>6</v>
      </c>
      <c r="B130" s="5"/>
      <c r="C130" s="75"/>
      <c r="D130" s="6"/>
      <c r="E130" s="6"/>
      <c r="F130" s="6"/>
      <c r="G130" s="6"/>
      <c r="H130" s="6"/>
      <c r="I130" s="6"/>
    </row>
    <row r="131" spans="1:9" hidden="1" x14ac:dyDescent="0.2">
      <c r="A131" s="8" t="s">
        <v>7</v>
      </c>
      <c r="B131" s="5"/>
      <c r="C131" s="74"/>
      <c r="D131" s="6"/>
      <c r="E131" s="6"/>
      <c r="F131" s="6"/>
      <c r="G131" s="6"/>
      <c r="H131" s="6"/>
      <c r="I131" s="6"/>
    </row>
    <row r="132" spans="1:9" hidden="1" x14ac:dyDescent="0.2">
      <c r="A132" s="8" t="s">
        <v>8</v>
      </c>
      <c r="B132" s="5"/>
      <c r="C132" s="74"/>
      <c r="D132" s="6"/>
      <c r="E132" s="6"/>
      <c r="F132" s="6"/>
      <c r="G132" s="6"/>
      <c r="H132" s="6"/>
      <c r="I132" s="6"/>
    </row>
    <row r="133" spans="1:9" hidden="1" x14ac:dyDescent="0.2">
      <c r="A133" s="8" t="s">
        <v>9</v>
      </c>
      <c r="B133" s="5"/>
      <c r="C133" s="74"/>
      <c r="D133" s="6"/>
      <c r="E133" s="6"/>
      <c r="F133" s="6"/>
      <c r="G133" s="6"/>
      <c r="H133" s="6"/>
      <c r="I133" s="6"/>
    </row>
    <row r="134" spans="1:9" x14ac:dyDescent="0.2">
      <c r="A134" s="312" t="s">
        <v>10</v>
      </c>
      <c r="B134" s="313"/>
      <c r="C134" s="313"/>
      <c r="D134" s="313"/>
      <c r="E134" s="314"/>
      <c r="F134" s="11">
        <f>SUM(F124:F133)</f>
        <v>5</v>
      </c>
      <c r="G134" s="11">
        <f>SUM(G124:G133)</f>
        <v>1</v>
      </c>
      <c r="H134" s="11">
        <f>SUM(H124:H133)</f>
        <v>35</v>
      </c>
      <c r="I134" s="11"/>
    </row>
    <row r="135" spans="1:9" x14ac:dyDescent="0.2">
      <c r="A135" s="8" t="s">
        <v>0</v>
      </c>
      <c r="B135" s="5">
        <f>B124+1</f>
        <v>46118</v>
      </c>
      <c r="C135" s="75" t="s">
        <v>953</v>
      </c>
      <c r="D135" s="6" t="s">
        <v>347</v>
      </c>
      <c r="E135" s="6" t="s">
        <v>441</v>
      </c>
      <c r="F135" s="6">
        <v>1</v>
      </c>
      <c r="G135" s="6"/>
      <c r="H135" s="6">
        <v>6</v>
      </c>
      <c r="I135" s="6"/>
    </row>
    <row r="136" spans="1:9" x14ac:dyDescent="0.2">
      <c r="A136" s="8" t="s">
        <v>1</v>
      </c>
      <c r="B136" s="5"/>
      <c r="C136" s="75" t="s">
        <v>954</v>
      </c>
      <c r="D136" s="6" t="s">
        <v>242</v>
      </c>
      <c r="E136" s="6" t="s">
        <v>171</v>
      </c>
      <c r="F136" s="6">
        <v>1</v>
      </c>
      <c r="G136" s="6"/>
      <c r="H136" s="6">
        <v>6</v>
      </c>
      <c r="I136" s="6"/>
    </row>
    <row r="137" spans="1:9" x14ac:dyDescent="0.2">
      <c r="A137" s="8" t="s">
        <v>2</v>
      </c>
      <c r="B137" s="5"/>
      <c r="C137" s="75" t="s">
        <v>955</v>
      </c>
      <c r="D137" s="6" t="s">
        <v>242</v>
      </c>
      <c r="E137" s="6" t="s">
        <v>171</v>
      </c>
      <c r="F137" s="6">
        <v>1</v>
      </c>
      <c r="G137" s="6"/>
      <c r="H137" s="6">
        <v>6</v>
      </c>
      <c r="I137" s="6"/>
    </row>
    <row r="138" spans="1:9" x14ac:dyDescent="0.2">
      <c r="A138" s="8" t="s">
        <v>3</v>
      </c>
      <c r="B138" s="5"/>
      <c r="C138" s="75" t="s">
        <v>956</v>
      </c>
      <c r="D138" s="6" t="s">
        <v>242</v>
      </c>
      <c r="E138" s="6" t="s">
        <v>171</v>
      </c>
      <c r="F138" s="6">
        <v>1</v>
      </c>
      <c r="G138" s="6"/>
      <c r="H138" s="6">
        <v>6</v>
      </c>
      <c r="I138" s="6"/>
    </row>
    <row r="139" spans="1:9" x14ac:dyDescent="0.2">
      <c r="A139" s="8" t="s">
        <v>4</v>
      </c>
      <c r="B139" s="5"/>
      <c r="C139" s="75" t="s">
        <v>935</v>
      </c>
      <c r="D139" s="6" t="s">
        <v>242</v>
      </c>
      <c r="E139" s="6" t="s">
        <v>171</v>
      </c>
      <c r="F139" s="6"/>
      <c r="G139" s="6">
        <v>1</v>
      </c>
      <c r="H139" s="6">
        <v>4</v>
      </c>
      <c r="I139" s="6"/>
    </row>
    <row r="140" spans="1:9" x14ac:dyDescent="0.2">
      <c r="A140" s="8" t="s">
        <v>5</v>
      </c>
      <c r="B140" s="5"/>
      <c r="C140" s="75" t="s">
        <v>957</v>
      </c>
      <c r="D140" s="6" t="s">
        <v>170</v>
      </c>
      <c r="E140" s="6" t="s">
        <v>171</v>
      </c>
      <c r="F140" s="6"/>
      <c r="G140" s="6">
        <v>1</v>
      </c>
      <c r="H140" s="6">
        <v>6</v>
      </c>
      <c r="I140" s="6"/>
    </row>
    <row r="141" spans="1:9" x14ac:dyDescent="0.2">
      <c r="A141" s="8" t="s">
        <v>6</v>
      </c>
      <c r="B141" s="5"/>
      <c r="C141" s="74" t="s">
        <v>958</v>
      </c>
      <c r="D141" s="6" t="s">
        <v>170</v>
      </c>
      <c r="E141" s="6" t="s">
        <v>171</v>
      </c>
      <c r="F141" s="6"/>
      <c r="G141" s="6">
        <v>1</v>
      </c>
      <c r="H141" s="6">
        <v>6</v>
      </c>
      <c r="I141" s="6"/>
    </row>
    <row r="142" spans="1:9" hidden="1" x14ac:dyDescent="0.2">
      <c r="A142" s="8" t="s">
        <v>7</v>
      </c>
      <c r="B142" s="5"/>
      <c r="C142" s="74"/>
      <c r="D142" s="6"/>
      <c r="E142" s="6"/>
      <c r="F142" s="6"/>
      <c r="G142" s="6"/>
      <c r="H142" s="6"/>
      <c r="I142" s="6"/>
    </row>
    <row r="143" spans="1:9" hidden="1" x14ac:dyDescent="0.2">
      <c r="A143" s="8" t="s">
        <v>8</v>
      </c>
      <c r="B143" s="5"/>
      <c r="C143" s="74"/>
      <c r="D143" s="6"/>
      <c r="E143" s="6"/>
      <c r="F143" s="6"/>
      <c r="G143" s="6"/>
      <c r="H143" s="6"/>
      <c r="I143" s="6"/>
    </row>
    <row r="144" spans="1:9" hidden="1" x14ac:dyDescent="0.2">
      <c r="A144" s="8" t="s">
        <v>9</v>
      </c>
      <c r="B144" s="5"/>
      <c r="C144" s="74"/>
      <c r="D144" s="6"/>
      <c r="E144" s="6"/>
      <c r="F144" s="6"/>
      <c r="G144" s="6"/>
      <c r="H144" s="6"/>
      <c r="I144" s="6"/>
    </row>
    <row r="145" spans="1:9" x14ac:dyDescent="0.2">
      <c r="A145" s="312" t="s">
        <v>10</v>
      </c>
      <c r="B145" s="313"/>
      <c r="C145" s="313"/>
      <c r="D145" s="313"/>
      <c r="E145" s="314"/>
      <c r="F145" s="11">
        <f>SUM(F135:F144)</f>
        <v>4</v>
      </c>
      <c r="G145" s="11">
        <f>SUM(G135:G144)</f>
        <v>3</v>
      </c>
      <c r="H145" s="11">
        <f>SUM(H135:H144)</f>
        <v>40</v>
      </c>
      <c r="I145" s="11"/>
    </row>
    <row r="146" spans="1:9" x14ac:dyDescent="0.2">
      <c r="A146" s="8" t="s">
        <v>0</v>
      </c>
      <c r="B146" s="5">
        <f>B135+1</f>
        <v>46119</v>
      </c>
      <c r="C146" s="75" t="s">
        <v>1022</v>
      </c>
      <c r="D146" s="6" t="s">
        <v>332</v>
      </c>
      <c r="E146" s="6" t="s">
        <v>216</v>
      </c>
      <c r="F146" s="6">
        <v>1</v>
      </c>
      <c r="G146" s="6"/>
      <c r="H146" s="6">
        <v>4.5</v>
      </c>
      <c r="I146" s="6"/>
    </row>
    <row r="147" spans="1:9" x14ac:dyDescent="0.2">
      <c r="A147" s="8" t="s">
        <v>1</v>
      </c>
      <c r="B147" s="5"/>
      <c r="C147" s="75" t="s">
        <v>1023</v>
      </c>
      <c r="D147" s="6" t="s">
        <v>211</v>
      </c>
      <c r="E147" s="6" t="s">
        <v>171</v>
      </c>
      <c r="F147" s="6">
        <v>1</v>
      </c>
      <c r="G147" s="6"/>
      <c r="H147" s="6">
        <v>6</v>
      </c>
      <c r="I147" s="6"/>
    </row>
    <row r="148" spans="1:9" x14ac:dyDescent="0.2">
      <c r="A148" s="8" t="s">
        <v>2</v>
      </c>
      <c r="B148" s="5"/>
      <c r="C148" s="75" t="s">
        <v>1024</v>
      </c>
      <c r="D148" s="6" t="s">
        <v>211</v>
      </c>
      <c r="E148" s="6" t="s">
        <v>171</v>
      </c>
      <c r="F148" s="6">
        <v>1</v>
      </c>
      <c r="G148" s="6"/>
      <c r="H148" s="6">
        <v>6</v>
      </c>
      <c r="I148" s="6"/>
    </row>
    <row r="149" spans="1:9" x14ac:dyDescent="0.2">
      <c r="A149" s="8" t="s">
        <v>3</v>
      </c>
      <c r="B149" s="5"/>
      <c r="C149" s="75" t="s">
        <v>1025</v>
      </c>
      <c r="D149" s="6" t="s">
        <v>342</v>
      </c>
      <c r="E149" s="6" t="s">
        <v>165</v>
      </c>
      <c r="F149" s="6">
        <v>1</v>
      </c>
      <c r="G149" s="6"/>
      <c r="H149" s="6">
        <v>6</v>
      </c>
      <c r="I149" s="6"/>
    </row>
    <row r="150" spans="1:9" x14ac:dyDescent="0.2">
      <c r="A150" s="8" t="s">
        <v>4</v>
      </c>
      <c r="B150" s="5"/>
      <c r="C150" s="75" t="s">
        <v>1026</v>
      </c>
      <c r="D150" s="6" t="s">
        <v>211</v>
      </c>
      <c r="E150" s="6" t="s">
        <v>171</v>
      </c>
      <c r="F150" s="6">
        <v>1</v>
      </c>
      <c r="G150" s="6"/>
      <c r="H150" s="6">
        <v>6</v>
      </c>
      <c r="I150" s="6"/>
    </row>
    <row r="151" spans="1:9" x14ac:dyDescent="0.2">
      <c r="A151" s="8" t="s">
        <v>5</v>
      </c>
      <c r="B151" s="5"/>
      <c r="C151" s="75" t="s">
        <v>1027</v>
      </c>
      <c r="D151" s="6" t="s">
        <v>188</v>
      </c>
      <c r="E151" s="6" t="s">
        <v>190</v>
      </c>
      <c r="F151" s="6">
        <v>1</v>
      </c>
      <c r="G151" s="6"/>
      <c r="H151" s="6">
        <v>6</v>
      </c>
      <c r="I151" s="6"/>
    </row>
    <row r="152" spans="1:9" hidden="1" x14ac:dyDescent="0.2">
      <c r="A152" s="8" t="s">
        <v>6</v>
      </c>
      <c r="B152" s="5"/>
      <c r="C152" s="75"/>
      <c r="D152" s="6"/>
      <c r="E152" s="6"/>
      <c r="F152" s="6"/>
      <c r="G152" s="6"/>
      <c r="H152" s="6"/>
      <c r="I152" s="6"/>
    </row>
    <row r="153" spans="1:9" hidden="1" x14ac:dyDescent="0.2">
      <c r="A153" s="8" t="s">
        <v>7</v>
      </c>
      <c r="B153" s="5"/>
      <c r="C153" s="75"/>
      <c r="D153" s="6"/>
      <c r="E153" s="6"/>
      <c r="F153" s="6"/>
      <c r="G153" s="6"/>
      <c r="H153" s="6"/>
      <c r="I153" s="6"/>
    </row>
    <row r="154" spans="1:9" hidden="1" x14ac:dyDescent="0.2">
      <c r="A154" s="8" t="s">
        <v>8</v>
      </c>
      <c r="B154" s="5"/>
      <c r="C154" s="75"/>
      <c r="D154" s="6"/>
      <c r="E154" s="6"/>
      <c r="F154" s="6"/>
      <c r="G154" s="6"/>
      <c r="H154" s="6"/>
      <c r="I154" s="6"/>
    </row>
    <row r="155" spans="1:9" hidden="1" x14ac:dyDescent="0.2">
      <c r="A155" s="8" t="s">
        <v>9</v>
      </c>
      <c r="B155" s="5"/>
      <c r="C155" s="75"/>
      <c r="D155" s="6"/>
      <c r="E155" s="6"/>
      <c r="F155" s="6"/>
      <c r="G155" s="6"/>
      <c r="H155" s="6"/>
      <c r="I155" s="6"/>
    </row>
    <row r="156" spans="1:9" x14ac:dyDescent="0.2">
      <c r="A156" s="312" t="s">
        <v>10</v>
      </c>
      <c r="B156" s="313"/>
      <c r="C156" s="313"/>
      <c r="D156" s="313"/>
      <c r="E156" s="314"/>
      <c r="F156" s="11">
        <f>SUM(F146:F155)</f>
        <v>6</v>
      </c>
      <c r="G156" s="11">
        <f>SUM(G146:G155)</f>
        <v>0</v>
      </c>
      <c r="H156" s="11">
        <f>SUM(H146:H155)</f>
        <v>34.5</v>
      </c>
      <c r="I156" s="11"/>
    </row>
    <row r="157" spans="1:9" x14ac:dyDescent="0.2">
      <c r="A157" s="8" t="s">
        <v>0</v>
      </c>
      <c r="B157" s="5">
        <f>B146+1</f>
        <v>46120</v>
      </c>
      <c r="C157" s="74" t="s">
        <v>1075</v>
      </c>
      <c r="D157" s="6" t="s">
        <v>1076</v>
      </c>
      <c r="E157" s="6" t="s">
        <v>1077</v>
      </c>
      <c r="F157" s="6">
        <v>1</v>
      </c>
      <c r="G157" s="6"/>
      <c r="H157" s="6">
        <v>2</v>
      </c>
      <c r="I157" s="6"/>
    </row>
    <row r="158" spans="1:9" x14ac:dyDescent="0.2">
      <c r="A158" s="8" t="s">
        <v>1</v>
      </c>
      <c r="B158" s="5"/>
      <c r="C158" s="74" t="s">
        <v>1078</v>
      </c>
      <c r="D158" s="6" t="s">
        <v>1079</v>
      </c>
      <c r="E158" s="6" t="s">
        <v>190</v>
      </c>
      <c r="F158" s="6">
        <v>1</v>
      </c>
      <c r="G158" s="6"/>
      <c r="H158" s="6">
        <v>2</v>
      </c>
      <c r="I158" s="6"/>
    </row>
    <row r="159" spans="1:9" x14ac:dyDescent="0.2">
      <c r="A159" s="8" t="s">
        <v>2</v>
      </c>
      <c r="B159" s="5"/>
      <c r="C159" s="74" t="s">
        <v>1080</v>
      </c>
      <c r="D159" s="6" t="s">
        <v>1079</v>
      </c>
      <c r="E159" s="6" t="s">
        <v>190</v>
      </c>
      <c r="F159" s="6">
        <v>1</v>
      </c>
      <c r="G159" s="6"/>
      <c r="H159" s="6">
        <v>2</v>
      </c>
      <c r="I159" s="6"/>
    </row>
    <row r="160" spans="1:9" x14ac:dyDescent="0.2">
      <c r="A160" s="8" t="s">
        <v>3</v>
      </c>
      <c r="B160" s="5"/>
      <c r="C160" s="74" t="s">
        <v>1081</v>
      </c>
      <c r="D160" s="6" t="s">
        <v>1079</v>
      </c>
      <c r="E160" s="6" t="s">
        <v>190</v>
      </c>
      <c r="F160" s="6">
        <v>1</v>
      </c>
      <c r="G160" s="6"/>
      <c r="H160" s="6">
        <v>1</v>
      </c>
      <c r="I160" s="6"/>
    </row>
    <row r="161" spans="1:9" x14ac:dyDescent="0.2">
      <c r="A161" s="8" t="s">
        <v>4</v>
      </c>
      <c r="B161" s="5"/>
      <c r="C161" s="74" t="s">
        <v>1082</v>
      </c>
      <c r="D161" s="6" t="s">
        <v>211</v>
      </c>
      <c r="E161" s="6" t="s">
        <v>165</v>
      </c>
      <c r="F161" s="6">
        <v>1</v>
      </c>
      <c r="G161" s="6"/>
      <c r="H161" s="6">
        <v>2</v>
      </c>
      <c r="I161" s="6"/>
    </row>
    <row r="162" spans="1:9" hidden="1" x14ac:dyDescent="0.2">
      <c r="A162" s="8" t="s">
        <v>5</v>
      </c>
      <c r="B162" s="5"/>
      <c r="C162" s="74"/>
      <c r="D162" s="6"/>
      <c r="E162" s="6"/>
      <c r="F162" s="6"/>
      <c r="G162" s="6"/>
      <c r="H162" s="6"/>
      <c r="I162" s="6"/>
    </row>
    <row r="163" spans="1:9" hidden="1" x14ac:dyDescent="0.2">
      <c r="A163" s="8" t="s">
        <v>6</v>
      </c>
      <c r="B163" s="5"/>
      <c r="C163" s="74"/>
      <c r="D163" s="6"/>
      <c r="E163" s="6"/>
      <c r="F163" s="6"/>
      <c r="G163" s="6"/>
      <c r="H163" s="6"/>
      <c r="I163" s="6"/>
    </row>
    <row r="164" spans="1:9" hidden="1" x14ac:dyDescent="0.2">
      <c r="A164" s="8" t="s">
        <v>7</v>
      </c>
      <c r="B164" s="5"/>
      <c r="C164" s="74"/>
      <c r="D164" s="6"/>
      <c r="E164" s="6"/>
      <c r="F164" s="6"/>
      <c r="G164" s="6"/>
      <c r="H164" s="6"/>
      <c r="I164" s="6"/>
    </row>
    <row r="165" spans="1:9" hidden="1" x14ac:dyDescent="0.2">
      <c r="A165" s="8" t="s">
        <v>8</v>
      </c>
      <c r="B165" s="5"/>
      <c r="C165" s="74"/>
      <c r="D165" s="6"/>
      <c r="E165" s="6"/>
      <c r="F165" s="6"/>
      <c r="G165" s="6"/>
      <c r="H165" s="6"/>
      <c r="I165" s="6"/>
    </row>
    <row r="166" spans="1:9" hidden="1" x14ac:dyDescent="0.2">
      <c r="A166" s="8" t="s">
        <v>9</v>
      </c>
      <c r="B166" s="5"/>
      <c r="C166" s="74"/>
      <c r="D166" s="6"/>
      <c r="E166" s="6"/>
      <c r="F166" s="6"/>
      <c r="G166" s="6"/>
      <c r="H166" s="6"/>
      <c r="I166" s="6"/>
    </row>
    <row r="167" spans="1:9" x14ac:dyDescent="0.2">
      <c r="A167" s="312" t="s">
        <v>10</v>
      </c>
      <c r="B167" s="313"/>
      <c r="C167" s="313"/>
      <c r="D167" s="313"/>
      <c r="E167" s="314"/>
      <c r="F167" s="11">
        <f>SUM(F157:F166)</f>
        <v>5</v>
      </c>
      <c r="G167" s="11">
        <f>SUM(G157:G166)</f>
        <v>0</v>
      </c>
      <c r="H167" s="11">
        <f>SUM(H157:H166)</f>
        <v>9</v>
      </c>
      <c r="I167" s="11"/>
    </row>
    <row r="168" spans="1:9" s="25" customFormat="1" ht="18" x14ac:dyDescent="0.2">
      <c r="A168" s="315" t="s">
        <v>39</v>
      </c>
      <c r="B168" s="316"/>
      <c r="C168" s="316"/>
      <c r="D168" s="316"/>
      <c r="E168" s="317"/>
      <c r="F168" s="22">
        <f>F101+F112+F123+F134+F145+F156+F167+F84</f>
        <v>62</v>
      </c>
      <c r="G168" s="22">
        <f>G101+G112+G123+G134+G145+G156+G167+G84</f>
        <v>13</v>
      </c>
      <c r="H168" s="22">
        <f>H101+H112+H123+H134+H145+H156+H167+H84</f>
        <v>395.5</v>
      </c>
      <c r="I168" s="22"/>
    </row>
    <row r="169" spans="1:9" ht="21.95" customHeight="1" x14ac:dyDescent="0.2">
      <c r="A169" s="319" t="s">
        <v>14</v>
      </c>
      <c r="B169" s="319"/>
      <c r="C169" s="319"/>
      <c r="D169" s="319"/>
      <c r="E169" s="319"/>
      <c r="F169" s="319"/>
      <c r="G169" s="319"/>
      <c r="H169" s="319"/>
      <c r="I169" s="319"/>
    </row>
    <row r="170" spans="1:9" s="53" customFormat="1" ht="20.100000000000001" customHeight="1" x14ac:dyDescent="0.2">
      <c r="A170" s="323" t="s">
        <v>86</v>
      </c>
      <c r="B170" s="323"/>
      <c r="C170" s="323"/>
      <c r="D170" s="323"/>
      <c r="E170" s="323"/>
      <c r="F170" s="50" t="str">
        <f>F86</f>
        <v>เมษายน</v>
      </c>
      <c r="G170" s="50" t="s">
        <v>87</v>
      </c>
      <c r="H170" s="51">
        <f>H86</f>
        <v>2569</v>
      </c>
      <c r="I170" s="52"/>
    </row>
    <row r="171" spans="1:9" s="3" customFormat="1" ht="20.100000000000001" customHeight="1" x14ac:dyDescent="0.35">
      <c r="A171" s="318" t="s">
        <v>29</v>
      </c>
      <c r="B171" s="318"/>
      <c r="C171" s="318"/>
      <c r="D171" s="2"/>
      <c r="F171" s="4"/>
      <c r="G171" s="4"/>
      <c r="H171" s="4" t="s">
        <v>21</v>
      </c>
      <c r="I171" s="40">
        <f>I87+1</f>
        <v>3</v>
      </c>
    </row>
    <row r="172" spans="1:9" s="3" customFormat="1" ht="20.100000000000001" customHeight="1" x14ac:dyDescent="0.35">
      <c r="A172" s="311" t="s">
        <v>63</v>
      </c>
      <c r="B172" s="311"/>
      <c r="C172" s="311"/>
      <c r="D172" s="2"/>
      <c r="E172" s="39" t="s">
        <v>81</v>
      </c>
      <c r="F172" s="308">
        <f>F88</f>
        <v>46107</v>
      </c>
      <c r="G172" s="308"/>
      <c r="H172" s="39" t="s">
        <v>82</v>
      </c>
      <c r="I172" s="34">
        <f>I88</f>
        <v>46136</v>
      </c>
    </row>
    <row r="173" spans="1:9" x14ac:dyDescent="0.2">
      <c r="A173" s="12" t="s">
        <v>23</v>
      </c>
      <c r="B173" s="13" t="s">
        <v>11</v>
      </c>
      <c r="C173" s="72" t="s">
        <v>26</v>
      </c>
      <c r="D173" s="12" t="s">
        <v>16</v>
      </c>
      <c r="E173" s="12" t="s">
        <v>17</v>
      </c>
      <c r="F173" s="310" t="s">
        <v>46</v>
      </c>
      <c r="G173" s="310"/>
      <c r="H173" s="310"/>
      <c r="I173" s="12" t="s">
        <v>19</v>
      </c>
    </row>
    <row r="174" spans="1:9" x14ac:dyDescent="0.2">
      <c r="A174" s="15"/>
      <c r="B174" s="16"/>
      <c r="C174" s="73"/>
      <c r="D174" s="15"/>
      <c r="E174" s="15"/>
      <c r="F174" s="21" t="s">
        <v>113</v>
      </c>
      <c r="G174" s="21" t="s">
        <v>114</v>
      </c>
      <c r="H174" s="21" t="s">
        <v>20</v>
      </c>
      <c r="I174" s="15"/>
    </row>
    <row r="175" spans="1:9" x14ac:dyDescent="0.2">
      <c r="A175" s="8" t="s">
        <v>0</v>
      </c>
      <c r="B175" s="5">
        <f>B157+1</f>
        <v>46121</v>
      </c>
      <c r="C175" s="74" t="s">
        <v>1128</v>
      </c>
      <c r="D175" s="6" t="s">
        <v>379</v>
      </c>
      <c r="E175" s="6" t="s">
        <v>165</v>
      </c>
      <c r="F175" s="6">
        <v>1</v>
      </c>
      <c r="G175" s="6"/>
      <c r="H175" s="6">
        <v>5</v>
      </c>
      <c r="I175" s="6"/>
    </row>
    <row r="176" spans="1:9" x14ac:dyDescent="0.2">
      <c r="A176" s="8" t="s">
        <v>1</v>
      </c>
      <c r="B176" s="5"/>
      <c r="C176" s="74" t="s">
        <v>1129</v>
      </c>
      <c r="D176" s="6" t="s">
        <v>428</v>
      </c>
      <c r="E176" s="6" t="s">
        <v>168</v>
      </c>
      <c r="F176" s="6">
        <v>1</v>
      </c>
      <c r="G176" s="6"/>
      <c r="H176" s="6">
        <v>6</v>
      </c>
      <c r="I176" s="6"/>
    </row>
    <row r="177" spans="1:9" x14ac:dyDescent="0.2">
      <c r="A177" s="8" t="s">
        <v>2</v>
      </c>
      <c r="B177" s="5"/>
      <c r="C177" s="74" t="s">
        <v>1130</v>
      </c>
      <c r="D177" s="6" t="s">
        <v>206</v>
      </c>
      <c r="E177" s="6" t="s">
        <v>632</v>
      </c>
      <c r="F177" s="6">
        <v>1</v>
      </c>
      <c r="G177" s="6"/>
      <c r="H177" s="6">
        <v>6</v>
      </c>
      <c r="I177" s="6"/>
    </row>
    <row r="178" spans="1:9" x14ac:dyDescent="0.2">
      <c r="A178" s="8" t="s">
        <v>3</v>
      </c>
      <c r="B178" s="5"/>
      <c r="C178" s="74" t="s">
        <v>1131</v>
      </c>
      <c r="D178" s="6" t="s">
        <v>170</v>
      </c>
      <c r="E178" s="6" t="s">
        <v>190</v>
      </c>
      <c r="F178" s="6">
        <v>1</v>
      </c>
      <c r="G178" s="6"/>
      <c r="H178" s="6">
        <v>3</v>
      </c>
      <c r="I178" s="6"/>
    </row>
    <row r="179" spans="1:9" x14ac:dyDescent="0.2">
      <c r="A179" s="8" t="s">
        <v>4</v>
      </c>
      <c r="B179" s="5"/>
      <c r="C179" s="74" t="s">
        <v>1132</v>
      </c>
      <c r="D179" s="6" t="s">
        <v>1133</v>
      </c>
      <c r="E179" s="6" t="s">
        <v>1077</v>
      </c>
      <c r="F179" s="6"/>
      <c r="G179" s="6">
        <v>1</v>
      </c>
      <c r="H179" s="6">
        <v>4</v>
      </c>
      <c r="I179" s="6"/>
    </row>
    <row r="180" spans="1:9" hidden="1" x14ac:dyDescent="0.2">
      <c r="A180" s="8" t="s">
        <v>5</v>
      </c>
      <c r="B180" s="5"/>
      <c r="C180" s="74"/>
      <c r="D180" s="6"/>
      <c r="E180" s="6"/>
      <c r="F180" s="6"/>
      <c r="G180" s="6"/>
      <c r="H180" s="6"/>
      <c r="I180" s="6"/>
    </row>
    <row r="181" spans="1:9" hidden="1" x14ac:dyDescent="0.2">
      <c r="A181" s="8" t="s">
        <v>6</v>
      </c>
      <c r="B181" s="5"/>
      <c r="C181" s="74"/>
      <c r="D181" s="6"/>
      <c r="E181" s="6"/>
      <c r="F181" s="6"/>
      <c r="G181" s="6"/>
      <c r="H181" s="6"/>
      <c r="I181" s="6"/>
    </row>
    <row r="182" spans="1:9" hidden="1" x14ac:dyDescent="0.2">
      <c r="A182" s="8" t="s">
        <v>7</v>
      </c>
      <c r="B182" s="5"/>
      <c r="C182" s="74"/>
      <c r="D182" s="6"/>
      <c r="E182" s="6"/>
      <c r="F182" s="6"/>
      <c r="G182" s="6"/>
      <c r="H182" s="6"/>
      <c r="I182" s="6"/>
    </row>
    <row r="183" spans="1:9" hidden="1" x14ac:dyDescent="0.2">
      <c r="A183" s="8" t="s">
        <v>8</v>
      </c>
      <c r="B183" s="5"/>
      <c r="C183" s="74"/>
      <c r="D183" s="6"/>
      <c r="E183" s="6"/>
      <c r="F183" s="6"/>
      <c r="G183" s="6"/>
      <c r="H183" s="6"/>
      <c r="I183" s="6"/>
    </row>
    <row r="184" spans="1:9" hidden="1" x14ac:dyDescent="0.2">
      <c r="A184" s="8" t="s">
        <v>9</v>
      </c>
      <c r="B184" s="5"/>
      <c r="C184" s="74"/>
      <c r="D184" s="6"/>
      <c r="E184" s="6"/>
      <c r="F184" s="6"/>
      <c r="G184" s="6"/>
      <c r="H184" s="6"/>
      <c r="I184" s="6"/>
    </row>
    <row r="185" spans="1:9" x14ac:dyDescent="0.2">
      <c r="A185" s="312" t="s">
        <v>10</v>
      </c>
      <c r="B185" s="313"/>
      <c r="C185" s="313"/>
      <c r="D185" s="313"/>
      <c r="E185" s="314"/>
      <c r="F185" s="11">
        <f>SUM(F175:F184)</f>
        <v>4</v>
      </c>
      <c r="G185" s="11">
        <f>SUM(G175:G184)</f>
        <v>1</v>
      </c>
      <c r="H185" s="11">
        <f>SUM(H175:H184)</f>
        <v>24</v>
      </c>
      <c r="I185" s="11"/>
    </row>
    <row r="186" spans="1:9" x14ac:dyDescent="0.2">
      <c r="A186" s="8" t="s">
        <v>0</v>
      </c>
      <c r="B186" s="5">
        <f>B175+1</f>
        <v>46122</v>
      </c>
      <c r="C186" s="74" t="s">
        <v>1188</v>
      </c>
      <c r="D186" s="6" t="s">
        <v>832</v>
      </c>
      <c r="E186" s="6" t="s">
        <v>168</v>
      </c>
      <c r="F186" s="6">
        <v>1</v>
      </c>
      <c r="G186" s="6"/>
      <c r="H186" s="6">
        <v>5</v>
      </c>
      <c r="I186" s="6"/>
    </row>
    <row r="187" spans="1:9" x14ac:dyDescent="0.2">
      <c r="A187" s="8" t="s">
        <v>1</v>
      </c>
      <c r="B187" s="5"/>
      <c r="C187" s="74" t="s">
        <v>1197</v>
      </c>
      <c r="D187" s="6" t="s">
        <v>188</v>
      </c>
      <c r="E187" s="6" t="s">
        <v>165</v>
      </c>
      <c r="F187" s="6">
        <v>1</v>
      </c>
      <c r="G187" s="6"/>
      <c r="H187" s="6">
        <v>6</v>
      </c>
      <c r="I187" s="6"/>
    </row>
    <row r="188" spans="1:9" x14ac:dyDescent="0.2">
      <c r="A188" s="8" t="s">
        <v>2</v>
      </c>
      <c r="B188" s="5"/>
      <c r="C188" s="74" t="s">
        <v>1198</v>
      </c>
      <c r="D188" s="6" t="s">
        <v>188</v>
      </c>
      <c r="E188" s="6" t="s">
        <v>165</v>
      </c>
      <c r="F188" s="6"/>
      <c r="G188" s="6">
        <v>1</v>
      </c>
      <c r="H188" s="6">
        <v>6</v>
      </c>
      <c r="I188" s="6"/>
    </row>
    <row r="189" spans="1:9" x14ac:dyDescent="0.2">
      <c r="A189" s="8" t="s">
        <v>3</v>
      </c>
      <c r="B189" s="5"/>
      <c r="C189" s="74" t="s">
        <v>1199</v>
      </c>
      <c r="D189" s="6" t="s">
        <v>188</v>
      </c>
      <c r="E189" s="6" t="s">
        <v>165</v>
      </c>
      <c r="F189" s="6"/>
      <c r="G189" s="6">
        <v>1</v>
      </c>
      <c r="H189" s="6">
        <v>6</v>
      </c>
      <c r="I189" s="6"/>
    </row>
    <row r="190" spans="1:9" hidden="1" x14ac:dyDescent="0.2">
      <c r="A190" s="8" t="s">
        <v>4</v>
      </c>
      <c r="B190" s="5"/>
      <c r="C190" s="74"/>
      <c r="D190" s="6"/>
      <c r="E190" s="6"/>
      <c r="F190" s="6"/>
      <c r="G190" s="6"/>
      <c r="H190" s="6"/>
      <c r="I190" s="6"/>
    </row>
    <row r="191" spans="1:9" hidden="1" x14ac:dyDescent="0.2">
      <c r="A191" s="8" t="s">
        <v>5</v>
      </c>
      <c r="B191" s="5"/>
      <c r="C191" s="74"/>
      <c r="D191" s="6"/>
      <c r="E191" s="6"/>
      <c r="F191" s="6"/>
      <c r="G191" s="6"/>
      <c r="H191" s="6"/>
      <c r="I191" s="6"/>
    </row>
    <row r="192" spans="1:9" hidden="1" x14ac:dyDescent="0.2">
      <c r="A192" s="8" t="s">
        <v>6</v>
      </c>
      <c r="B192" s="5"/>
      <c r="C192" s="74"/>
      <c r="D192" s="6"/>
      <c r="E192" s="6"/>
      <c r="F192" s="6"/>
      <c r="G192" s="6"/>
      <c r="H192" s="6"/>
      <c r="I192" s="6"/>
    </row>
    <row r="193" spans="1:9" hidden="1" x14ac:dyDescent="0.2">
      <c r="A193" s="8" t="s">
        <v>7</v>
      </c>
      <c r="B193" s="5"/>
      <c r="C193" s="74"/>
      <c r="D193" s="6"/>
      <c r="E193" s="6"/>
      <c r="F193" s="6"/>
      <c r="G193" s="6"/>
      <c r="H193" s="6"/>
      <c r="I193" s="6"/>
    </row>
    <row r="194" spans="1:9" hidden="1" x14ac:dyDescent="0.2">
      <c r="A194" s="8" t="s">
        <v>8</v>
      </c>
      <c r="B194" s="5"/>
      <c r="C194" s="74"/>
      <c r="D194" s="6"/>
      <c r="E194" s="6"/>
      <c r="F194" s="6"/>
      <c r="G194" s="6"/>
      <c r="H194" s="6"/>
      <c r="I194" s="6"/>
    </row>
    <row r="195" spans="1:9" hidden="1" x14ac:dyDescent="0.2">
      <c r="A195" s="8" t="s">
        <v>9</v>
      </c>
      <c r="B195" s="5"/>
      <c r="C195" s="74"/>
      <c r="D195" s="6"/>
      <c r="E195" s="6"/>
      <c r="F195" s="6"/>
      <c r="G195" s="6"/>
      <c r="H195" s="6"/>
      <c r="I195" s="6"/>
    </row>
    <row r="196" spans="1:9" x14ac:dyDescent="0.2">
      <c r="A196" s="312" t="s">
        <v>10</v>
      </c>
      <c r="B196" s="313"/>
      <c r="C196" s="313"/>
      <c r="D196" s="313"/>
      <c r="E196" s="314"/>
      <c r="F196" s="11">
        <f>SUM(F186:F195)</f>
        <v>2</v>
      </c>
      <c r="G196" s="11">
        <f>SUM(G186:G195)</f>
        <v>2</v>
      </c>
      <c r="H196" s="11">
        <f>SUM(H186:H195)</f>
        <v>23</v>
      </c>
      <c r="I196" s="11"/>
    </row>
    <row r="197" spans="1:9" x14ac:dyDescent="0.2">
      <c r="A197" s="8" t="s">
        <v>0</v>
      </c>
      <c r="B197" s="5">
        <f>B186+1</f>
        <v>46123</v>
      </c>
      <c r="C197" s="74" t="s">
        <v>1241</v>
      </c>
      <c r="D197" s="6" t="s">
        <v>342</v>
      </c>
      <c r="E197" s="6" t="s">
        <v>165</v>
      </c>
      <c r="F197" s="6">
        <v>1</v>
      </c>
      <c r="G197" s="6"/>
      <c r="H197" s="6">
        <v>6</v>
      </c>
      <c r="I197" s="6"/>
    </row>
    <row r="198" spans="1:9" x14ac:dyDescent="0.2">
      <c r="A198" s="8" t="s">
        <v>1</v>
      </c>
      <c r="B198" s="5"/>
      <c r="C198" s="74" t="s">
        <v>1242</v>
      </c>
      <c r="D198" s="6" t="s">
        <v>347</v>
      </c>
      <c r="E198" s="6" t="s">
        <v>441</v>
      </c>
      <c r="F198" s="6">
        <v>1</v>
      </c>
      <c r="G198" s="6"/>
      <c r="H198" s="6">
        <v>6</v>
      </c>
      <c r="I198" s="6"/>
    </row>
    <row r="199" spans="1:9" x14ac:dyDescent="0.2">
      <c r="A199" s="8" t="s">
        <v>2</v>
      </c>
      <c r="B199" s="5"/>
      <c r="C199" s="74" t="s">
        <v>1243</v>
      </c>
      <c r="D199" s="6" t="s">
        <v>347</v>
      </c>
      <c r="E199" s="6" t="s">
        <v>441</v>
      </c>
      <c r="F199" s="6">
        <v>1</v>
      </c>
      <c r="G199" s="6"/>
      <c r="H199" s="6">
        <v>6</v>
      </c>
      <c r="I199" s="6"/>
    </row>
    <row r="200" spans="1:9" x14ac:dyDescent="0.2">
      <c r="A200" s="8" t="s">
        <v>3</v>
      </c>
      <c r="B200" s="5"/>
      <c r="C200" s="74" t="s">
        <v>1244</v>
      </c>
      <c r="D200" s="6" t="s">
        <v>347</v>
      </c>
      <c r="E200" s="6" t="s">
        <v>441</v>
      </c>
      <c r="F200" s="6">
        <v>1</v>
      </c>
      <c r="G200" s="6"/>
      <c r="H200" s="6">
        <v>6</v>
      </c>
      <c r="I200" s="6"/>
    </row>
    <row r="201" spans="1:9" hidden="1" x14ac:dyDescent="0.2">
      <c r="A201" s="8" t="s">
        <v>4</v>
      </c>
      <c r="B201" s="5"/>
      <c r="C201" s="74"/>
      <c r="D201" s="6"/>
      <c r="E201" s="6"/>
      <c r="F201" s="6"/>
      <c r="G201" s="6"/>
      <c r="H201" s="6"/>
      <c r="I201" s="6"/>
    </row>
    <row r="202" spans="1:9" hidden="1" x14ac:dyDescent="0.2">
      <c r="A202" s="8" t="s">
        <v>5</v>
      </c>
      <c r="B202" s="5"/>
      <c r="C202" s="74"/>
      <c r="D202" s="6"/>
      <c r="E202" s="6"/>
      <c r="F202" s="6"/>
      <c r="G202" s="6"/>
      <c r="H202" s="6"/>
      <c r="I202" s="6"/>
    </row>
    <row r="203" spans="1:9" hidden="1" x14ac:dyDescent="0.2">
      <c r="A203" s="8" t="s">
        <v>6</v>
      </c>
      <c r="B203" s="5"/>
      <c r="C203" s="74"/>
      <c r="D203" s="6"/>
      <c r="E203" s="6"/>
      <c r="F203" s="6"/>
      <c r="G203" s="6"/>
      <c r="H203" s="6"/>
      <c r="I203" s="6"/>
    </row>
    <row r="204" spans="1:9" hidden="1" x14ac:dyDescent="0.2">
      <c r="A204" s="8" t="s">
        <v>7</v>
      </c>
      <c r="B204" s="5"/>
      <c r="C204" s="74"/>
      <c r="D204" s="6"/>
      <c r="E204" s="6"/>
      <c r="F204" s="6"/>
      <c r="G204" s="6"/>
      <c r="H204" s="6"/>
      <c r="I204" s="6"/>
    </row>
    <row r="205" spans="1:9" hidden="1" x14ac:dyDescent="0.2">
      <c r="A205" s="8" t="s">
        <v>8</v>
      </c>
      <c r="B205" s="5"/>
      <c r="C205" s="74"/>
      <c r="D205" s="6"/>
      <c r="E205" s="6"/>
      <c r="F205" s="6"/>
      <c r="G205" s="6"/>
      <c r="H205" s="6"/>
      <c r="I205" s="6"/>
    </row>
    <row r="206" spans="1:9" hidden="1" x14ac:dyDescent="0.2">
      <c r="A206" s="8" t="s">
        <v>9</v>
      </c>
      <c r="B206" s="5"/>
      <c r="C206" s="74"/>
      <c r="D206" s="6"/>
      <c r="E206" s="6"/>
      <c r="F206" s="6"/>
      <c r="G206" s="6"/>
      <c r="H206" s="6"/>
      <c r="I206" s="6"/>
    </row>
    <row r="207" spans="1:9" x14ac:dyDescent="0.2">
      <c r="A207" s="312" t="s">
        <v>10</v>
      </c>
      <c r="B207" s="313"/>
      <c r="C207" s="313"/>
      <c r="D207" s="313"/>
      <c r="E207" s="314"/>
      <c r="F207" s="11">
        <f>SUM(F197:F206)</f>
        <v>4</v>
      </c>
      <c r="G207" s="11">
        <f>SUM(G197:G206)</f>
        <v>0</v>
      </c>
      <c r="H207" s="11">
        <f>SUM(H197:H206)</f>
        <v>24</v>
      </c>
      <c r="I207" s="11"/>
    </row>
    <row r="208" spans="1:9" hidden="1" x14ac:dyDescent="0.2">
      <c r="A208" s="8" t="s">
        <v>0</v>
      </c>
      <c r="B208" s="5">
        <f>B197+1</f>
        <v>46124</v>
      </c>
      <c r="C208" s="75"/>
      <c r="D208" s="6"/>
      <c r="E208" s="6"/>
      <c r="F208" s="6"/>
      <c r="G208" s="6"/>
      <c r="H208" s="6"/>
      <c r="I208" s="6"/>
    </row>
    <row r="209" spans="1:9" hidden="1" x14ac:dyDescent="0.2">
      <c r="A209" s="8" t="s">
        <v>1</v>
      </c>
      <c r="B209" s="5"/>
      <c r="C209" s="75"/>
      <c r="D209" s="6"/>
      <c r="E209" s="6"/>
      <c r="F209" s="6"/>
      <c r="G209" s="6"/>
      <c r="H209" s="6"/>
      <c r="I209" s="6"/>
    </row>
    <row r="210" spans="1:9" hidden="1" x14ac:dyDescent="0.2">
      <c r="A210" s="8" t="s">
        <v>2</v>
      </c>
      <c r="B210" s="5"/>
      <c r="C210" s="75"/>
      <c r="D210" s="6"/>
      <c r="E210" s="6"/>
      <c r="F210" s="6"/>
      <c r="G210" s="6"/>
      <c r="H210" s="6"/>
      <c r="I210" s="6"/>
    </row>
    <row r="211" spans="1:9" hidden="1" x14ac:dyDescent="0.2">
      <c r="A211" s="8" t="s">
        <v>3</v>
      </c>
      <c r="B211" s="5"/>
      <c r="C211" s="75"/>
      <c r="D211" s="6"/>
      <c r="E211" s="6"/>
      <c r="F211" s="6"/>
      <c r="G211" s="6"/>
      <c r="H211" s="6"/>
      <c r="I211" s="6"/>
    </row>
    <row r="212" spans="1:9" hidden="1" x14ac:dyDescent="0.2">
      <c r="A212" s="8" t="s">
        <v>4</v>
      </c>
      <c r="B212" s="5"/>
      <c r="C212" s="75"/>
      <c r="D212" s="6"/>
      <c r="E212" s="6"/>
      <c r="F212" s="6"/>
      <c r="G212" s="6"/>
      <c r="H212" s="6"/>
      <c r="I212" s="6"/>
    </row>
    <row r="213" spans="1:9" hidden="1" x14ac:dyDescent="0.2">
      <c r="A213" s="8" t="s">
        <v>5</v>
      </c>
      <c r="B213" s="5"/>
      <c r="C213" s="75"/>
      <c r="D213" s="6"/>
      <c r="E213" s="6"/>
      <c r="F213" s="6"/>
      <c r="G213" s="6"/>
      <c r="H213" s="6"/>
      <c r="I213" s="6"/>
    </row>
    <row r="214" spans="1:9" hidden="1" x14ac:dyDescent="0.2">
      <c r="A214" s="8" t="s">
        <v>6</v>
      </c>
      <c r="B214" s="5"/>
      <c r="C214" s="75"/>
      <c r="D214" s="6"/>
      <c r="E214" s="6"/>
      <c r="F214" s="6"/>
      <c r="G214" s="6"/>
      <c r="H214" s="6"/>
      <c r="I214" s="6"/>
    </row>
    <row r="215" spans="1:9" hidden="1" x14ac:dyDescent="0.2">
      <c r="A215" s="8" t="s">
        <v>7</v>
      </c>
      <c r="B215" s="5"/>
      <c r="C215" s="74"/>
      <c r="D215" s="6"/>
      <c r="E215" s="6"/>
      <c r="F215" s="6"/>
      <c r="G215" s="6"/>
      <c r="H215" s="6"/>
      <c r="I215" s="6"/>
    </row>
    <row r="216" spans="1:9" hidden="1" x14ac:dyDescent="0.2">
      <c r="A216" s="8" t="s">
        <v>8</v>
      </c>
      <c r="B216" s="5"/>
      <c r="C216" s="74"/>
      <c r="D216" s="6"/>
      <c r="E216" s="6"/>
      <c r="F216" s="6"/>
      <c r="G216" s="6"/>
      <c r="H216" s="6"/>
      <c r="I216" s="6"/>
    </row>
    <row r="217" spans="1:9" hidden="1" x14ac:dyDescent="0.2">
      <c r="A217" s="8" t="s">
        <v>9</v>
      </c>
      <c r="B217" s="5"/>
      <c r="C217" s="74"/>
      <c r="D217" s="6"/>
      <c r="E217" s="6"/>
      <c r="F217" s="6"/>
      <c r="G217" s="6"/>
      <c r="H217" s="6"/>
      <c r="I217" s="6"/>
    </row>
    <row r="218" spans="1:9" hidden="1" x14ac:dyDescent="0.2">
      <c r="A218" s="312" t="s">
        <v>10</v>
      </c>
      <c r="B218" s="313"/>
      <c r="C218" s="313"/>
      <c r="D218" s="313"/>
      <c r="E218" s="314"/>
      <c r="F218" s="11">
        <f>SUM(F208:F217)</f>
        <v>0</v>
      </c>
      <c r="G218" s="11">
        <f>SUM(G208:G217)</f>
        <v>0</v>
      </c>
      <c r="H218" s="11">
        <f>SUM(H208:H217)</f>
        <v>0</v>
      </c>
      <c r="I218" s="11"/>
    </row>
    <row r="219" spans="1:9" hidden="1" x14ac:dyDescent="0.2">
      <c r="A219" s="8" t="s">
        <v>0</v>
      </c>
      <c r="B219" s="5">
        <f>B208+1</f>
        <v>46125</v>
      </c>
      <c r="C219" s="75"/>
      <c r="D219" s="6"/>
      <c r="E219" s="6"/>
      <c r="F219" s="6"/>
      <c r="G219" s="6"/>
      <c r="H219" s="6"/>
      <c r="I219" s="6"/>
    </row>
    <row r="220" spans="1:9" hidden="1" x14ac:dyDescent="0.2">
      <c r="A220" s="8" t="s">
        <v>1</v>
      </c>
      <c r="B220" s="5"/>
      <c r="C220" s="75"/>
      <c r="D220" s="6"/>
      <c r="E220" s="6"/>
      <c r="F220" s="6"/>
      <c r="G220" s="6"/>
      <c r="H220" s="6"/>
      <c r="I220" s="6"/>
    </row>
    <row r="221" spans="1:9" hidden="1" x14ac:dyDescent="0.2">
      <c r="A221" s="8" t="s">
        <v>2</v>
      </c>
      <c r="B221" s="5"/>
      <c r="C221" s="75"/>
      <c r="D221" s="6"/>
      <c r="E221" s="6"/>
      <c r="F221" s="6"/>
      <c r="G221" s="6"/>
      <c r="H221" s="6"/>
      <c r="I221" s="6"/>
    </row>
    <row r="222" spans="1:9" hidden="1" x14ac:dyDescent="0.2">
      <c r="A222" s="8" t="s">
        <v>3</v>
      </c>
      <c r="B222" s="5"/>
      <c r="C222" s="75"/>
      <c r="D222" s="6"/>
      <c r="E222" s="6"/>
      <c r="F222" s="6"/>
      <c r="G222" s="6"/>
      <c r="H222" s="6"/>
      <c r="I222" s="6"/>
    </row>
    <row r="223" spans="1:9" hidden="1" x14ac:dyDescent="0.2">
      <c r="A223" s="8" t="s">
        <v>4</v>
      </c>
      <c r="B223" s="5"/>
      <c r="C223" s="75"/>
      <c r="D223" s="6"/>
      <c r="E223" s="6"/>
      <c r="F223" s="6"/>
      <c r="G223" s="6"/>
      <c r="H223" s="6"/>
      <c r="I223" s="6"/>
    </row>
    <row r="224" spans="1:9" hidden="1" x14ac:dyDescent="0.2">
      <c r="A224" s="8" t="s">
        <v>5</v>
      </c>
      <c r="B224" s="5"/>
      <c r="C224" s="75"/>
      <c r="D224" s="6"/>
      <c r="E224" s="6"/>
      <c r="F224" s="6"/>
      <c r="G224" s="6"/>
      <c r="H224" s="6"/>
      <c r="I224" s="6"/>
    </row>
    <row r="225" spans="1:9" hidden="1" x14ac:dyDescent="0.2">
      <c r="A225" s="8" t="s">
        <v>6</v>
      </c>
      <c r="B225" s="5"/>
      <c r="C225" s="74"/>
      <c r="D225" s="6"/>
      <c r="E225" s="6"/>
      <c r="F225" s="6"/>
      <c r="G225" s="6"/>
      <c r="H225" s="6"/>
      <c r="I225" s="6"/>
    </row>
    <row r="226" spans="1:9" hidden="1" x14ac:dyDescent="0.2">
      <c r="A226" s="8" t="s">
        <v>7</v>
      </c>
      <c r="B226" s="5"/>
      <c r="C226" s="74"/>
      <c r="D226" s="6"/>
      <c r="E226" s="6"/>
      <c r="F226" s="6"/>
      <c r="G226" s="6"/>
      <c r="H226" s="6"/>
      <c r="I226" s="6"/>
    </row>
    <row r="227" spans="1:9" hidden="1" x14ac:dyDescent="0.2">
      <c r="A227" s="8" t="s">
        <v>8</v>
      </c>
      <c r="B227" s="5"/>
      <c r="C227" s="74"/>
      <c r="D227" s="6"/>
      <c r="E227" s="6"/>
      <c r="F227" s="6"/>
      <c r="G227" s="6"/>
      <c r="H227" s="6"/>
      <c r="I227" s="6"/>
    </row>
    <row r="228" spans="1:9" hidden="1" x14ac:dyDescent="0.2">
      <c r="A228" s="8" t="s">
        <v>9</v>
      </c>
      <c r="B228" s="5"/>
      <c r="C228" s="74"/>
      <c r="D228" s="6"/>
      <c r="E228" s="6"/>
      <c r="F228" s="6"/>
      <c r="G228" s="6"/>
      <c r="H228" s="6"/>
      <c r="I228" s="6"/>
    </row>
    <row r="229" spans="1:9" hidden="1" x14ac:dyDescent="0.2">
      <c r="A229" s="312" t="s">
        <v>10</v>
      </c>
      <c r="B229" s="313"/>
      <c r="C229" s="313"/>
      <c r="D229" s="313"/>
      <c r="E229" s="314"/>
      <c r="F229" s="11">
        <f>SUM(F219:F228)</f>
        <v>0</v>
      </c>
      <c r="G229" s="11">
        <f>SUM(G219:G228)</f>
        <v>0</v>
      </c>
      <c r="H229" s="11">
        <f>SUM(H219:H228)</f>
        <v>0</v>
      </c>
      <c r="I229" s="11"/>
    </row>
    <row r="230" spans="1:9" hidden="1" x14ac:dyDescent="0.2">
      <c r="A230" s="8" t="s">
        <v>0</v>
      </c>
      <c r="B230" s="5">
        <f>B219+1</f>
        <v>46126</v>
      </c>
      <c r="C230" s="75"/>
      <c r="D230" s="6"/>
      <c r="E230" s="6"/>
      <c r="F230" s="6"/>
      <c r="G230" s="6"/>
      <c r="H230" s="6"/>
      <c r="I230" s="6"/>
    </row>
    <row r="231" spans="1:9" hidden="1" x14ac:dyDescent="0.2">
      <c r="A231" s="8" t="s">
        <v>1</v>
      </c>
      <c r="B231" s="5"/>
      <c r="C231" s="75"/>
      <c r="D231" s="6"/>
      <c r="E231" s="6"/>
      <c r="F231" s="6"/>
      <c r="G231" s="6"/>
      <c r="H231" s="6"/>
      <c r="I231" s="6"/>
    </row>
    <row r="232" spans="1:9" hidden="1" x14ac:dyDescent="0.2">
      <c r="A232" s="8" t="s">
        <v>2</v>
      </c>
      <c r="B232" s="5"/>
      <c r="C232" s="75"/>
      <c r="D232" s="6"/>
      <c r="E232" s="6"/>
      <c r="F232" s="6"/>
      <c r="G232" s="6"/>
      <c r="H232" s="6"/>
      <c r="I232" s="6"/>
    </row>
    <row r="233" spans="1:9" hidden="1" x14ac:dyDescent="0.2">
      <c r="A233" s="8" t="s">
        <v>3</v>
      </c>
      <c r="B233" s="5"/>
      <c r="C233" s="75"/>
      <c r="D233" s="6"/>
      <c r="E233" s="6"/>
      <c r="F233" s="6"/>
      <c r="G233" s="6"/>
      <c r="H233" s="6"/>
      <c r="I233" s="6"/>
    </row>
    <row r="234" spans="1:9" hidden="1" x14ac:dyDescent="0.2">
      <c r="A234" s="8" t="s">
        <v>4</v>
      </c>
      <c r="B234" s="5"/>
      <c r="C234" s="75"/>
      <c r="D234" s="6"/>
      <c r="E234" s="6"/>
      <c r="F234" s="6"/>
      <c r="G234" s="6"/>
      <c r="H234" s="6"/>
      <c r="I234" s="6"/>
    </row>
    <row r="235" spans="1:9" hidden="1" x14ac:dyDescent="0.2">
      <c r="A235" s="8" t="s">
        <v>5</v>
      </c>
      <c r="B235" s="5"/>
      <c r="C235" s="75"/>
      <c r="D235" s="6"/>
      <c r="E235" s="6"/>
      <c r="F235" s="6"/>
      <c r="G235" s="6"/>
      <c r="H235" s="6"/>
      <c r="I235" s="6"/>
    </row>
    <row r="236" spans="1:9" hidden="1" x14ac:dyDescent="0.2">
      <c r="A236" s="8" t="s">
        <v>6</v>
      </c>
      <c r="B236" s="5"/>
      <c r="C236" s="75"/>
      <c r="D236" s="6"/>
      <c r="E236" s="6"/>
      <c r="F236" s="6"/>
      <c r="G236" s="6"/>
      <c r="H236" s="6"/>
      <c r="I236" s="6"/>
    </row>
    <row r="237" spans="1:9" hidden="1" x14ac:dyDescent="0.2">
      <c r="A237" s="8" t="s">
        <v>7</v>
      </c>
      <c r="B237" s="5"/>
      <c r="C237" s="75"/>
      <c r="D237" s="6"/>
      <c r="E237" s="6"/>
      <c r="F237" s="6"/>
      <c r="G237" s="6"/>
      <c r="H237" s="6"/>
      <c r="I237" s="6"/>
    </row>
    <row r="238" spans="1:9" hidden="1" x14ac:dyDescent="0.2">
      <c r="A238" s="8" t="s">
        <v>8</v>
      </c>
      <c r="B238" s="5"/>
      <c r="C238" s="75"/>
      <c r="D238" s="6"/>
      <c r="E238" s="6"/>
      <c r="F238" s="6"/>
      <c r="G238" s="6"/>
      <c r="H238" s="6"/>
      <c r="I238" s="6"/>
    </row>
    <row r="239" spans="1:9" hidden="1" x14ac:dyDescent="0.2">
      <c r="A239" s="8" t="s">
        <v>9</v>
      </c>
      <c r="B239" s="5"/>
      <c r="C239" s="75"/>
      <c r="D239" s="6"/>
      <c r="E239" s="6"/>
      <c r="F239" s="6"/>
      <c r="G239" s="6"/>
      <c r="H239" s="6"/>
      <c r="I239" s="6"/>
    </row>
    <row r="240" spans="1:9" hidden="1" x14ac:dyDescent="0.2">
      <c r="A240" s="312" t="s">
        <v>10</v>
      </c>
      <c r="B240" s="313"/>
      <c r="C240" s="313"/>
      <c r="D240" s="313"/>
      <c r="E240" s="314"/>
      <c r="F240" s="11">
        <f>SUM(F230:F239)</f>
        <v>0</v>
      </c>
      <c r="G240" s="11">
        <f>SUM(G230:G239)</f>
        <v>0</v>
      </c>
      <c r="H240" s="11">
        <f>SUM(H230:H239)</f>
        <v>0</v>
      </c>
      <c r="I240" s="11"/>
    </row>
    <row r="241" spans="1:9" hidden="1" x14ac:dyDescent="0.2">
      <c r="A241" s="8" t="s">
        <v>0</v>
      </c>
      <c r="B241" s="5">
        <f>B230+1</f>
        <v>46127</v>
      </c>
      <c r="C241" s="74"/>
      <c r="D241" s="6"/>
      <c r="E241" s="6"/>
      <c r="F241" s="6"/>
      <c r="G241" s="6"/>
      <c r="H241" s="6"/>
      <c r="I241" s="6"/>
    </row>
    <row r="242" spans="1:9" hidden="1" x14ac:dyDescent="0.2">
      <c r="A242" s="8" t="s">
        <v>1</v>
      </c>
      <c r="B242" s="5"/>
      <c r="C242" s="74"/>
      <c r="D242" s="6"/>
      <c r="E242" s="6"/>
      <c r="F242" s="6"/>
      <c r="G242" s="6"/>
      <c r="H242" s="6"/>
      <c r="I242" s="6"/>
    </row>
    <row r="243" spans="1:9" hidden="1" x14ac:dyDescent="0.2">
      <c r="A243" s="8" t="s">
        <v>2</v>
      </c>
      <c r="B243" s="5"/>
      <c r="C243" s="74"/>
      <c r="D243" s="6"/>
      <c r="E243" s="6"/>
      <c r="F243" s="6"/>
      <c r="G243" s="6"/>
      <c r="H243" s="6"/>
      <c r="I243" s="6"/>
    </row>
    <row r="244" spans="1:9" hidden="1" x14ac:dyDescent="0.2">
      <c r="A244" s="8" t="s">
        <v>3</v>
      </c>
      <c r="B244" s="5"/>
      <c r="C244" s="74"/>
      <c r="D244" s="6"/>
      <c r="E244" s="6"/>
      <c r="F244" s="6"/>
      <c r="G244" s="6"/>
      <c r="H244" s="6"/>
      <c r="I244" s="6"/>
    </row>
    <row r="245" spans="1:9" hidden="1" x14ac:dyDescent="0.2">
      <c r="A245" s="8" t="s">
        <v>4</v>
      </c>
      <c r="B245" s="5"/>
      <c r="C245" s="74"/>
      <c r="D245" s="6"/>
      <c r="E245" s="6"/>
      <c r="F245" s="6"/>
      <c r="G245" s="6"/>
      <c r="H245" s="6"/>
      <c r="I245" s="6"/>
    </row>
    <row r="246" spans="1:9" hidden="1" x14ac:dyDescent="0.2">
      <c r="A246" s="8" t="s">
        <v>5</v>
      </c>
      <c r="B246" s="5"/>
      <c r="C246" s="74"/>
      <c r="D246" s="6"/>
      <c r="E246" s="6"/>
      <c r="F246" s="6"/>
      <c r="G246" s="6"/>
      <c r="H246" s="6"/>
      <c r="I246" s="6"/>
    </row>
    <row r="247" spans="1:9" hidden="1" x14ac:dyDescent="0.2">
      <c r="A247" s="8" t="s">
        <v>6</v>
      </c>
      <c r="B247" s="5"/>
      <c r="C247" s="74"/>
      <c r="D247" s="6"/>
      <c r="E247" s="6"/>
      <c r="F247" s="6"/>
      <c r="G247" s="6"/>
      <c r="H247" s="6"/>
      <c r="I247" s="6"/>
    </row>
    <row r="248" spans="1:9" hidden="1" x14ac:dyDescent="0.2">
      <c r="A248" s="8" t="s">
        <v>7</v>
      </c>
      <c r="B248" s="5"/>
      <c r="C248" s="74"/>
      <c r="D248" s="6"/>
      <c r="E248" s="6"/>
      <c r="F248" s="6"/>
      <c r="G248" s="6"/>
      <c r="H248" s="6"/>
      <c r="I248" s="6"/>
    </row>
    <row r="249" spans="1:9" hidden="1" x14ac:dyDescent="0.2">
      <c r="A249" s="8" t="s">
        <v>8</v>
      </c>
      <c r="B249" s="5"/>
      <c r="C249" s="74"/>
      <c r="D249" s="6"/>
      <c r="E249" s="6"/>
      <c r="F249" s="6"/>
      <c r="G249" s="6"/>
      <c r="H249" s="6"/>
      <c r="I249" s="6"/>
    </row>
    <row r="250" spans="1:9" hidden="1" x14ac:dyDescent="0.2">
      <c r="A250" s="8" t="s">
        <v>9</v>
      </c>
      <c r="B250" s="5"/>
      <c r="C250" s="74"/>
      <c r="D250" s="6"/>
      <c r="E250" s="6"/>
      <c r="F250" s="6"/>
      <c r="G250" s="6"/>
      <c r="H250" s="6"/>
      <c r="I250" s="6"/>
    </row>
    <row r="251" spans="1:9" hidden="1" x14ac:dyDescent="0.2">
      <c r="A251" s="312" t="s">
        <v>10</v>
      </c>
      <c r="B251" s="313"/>
      <c r="C251" s="313"/>
      <c r="D251" s="313"/>
      <c r="E251" s="314"/>
      <c r="F251" s="11">
        <f>SUM(F241:F250)</f>
        <v>0</v>
      </c>
      <c r="G251" s="11">
        <f>SUM(G241:G250)</f>
        <v>0</v>
      </c>
      <c r="H251" s="11">
        <f>SUM(H241:H250)</f>
        <v>0</v>
      </c>
      <c r="I251" s="11"/>
    </row>
    <row r="252" spans="1:9" s="25" customFormat="1" ht="18" x14ac:dyDescent="0.2">
      <c r="A252" s="315" t="s">
        <v>39</v>
      </c>
      <c r="B252" s="316"/>
      <c r="C252" s="316"/>
      <c r="D252" s="316"/>
      <c r="E252" s="317"/>
      <c r="F252" s="22">
        <f>F185+F196+F207+F218+F229+F240+F251+F168</f>
        <v>72</v>
      </c>
      <c r="G252" s="22">
        <f>G185+G196+G207+G218+G229+G240+G251+G168</f>
        <v>16</v>
      </c>
      <c r="H252" s="22">
        <f>H185+H196+H207+H218+H229+H240+H251+H168</f>
        <v>466.5</v>
      </c>
      <c r="I252" s="22"/>
    </row>
    <row r="253" spans="1:9" ht="21.95" customHeight="1" x14ac:dyDescent="0.2">
      <c r="A253" s="319" t="s">
        <v>14</v>
      </c>
      <c r="B253" s="319"/>
      <c r="C253" s="319"/>
      <c r="D253" s="319"/>
      <c r="E253" s="319"/>
      <c r="F253" s="319"/>
      <c r="G253" s="319"/>
      <c r="H253" s="319"/>
      <c r="I253" s="319"/>
    </row>
    <row r="254" spans="1:9" s="53" customFormat="1" ht="20.100000000000001" customHeight="1" x14ac:dyDescent="0.2">
      <c r="A254" s="323" t="s">
        <v>86</v>
      </c>
      <c r="B254" s="323"/>
      <c r="C254" s="323"/>
      <c r="D254" s="323"/>
      <c r="E254" s="323"/>
      <c r="F254" s="50" t="str">
        <f>F170</f>
        <v>เมษายน</v>
      </c>
      <c r="G254" s="50" t="s">
        <v>87</v>
      </c>
      <c r="H254" s="51">
        <f>H170</f>
        <v>2569</v>
      </c>
      <c r="I254" s="52"/>
    </row>
    <row r="255" spans="1:9" s="3" customFormat="1" ht="20.100000000000001" customHeight="1" x14ac:dyDescent="0.35">
      <c r="A255" s="318" t="s">
        <v>29</v>
      </c>
      <c r="B255" s="318"/>
      <c r="C255" s="318"/>
      <c r="D255" s="2"/>
      <c r="F255" s="4"/>
      <c r="G255" s="4"/>
      <c r="H255" s="4" t="s">
        <v>21</v>
      </c>
      <c r="I255" s="40">
        <f>I171+1</f>
        <v>4</v>
      </c>
    </row>
    <row r="256" spans="1:9" s="3" customFormat="1" ht="20.100000000000001" customHeight="1" x14ac:dyDescent="0.35">
      <c r="A256" s="311" t="s">
        <v>63</v>
      </c>
      <c r="B256" s="311"/>
      <c r="C256" s="311"/>
      <c r="D256" s="2"/>
      <c r="E256" s="39" t="s">
        <v>81</v>
      </c>
      <c r="F256" s="308">
        <f>F172</f>
        <v>46107</v>
      </c>
      <c r="G256" s="308"/>
      <c r="H256" s="39" t="s">
        <v>82</v>
      </c>
      <c r="I256" s="34">
        <f>I172</f>
        <v>46136</v>
      </c>
    </row>
    <row r="257" spans="1:9" x14ac:dyDescent="0.2">
      <c r="A257" s="12" t="s">
        <v>23</v>
      </c>
      <c r="B257" s="13" t="s">
        <v>11</v>
      </c>
      <c r="C257" s="72" t="s">
        <v>26</v>
      </c>
      <c r="D257" s="12" t="s">
        <v>16</v>
      </c>
      <c r="E257" s="12" t="s">
        <v>17</v>
      </c>
      <c r="F257" s="310" t="s">
        <v>46</v>
      </c>
      <c r="G257" s="310"/>
      <c r="H257" s="310"/>
      <c r="I257" s="12" t="s">
        <v>19</v>
      </c>
    </row>
    <row r="258" spans="1:9" x14ac:dyDescent="0.2">
      <c r="A258" s="15"/>
      <c r="B258" s="16"/>
      <c r="C258" s="73"/>
      <c r="D258" s="15"/>
      <c r="E258" s="15"/>
      <c r="F258" s="21" t="s">
        <v>113</v>
      </c>
      <c r="G258" s="21" t="s">
        <v>114</v>
      </c>
      <c r="H258" s="21" t="s">
        <v>20</v>
      </c>
      <c r="I258" s="15"/>
    </row>
    <row r="259" spans="1:9" hidden="1" x14ac:dyDescent="0.2">
      <c r="A259" s="8" t="s">
        <v>0</v>
      </c>
      <c r="B259" s="5">
        <f>B241+1</f>
        <v>46128</v>
      </c>
      <c r="C259" s="74"/>
      <c r="D259" s="6"/>
      <c r="E259" s="6"/>
      <c r="F259" s="6"/>
      <c r="G259" s="6"/>
      <c r="H259" s="6"/>
      <c r="I259" s="6"/>
    </row>
    <row r="260" spans="1:9" hidden="1" x14ac:dyDescent="0.2">
      <c r="A260" s="8" t="s">
        <v>1</v>
      </c>
      <c r="B260" s="5"/>
      <c r="C260" s="74"/>
      <c r="D260" s="6"/>
      <c r="E260" s="6"/>
      <c r="F260" s="6"/>
      <c r="G260" s="6"/>
      <c r="H260" s="6"/>
      <c r="I260" s="6"/>
    </row>
    <row r="261" spans="1:9" hidden="1" x14ac:dyDescent="0.2">
      <c r="A261" s="8" t="s">
        <v>2</v>
      </c>
      <c r="B261" s="5"/>
      <c r="C261" s="74"/>
      <c r="D261" s="6"/>
      <c r="E261" s="6"/>
      <c r="F261" s="6"/>
      <c r="G261" s="6"/>
      <c r="H261" s="6"/>
      <c r="I261" s="6"/>
    </row>
    <row r="262" spans="1:9" hidden="1" x14ac:dyDescent="0.2">
      <c r="A262" s="8" t="s">
        <v>3</v>
      </c>
      <c r="B262" s="5"/>
      <c r="C262" s="74"/>
      <c r="D262" s="6"/>
      <c r="E262" s="6"/>
      <c r="F262" s="6"/>
      <c r="G262" s="6"/>
      <c r="H262" s="6"/>
      <c r="I262" s="6"/>
    </row>
    <row r="263" spans="1:9" hidden="1" x14ac:dyDescent="0.2">
      <c r="A263" s="8" t="s">
        <v>4</v>
      </c>
      <c r="B263" s="5"/>
      <c r="C263" s="74"/>
      <c r="D263" s="6"/>
      <c r="E263" s="6"/>
      <c r="F263" s="6"/>
      <c r="G263" s="6"/>
      <c r="H263" s="6"/>
      <c r="I263" s="6"/>
    </row>
    <row r="264" spans="1:9" hidden="1" x14ac:dyDescent="0.2">
      <c r="A264" s="8" t="s">
        <v>5</v>
      </c>
      <c r="B264" s="5"/>
      <c r="C264" s="74"/>
      <c r="D264" s="6"/>
      <c r="E264" s="6"/>
      <c r="F264" s="6"/>
      <c r="G264" s="6"/>
      <c r="H264" s="6"/>
      <c r="I264" s="6"/>
    </row>
    <row r="265" spans="1:9" hidden="1" x14ac:dyDescent="0.2">
      <c r="A265" s="8" t="s">
        <v>6</v>
      </c>
      <c r="B265" s="5"/>
      <c r="C265" s="74"/>
      <c r="D265" s="6"/>
      <c r="E265" s="6"/>
      <c r="F265" s="6"/>
      <c r="G265" s="6"/>
      <c r="H265" s="6"/>
      <c r="I265" s="6"/>
    </row>
    <row r="266" spans="1:9" hidden="1" x14ac:dyDescent="0.2">
      <c r="A266" s="8" t="s">
        <v>7</v>
      </c>
      <c r="B266" s="5"/>
      <c r="C266" s="74"/>
      <c r="D266" s="6"/>
      <c r="E266" s="6"/>
      <c r="F266" s="6"/>
      <c r="G266" s="6"/>
      <c r="H266" s="6"/>
      <c r="I266" s="6"/>
    </row>
    <row r="267" spans="1:9" hidden="1" x14ac:dyDescent="0.2">
      <c r="A267" s="8" t="s">
        <v>8</v>
      </c>
      <c r="B267" s="5"/>
      <c r="C267" s="74"/>
      <c r="D267" s="6"/>
      <c r="E267" s="6"/>
      <c r="F267" s="6"/>
      <c r="G267" s="6"/>
      <c r="H267" s="6"/>
      <c r="I267" s="6"/>
    </row>
    <row r="268" spans="1:9" hidden="1" x14ac:dyDescent="0.2">
      <c r="A268" s="8" t="s">
        <v>9</v>
      </c>
      <c r="B268" s="5"/>
      <c r="C268" s="74"/>
      <c r="D268" s="6"/>
      <c r="E268" s="6"/>
      <c r="F268" s="6"/>
      <c r="G268" s="6"/>
      <c r="H268" s="6"/>
      <c r="I268" s="6"/>
    </row>
    <row r="269" spans="1:9" hidden="1" x14ac:dyDescent="0.2">
      <c r="A269" s="312" t="s">
        <v>10</v>
      </c>
      <c r="B269" s="313"/>
      <c r="C269" s="313"/>
      <c r="D269" s="313"/>
      <c r="E269" s="314"/>
      <c r="F269" s="11">
        <f>SUM(F259:F268)</f>
        <v>0</v>
      </c>
      <c r="G269" s="11">
        <f>SUM(G259:G268)</f>
        <v>0</v>
      </c>
      <c r="H269" s="11">
        <f>SUM(H259:H268)</f>
        <v>0</v>
      </c>
      <c r="I269" s="11"/>
    </row>
    <row r="270" spans="1:9" hidden="1" x14ac:dyDescent="0.2">
      <c r="A270" s="8" t="s">
        <v>0</v>
      </c>
      <c r="B270" s="5">
        <f>B259+1</f>
        <v>46129</v>
      </c>
      <c r="C270" s="74"/>
      <c r="D270" s="6"/>
      <c r="E270" s="6"/>
      <c r="F270" s="6"/>
      <c r="G270" s="6"/>
      <c r="H270" s="6"/>
      <c r="I270" s="6"/>
    </row>
    <row r="271" spans="1:9" hidden="1" x14ac:dyDescent="0.2">
      <c r="A271" s="8" t="s">
        <v>1</v>
      </c>
      <c r="B271" s="5"/>
      <c r="C271" s="74"/>
      <c r="D271" s="6"/>
      <c r="E271" s="6"/>
      <c r="F271" s="6"/>
      <c r="G271" s="6"/>
      <c r="H271" s="6"/>
      <c r="I271" s="6"/>
    </row>
    <row r="272" spans="1:9" hidden="1" x14ac:dyDescent="0.2">
      <c r="A272" s="8" t="s">
        <v>2</v>
      </c>
      <c r="B272" s="5"/>
      <c r="C272" s="74"/>
      <c r="D272" s="6"/>
      <c r="E272" s="6"/>
      <c r="F272" s="6"/>
      <c r="G272" s="6"/>
      <c r="H272" s="6"/>
      <c r="I272" s="6"/>
    </row>
    <row r="273" spans="1:9" hidden="1" x14ac:dyDescent="0.2">
      <c r="A273" s="8" t="s">
        <v>3</v>
      </c>
      <c r="B273" s="5"/>
      <c r="C273" s="74"/>
      <c r="D273" s="6"/>
      <c r="E273" s="6"/>
      <c r="F273" s="6"/>
      <c r="G273" s="6"/>
      <c r="H273" s="6"/>
      <c r="I273" s="6"/>
    </row>
    <row r="274" spans="1:9" hidden="1" x14ac:dyDescent="0.2">
      <c r="A274" s="8" t="s">
        <v>4</v>
      </c>
      <c r="B274" s="5"/>
      <c r="C274" s="74"/>
      <c r="D274" s="6"/>
      <c r="E274" s="6"/>
      <c r="F274" s="6"/>
      <c r="G274" s="6"/>
      <c r="H274" s="6"/>
      <c r="I274" s="6"/>
    </row>
    <row r="275" spans="1:9" hidden="1" x14ac:dyDescent="0.2">
      <c r="A275" s="8" t="s">
        <v>5</v>
      </c>
      <c r="B275" s="5"/>
      <c r="C275" s="74"/>
      <c r="D275" s="6"/>
      <c r="E275" s="6"/>
      <c r="F275" s="6"/>
      <c r="G275" s="6"/>
      <c r="H275" s="6"/>
      <c r="I275" s="6"/>
    </row>
    <row r="276" spans="1:9" hidden="1" x14ac:dyDescent="0.2">
      <c r="A276" s="8" t="s">
        <v>6</v>
      </c>
      <c r="B276" s="5"/>
      <c r="C276" s="74"/>
      <c r="D276" s="6"/>
      <c r="E276" s="6"/>
      <c r="F276" s="6"/>
      <c r="G276" s="6"/>
      <c r="H276" s="6"/>
      <c r="I276" s="6"/>
    </row>
    <row r="277" spans="1:9" hidden="1" x14ac:dyDescent="0.2">
      <c r="A277" s="8" t="s">
        <v>7</v>
      </c>
      <c r="B277" s="5"/>
      <c r="C277" s="74"/>
      <c r="D277" s="6"/>
      <c r="E277" s="6"/>
      <c r="F277" s="6"/>
      <c r="G277" s="6"/>
      <c r="H277" s="6"/>
      <c r="I277" s="6"/>
    </row>
    <row r="278" spans="1:9" hidden="1" x14ac:dyDescent="0.2">
      <c r="A278" s="8" t="s">
        <v>8</v>
      </c>
      <c r="B278" s="5"/>
      <c r="C278" s="74"/>
      <c r="D278" s="6"/>
      <c r="E278" s="6"/>
      <c r="F278" s="6"/>
      <c r="G278" s="6"/>
      <c r="H278" s="6"/>
      <c r="I278" s="6"/>
    </row>
    <row r="279" spans="1:9" hidden="1" x14ac:dyDescent="0.2">
      <c r="A279" s="8" t="s">
        <v>9</v>
      </c>
      <c r="B279" s="5"/>
      <c r="C279" s="74"/>
      <c r="D279" s="6"/>
      <c r="E279" s="6"/>
      <c r="F279" s="6"/>
      <c r="G279" s="6"/>
      <c r="H279" s="6"/>
      <c r="I279" s="6"/>
    </row>
    <row r="280" spans="1:9" hidden="1" x14ac:dyDescent="0.2">
      <c r="A280" s="312" t="s">
        <v>10</v>
      </c>
      <c r="B280" s="313"/>
      <c r="C280" s="313"/>
      <c r="D280" s="313"/>
      <c r="E280" s="314"/>
      <c r="F280" s="11">
        <f>SUM(F270:F279)</f>
        <v>0</v>
      </c>
      <c r="G280" s="11">
        <f>SUM(G270:G279)</f>
        <v>0</v>
      </c>
      <c r="H280" s="11">
        <f>SUM(H270:H279)</f>
        <v>0</v>
      </c>
      <c r="I280" s="11"/>
    </row>
    <row r="281" spans="1:9" hidden="1" x14ac:dyDescent="0.2">
      <c r="A281" s="8" t="s">
        <v>0</v>
      </c>
      <c r="B281" s="5">
        <f>B270+1</f>
        <v>46130</v>
      </c>
      <c r="C281" s="74"/>
      <c r="D281" s="6"/>
      <c r="E281" s="6"/>
      <c r="F281" s="6"/>
      <c r="G281" s="6"/>
      <c r="H281" s="6"/>
      <c r="I281" s="6"/>
    </row>
    <row r="282" spans="1:9" hidden="1" x14ac:dyDescent="0.2">
      <c r="A282" s="8" t="s">
        <v>1</v>
      </c>
      <c r="B282" s="5"/>
      <c r="C282" s="74"/>
      <c r="D282" s="6"/>
      <c r="E282" s="6"/>
      <c r="F282" s="6"/>
      <c r="G282" s="6"/>
      <c r="H282" s="6"/>
      <c r="I282" s="6"/>
    </row>
    <row r="283" spans="1:9" hidden="1" x14ac:dyDescent="0.2">
      <c r="A283" s="8" t="s">
        <v>2</v>
      </c>
      <c r="B283" s="5"/>
      <c r="C283" s="74"/>
      <c r="D283" s="6"/>
      <c r="E283" s="6"/>
      <c r="F283" s="6"/>
      <c r="G283" s="6"/>
      <c r="H283" s="6"/>
      <c r="I283" s="6"/>
    </row>
    <row r="284" spans="1:9" hidden="1" x14ac:dyDescent="0.2">
      <c r="A284" s="8" t="s">
        <v>3</v>
      </c>
      <c r="B284" s="5"/>
      <c r="C284" s="74"/>
      <c r="D284" s="6"/>
      <c r="E284" s="6"/>
      <c r="F284" s="6"/>
      <c r="G284" s="6"/>
      <c r="H284" s="6"/>
      <c r="I284" s="6"/>
    </row>
    <row r="285" spans="1:9" hidden="1" x14ac:dyDescent="0.2">
      <c r="A285" s="8" t="s">
        <v>4</v>
      </c>
      <c r="B285" s="5"/>
      <c r="C285" s="74"/>
      <c r="D285" s="6"/>
      <c r="E285" s="6"/>
      <c r="F285" s="6"/>
      <c r="G285" s="6"/>
      <c r="H285" s="6"/>
      <c r="I285" s="6"/>
    </row>
    <row r="286" spans="1:9" hidden="1" x14ac:dyDescent="0.2">
      <c r="A286" s="8" t="s">
        <v>5</v>
      </c>
      <c r="B286" s="5"/>
      <c r="C286" s="74"/>
      <c r="D286" s="6"/>
      <c r="E286" s="6"/>
      <c r="F286" s="6"/>
      <c r="G286" s="6"/>
      <c r="H286" s="6"/>
      <c r="I286" s="6"/>
    </row>
    <row r="287" spans="1:9" hidden="1" x14ac:dyDescent="0.2">
      <c r="A287" s="8" t="s">
        <v>6</v>
      </c>
      <c r="B287" s="5"/>
      <c r="C287" s="74"/>
      <c r="D287" s="6"/>
      <c r="E287" s="6"/>
      <c r="F287" s="6"/>
      <c r="G287" s="6"/>
      <c r="H287" s="6"/>
      <c r="I287" s="6"/>
    </row>
    <row r="288" spans="1:9" hidden="1" x14ac:dyDescent="0.2">
      <c r="A288" s="8" t="s">
        <v>7</v>
      </c>
      <c r="B288" s="5"/>
      <c r="C288" s="74"/>
      <c r="D288" s="6"/>
      <c r="E288" s="6"/>
      <c r="F288" s="6"/>
      <c r="G288" s="6"/>
      <c r="H288" s="6"/>
      <c r="I288" s="6"/>
    </row>
    <row r="289" spans="1:9" hidden="1" x14ac:dyDescent="0.2">
      <c r="A289" s="8" t="s">
        <v>8</v>
      </c>
      <c r="B289" s="5"/>
      <c r="C289" s="74"/>
      <c r="D289" s="6"/>
      <c r="E289" s="6"/>
      <c r="F289" s="6"/>
      <c r="G289" s="6"/>
      <c r="H289" s="6"/>
      <c r="I289" s="6"/>
    </row>
    <row r="290" spans="1:9" hidden="1" x14ac:dyDescent="0.2">
      <c r="A290" s="8" t="s">
        <v>9</v>
      </c>
      <c r="B290" s="5"/>
      <c r="C290" s="74"/>
      <c r="D290" s="6"/>
      <c r="E290" s="6"/>
      <c r="F290" s="6"/>
      <c r="G290" s="6"/>
      <c r="H290" s="6"/>
      <c r="I290" s="6"/>
    </row>
    <row r="291" spans="1:9" hidden="1" x14ac:dyDescent="0.2">
      <c r="A291" s="312" t="s">
        <v>10</v>
      </c>
      <c r="B291" s="313"/>
      <c r="C291" s="313"/>
      <c r="D291" s="313"/>
      <c r="E291" s="314"/>
      <c r="F291" s="11">
        <f>SUM(F281:F290)</f>
        <v>0</v>
      </c>
      <c r="G291" s="11">
        <f>SUM(G281:G290)</f>
        <v>0</v>
      </c>
      <c r="H291" s="11">
        <f>SUM(H281:H290)</f>
        <v>0</v>
      </c>
      <c r="I291" s="11"/>
    </row>
    <row r="292" spans="1:9" x14ac:dyDescent="0.2">
      <c r="A292" s="8" t="s">
        <v>0</v>
      </c>
      <c r="B292" s="5">
        <f>B281+1</f>
        <v>46131</v>
      </c>
      <c r="C292" s="75" t="s">
        <v>1277</v>
      </c>
      <c r="D292" s="6" t="s">
        <v>173</v>
      </c>
      <c r="E292" s="6" t="s">
        <v>544</v>
      </c>
      <c r="F292" s="6">
        <v>1</v>
      </c>
      <c r="G292" s="6"/>
      <c r="H292" s="6">
        <v>6</v>
      </c>
      <c r="I292" s="6"/>
    </row>
    <row r="293" spans="1:9" x14ac:dyDescent="0.2">
      <c r="A293" s="8" t="s">
        <v>1</v>
      </c>
      <c r="B293" s="5"/>
      <c r="C293" s="75" t="s">
        <v>1278</v>
      </c>
      <c r="D293" s="6" t="s">
        <v>173</v>
      </c>
      <c r="E293" s="6" t="s">
        <v>165</v>
      </c>
      <c r="F293" s="6">
        <v>1</v>
      </c>
      <c r="G293" s="6"/>
      <c r="H293" s="6">
        <v>5.5</v>
      </c>
      <c r="I293" s="6"/>
    </row>
    <row r="294" spans="1:9" hidden="1" x14ac:dyDescent="0.2">
      <c r="A294" s="8" t="s">
        <v>2</v>
      </c>
      <c r="B294" s="5"/>
      <c r="C294" s="75"/>
      <c r="D294" s="6"/>
      <c r="E294" s="6"/>
      <c r="F294" s="6"/>
      <c r="G294" s="6"/>
      <c r="H294" s="6"/>
      <c r="I294" s="6"/>
    </row>
    <row r="295" spans="1:9" hidden="1" x14ac:dyDescent="0.2">
      <c r="A295" s="8" t="s">
        <v>3</v>
      </c>
      <c r="B295" s="5"/>
      <c r="C295" s="75"/>
      <c r="D295" s="6"/>
      <c r="E295" s="6"/>
      <c r="F295" s="6"/>
      <c r="G295" s="6"/>
      <c r="H295" s="6"/>
      <c r="I295" s="6"/>
    </row>
    <row r="296" spans="1:9" hidden="1" x14ac:dyDescent="0.2">
      <c r="A296" s="8" t="s">
        <v>4</v>
      </c>
      <c r="B296" s="5"/>
      <c r="C296" s="75"/>
      <c r="D296" s="6"/>
      <c r="E296" s="6"/>
      <c r="F296" s="6"/>
      <c r="G296" s="6"/>
      <c r="H296" s="6"/>
      <c r="I296" s="6"/>
    </row>
    <row r="297" spans="1:9" hidden="1" x14ac:dyDescent="0.2">
      <c r="A297" s="8" t="s">
        <v>5</v>
      </c>
      <c r="B297" s="5"/>
      <c r="C297" s="75"/>
      <c r="D297" s="6"/>
      <c r="E297" s="6"/>
      <c r="F297" s="6"/>
      <c r="G297" s="6"/>
      <c r="H297" s="6"/>
      <c r="I297" s="6"/>
    </row>
    <row r="298" spans="1:9" hidden="1" x14ac:dyDescent="0.2">
      <c r="A298" s="8" t="s">
        <v>6</v>
      </c>
      <c r="B298" s="5"/>
      <c r="C298" s="75"/>
      <c r="D298" s="6"/>
      <c r="E298" s="6"/>
      <c r="F298" s="6"/>
      <c r="G298" s="6"/>
      <c r="H298" s="6"/>
      <c r="I298" s="6"/>
    </row>
    <row r="299" spans="1:9" hidden="1" x14ac:dyDescent="0.2">
      <c r="A299" s="8" t="s">
        <v>7</v>
      </c>
      <c r="B299" s="5"/>
      <c r="C299" s="74"/>
      <c r="D299" s="6"/>
      <c r="E299" s="6"/>
      <c r="F299" s="6"/>
      <c r="G299" s="6"/>
      <c r="H299" s="6"/>
      <c r="I299" s="6"/>
    </row>
    <row r="300" spans="1:9" hidden="1" x14ac:dyDescent="0.2">
      <c r="A300" s="8" t="s">
        <v>8</v>
      </c>
      <c r="B300" s="5"/>
      <c r="C300" s="74"/>
      <c r="D300" s="6"/>
      <c r="E300" s="6"/>
      <c r="F300" s="6"/>
      <c r="G300" s="6"/>
      <c r="H300" s="6"/>
      <c r="I300" s="6"/>
    </row>
    <row r="301" spans="1:9" hidden="1" x14ac:dyDescent="0.2">
      <c r="A301" s="8" t="s">
        <v>9</v>
      </c>
      <c r="B301" s="5"/>
      <c r="C301" s="74"/>
      <c r="D301" s="6"/>
      <c r="E301" s="6"/>
      <c r="F301" s="6"/>
      <c r="G301" s="6"/>
      <c r="H301" s="6"/>
      <c r="I301" s="6"/>
    </row>
    <row r="302" spans="1:9" x14ac:dyDescent="0.2">
      <c r="A302" s="312" t="s">
        <v>10</v>
      </c>
      <c r="B302" s="313"/>
      <c r="C302" s="313"/>
      <c r="D302" s="313"/>
      <c r="E302" s="314"/>
      <c r="F302" s="11">
        <f>SUM(F292:F301)</f>
        <v>2</v>
      </c>
      <c r="G302" s="11">
        <f>SUM(G292:G301)</f>
        <v>0</v>
      </c>
      <c r="H302" s="11">
        <f>SUM(H292:H301)</f>
        <v>11.5</v>
      </c>
      <c r="I302" s="11"/>
    </row>
    <row r="303" spans="1:9" x14ac:dyDescent="0.2">
      <c r="A303" s="8" t="s">
        <v>0</v>
      </c>
      <c r="B303" s="5">
        <f>B292+1</f>
        <v>46132</v>
      </c>
      <c r="C303" s="75" t="s">
        <v>1305</v>
      </c>
      <c r="D303" s="6" t="s">
        <v>188</v>
      </c>
      <c r="E303" s="6" t="s">
        <v>165</v>
      </c>
      <c r="F303" s="6">
        <v>1</v>
      </c>
      <c r="G303" s="6"/>
      <c r="H303" s="6">
        <v>6</v>
      </c>
      <c r="I303" s="6"/>
    </row>
    <row r="304" spans="1:9" x14ac:dyDescent="0.2">
      <c r="A304" s="8" t="s">
        <v>1</v>
      </c>
      <c r="B304" s="5"/>
      <c r="C304" s="75" t="s">
        <v>1306</v>
      </c>
      <c r="D304" s="6" t="s">
        <v>170</v>
      </c>
      <c r="E304" s="6" t="s">
        <v>165</v>
      </c>
      <c r="F304" s="6">
        <v>1</v>
      </c>
      <c r="G304" s="6"/>
      <c r="H304" s="6">
        <v>6</v>
      </c>
      <c r="I304" s="6"/>
    </row>
    <row r="305" spans="1:9" x14ac:dyDescent="0.2">
      <c r="A305" s="8" t="s">
        <v>2</v>
      </c>
      <c r="B305" s="5"/>
      <c r="C305" s="75" t="s">
        <v>1307</v>
      </c>
      <c r="D305" s="6" t="s">
        <v>188</v>
      </c>
      <c r="E305" s="6" t="s">
        <v>165</v>
      </c>
      <c r="F305" s="6">
        <v>1</v>
      </c>
      <c r="G305" s="6"/>
      <c r="H305" s="6">
        <v>6</v>
      </c>
      <c r="I305" s="6"/>
    </row>
    <row r="306" spans="1:9" x14ac:dyDescent="0.2">
      <c r="A306" s="8" t="s">
        <v>3</v>
      </c>
      <c r="B306" s="5"/>
      <c r="C306" s="75" t="s">
        <v>1308</v>
      </c>
      <c r="D306" s="6" t="s">
        <v>188</v>
      </c>
      <c r="E306" s="6" t="s">
        <v>165</v>
      </c>
      <c r="F306" s="6">
        <v>1</v>
      </c>
      <c r="G306" s="6"/>
      <c r="H306" s="6">
        <v>6</v>
      </c>
      <c r="I306" s="6"/>
    </row>
    <row r="307" spans="1:9" x14ac:dyDescent="0.2">
      <c r="A307" s="8" t="s">
        <v>4</v>
      </c>
      <c r="B307" s="5"/>
      <c r="C307" s="75" t="s">
        <v>1309</v>
      </c>
      <c r="D307" s="6" t="s">
        <v>347</v>
      </c>
      <c r="E307" s="6" t="s">
        <v>441</v>
      </c>
      <c r="F307" s="6">
        <v>1</v>
      </c>
      <c r="G307" s="6"/>
      <c r="H307" s="6">
        <v>6</v>
      </c>
      <c r="I307" s="6"/>
    </row>
    <row r="308" spans="1:9" x14ac:dyDescent="0.2">
      <c r="A308" s="8" t="s">
        <v>5</v>
      </c>
      <c r="B308" s="5"/>
      <c r="C308" s="75" t="s">
        <v>1310</v>
      </c>
      <c r="D308" s="6" t="s">
        <v>364</v>
      </c>
      <c r="E308" s="6" t="s">
        <v>165</v>
      </c>
      <c r="F308" s="6">
        <v>1</v>
      </c>
      <c r="G308" s="6"/>
      <c r="H308" s="6">
        <v>5</v>
      </c>
      <c r="I308" s="6"/>
    </row>
    <row r="309" spans="1:9" x14ac:dyDescent="0.2">
      <c r="A309" s="8" t="s">
        <v>6</v>
      </c>
      <c r="B309" s="5"/>
      <c r="C309" s="74" t="s">
        <v>1311</v>
      </c>
      <c r="D309" s="6" t="s">
        <v>188</v>
      </c>
      <c r="E309" s="6" t="s">
        <v>165</v>
      </c>
      <c r="F309" s="6"/>
      <c r="G309" s="6">
        <v>1</v>
      </c>
      <c r="H309" s="6">
        <v>1</v>
      </c>
      <c r="I309" s="6"/>
    </row>
    <row r="310" spans="1:9" hidden="1" x14ac:dyDescent="0.2">
      <c r="A310" s="8" t="s">
        <v>7</v>
      </c>
      <c r="B310" s="5"/>
      <c r="C310" s="74"/>
      <c r="D310" s="6"/>
      <c r="E310" s="6"/>
      <c r="F310" s="6"/>
      <c r="G310" s="6"/>
      <c r="H310" s="6"/>
      <c r="I310" s="6"/>
    </row>
    <row r="311" spans="1:9" hidden="1" x14ac:dyDescent="0.2">
      <c r="A311" s="8" t="s">
        <v>8</v>
      </c>
      <c r="B311" s="5"/>
      <c r="C311" s="74"/>
      <c r="D311" s="6"/>
      <c r="E311" s="6"/>
      <c r="F311" s="6"/>
      <c r="G311" s="6"/>
      <c r="H311" s="6"/>
      <c r="I311" s="6"/>
    </row>
    <row r="312" spans="1:9" hidden="1" x14ac:dyDescent="0.2">
      <c r="A312" s="8" t="s">
        <v>9</v>
      </c>
      <c r="B312" s="5"/>
      <c r="C312" s="74"/>
      <c r="D312" s="6"/>
      <c r="E312" s="6"/>
      <c r="F312" s="6"/>
      <c r="G312" s="6"/>
      <c r="H312" s="6"/>
      <c r="I312" s="6"/>
    </row>
    <row r="313" spans="1:9" x14ac:dyDescent="0.2">
      <c r="A313" s="312" t="s">
        <v>10</v>
      </c>
      <c r="B313" s="313"/>
      <c r="C313" s="313"/>
      <c r="D313" s="313"/>
      <c r="E313" s="314"/>
      <c r="F313" s="11">
        <f>SUM(F303:F312)</f>
        <v>6</v>
      </c>
      <c r="G313" s="11">
        <f>SUM(G303:G312)</f>
        <v>1</v>
      </c>
      <c r="H313" s="11">
        <f>SUM(H303:H312)</f>
        <v>36</v>
      </c>
      <c r="I313" s="11"/>
    </row>
    <row r="314" spans="1:9" x14ac:dyDescent="0.2">
      <c r="A314" s="8" t="s">
        <v>0</v>
      </c>
      <c r="B314" s="5">
        <f>B303+1</f>
        <v>46133</v>
      </c>
      <c r="C314" s="75" t="s">
        <v>1384</v>
      </c>
      <c r="D314" s="6" t="s">
        <v>347</v>
      </c>
      <c r="E314" s="6" t="s">
        <v>174</v>
      </c>
      <c r="F314" s="6">
        <v>1</v>
      </c>
      <c r="G314" s="6"/>
      <c r="H314" s="6">
        <v>4</v>
      </c>
      <c r="I314" s="6"/>
    </row>
    <row r="315" spans="1:9" x14ac:dyDescent="0.2">
      <c r="A315" s="8" t="s">
        <v>1</v>
      </c>
      <c r="B315" s="5"/>
      <c r="C315" s="75" t="s">
        <v>1386</v>
      </c>
      <c r="D315" s="6" t="s">
        <v>334</v>
      </c>
      <c r="E315" s="6" t="s">
        <v>168</v>
      </c>
      <c r="F315" s="6">
        <v>1</v>
      </c>
      <c r="G315" s="6"/>
      <c r="H315" s="6">
        <v>4</v>
      </c>
      <c r="I315" s="6"/>
    </row>
    <row r="316" spans="1:9" x14ac:dyDescent="0.2">
      <c r="A316" s="8" t="s">
        <v>2</v>
      </c>
      <c r="B316" s="5"/>
      <c r="C316" s="75" t="s">
        <v>1387</v>
      </c>
      <c r="D316" s="6" t="s">
        <v>170</v>
      </c>
      <c r="E316" s="6" t="s">
        <v>171</v>
      </c>
      <c r="F316" s="6">
        <v>1</v>
      </c>
      <c r="G316" s="6"/>
      <c r="H316" s="6">
        <v>6</v>
      </c>
      <c r="I316" s="6"/>
    </row>
    <row r="317" spans="1:9" x14ac:dyDescent="0.2">
      <c r="A317" s="8" t="s">
        <v>3</v>
      </c>
      <c r="B317" s="5"/>
      <c r="C317" s="75" t="s">
        <v>1388</v>
      </c>
      <c r="D317" s="6" t="s">
        <v>170</v>
      </c>
      <c r="E317" s="6" t="s">
        <v>171</v>
      </c>
      <c r="F317" s="6">
        <v>1</v>
      </c>
      <c r="G317" s="6"/>
      <c r="H317" s="6">
        <v>6</v>
      </c>
      <c r="I317" s="6"/>
    </row>
    <row r="318" spans="1:9" x14ac:dyDescent="0.2">
      <c r="A318" s="8" t="s">
        <v>4</v>
      </c>
      <c r="B318" s="5"/>
      <c r="C318" s="75" t="s">
        <v>1389</v>
      </c>
      <c r="D318" s="6" t="s">
        <v>170</v>
      </c>
      <c r="E318" s="6" t="s">
        <v>171</v>
      </c>
      <c r="F318" s="6">
        <v>1</v>
      </c>
      <c r="G318" s="6"/>
      <c r="H318" s="6">
        <v>6</v>
      </c>
      <c r="I318" s="6"/>
    </row>
    <row r="319" spans="1:9" x14ac:dyDescent="0.2">
      <c r="A319" s="8" t="s">
        <v>5</v>
      </c>
      <c r="B319" s="5"/>
      <c r="C319" s="75" t="s">
        <v>1385</v>
      </c>
      <c r="D319" s="6" t="s">
        <v>170</v>
      </c>
      <c r="E319" s="6" t="s">
        <v>171</v>
      </c>
      <c r="F319" s="6"/>
      <c r="G319" s="6">
        <v>1</v>
      </c>
      <c r="H319" s="6">
        <v>6</v>
      </c>
      <c r="I319" s="6"/>
    </row>
    <row r="320" spans="1:9" x14ac:dyDescent="0.2">
      <c r="A320" s="8" t="s">
        <v>6</v>
      </c>
      <c r="B320" s="5"/>
      <c r="C320" s="75" t="s">
        <v>1390</v>
      </c>
      <c r="D320" s="6" t="s">
        <v>170</v>
      </c>
      <c r="E320" s="6" t="s">
        <v>171</v>
      </c>
      <c r="F320" s="6"/>
      <c r="G320" s="6">
        <v>1</v>
      </c>
      <c r="H320" s="6">
        <v>6</v>
      </c>
      <c r="I320" s="6"/>
    </row>
    <row r="321" spans="1:9" hidden="1" x14ac:dyDescent="0.2">
      <c r="A321" s="8" t="s">
        <v>7</v>
      </c>
      <c r="B321" s="5"/>
      <c r="C321" s="75"/>
      <c r="D321" s="6"/>
      <c r="E321" s="6"/>
      <c r="F321" s="6"/>
      <c r="G321" s="6"/>
      <c r="H321" s="6"/>
      <c r="I321" s="6"/>
    </row>
    <row r="322" spans="1:9" hidden="1" x14ac:dyDescent="0.2">
      <c r="A322" s="8" t="s">
        <v>8</v>
      </c>
      <c r="B322" s="5"/>
      <c r="C322" s="75"/>
      <c r="D322" s="6"/>
      <c r="E322" s="6"/>
      <c r="F322" s="6"/>
      <c r="G322" s="6"/>
      <c r="H322" s="6"/>
      <c r="I322" s="6"/>
    </row>
    <row r="323" spans="1:9" hidden="1" x14ac:dyDescent="0.2">
      <c r="A323" s="8" t="s">
        <v>9</v>
      </c>
      <c r="B323" s="5"/>
      <c r="C323" s="75"/>
      <c r="D323" s="6"/>
      <c r="E323" s="6"/>
      <c r="F323" s="6"/>
      <c r="G323" s="6"/>
      <c r="H323" s="6"/>
      <c r="I323" s="6"/>
    </row>
    <row r="324" spans="1:9" x14ac:dyDescent="0.2">
      <c r="A324" s="312" t="s">
        <v>10</v>
      </c>
      <c r="B324" s="313"/>
      <c r="C324" s="313"/>
      <c r="D324" s="313"/>
      <c r="E324" s="314"/>
      <c r="F324" s="11">
        <f>SUM(F314:F323)</f>
        <v>5</v>
      </c>
      <c r="G324" s="11">
        <f>SUM(G314:G323)</f>
        <v>2</v>
      </c>
      <c r="H324" s="11">
        <f>SUM(H314:H323)</f>
        <v>38</v>
      </c>
      <c r="I324" s="11"/>
    </row>
    <row r="325" spans="1:9" x14ac:dyDescent="0.2">
      <c r="A325" s="8" t="s">
        <v>0</v>
      </c>
      <c r="B325" s="5">
        <f>B314+1</f>
        <v>46134</v>
      </c>
      <c r="C325" s="74" t="s">
        <v>1457</v>
      </c>
      <c r="D325" s="6" t="s">
        <v>173</v>
      </c>
      <c r="E325" s="6" t="s">
        <v>165</v>
      </c>
      <c r="F325" s="6">
        <v>1</v>
      </c>
      <c r="G325" s="6"/>
      <c r="H325" s="6">
        <v>6</v>
      </c>
      <c r="I325" s="6"/>
    </row>
    <row r="326" spans="1:9" x14ac:dyDescent="0.2">
      <c r="A326" s="8" t="s">
        <v>1</v>
      </c>
      <c r="B326" s="5"/>
      <c r="C326" s="74" t="s">
        <v>1459</v>
      </c>
      <c r="D326" s="6" t="s">
        <v>211</v>
      </c>
      <c r="E326" s="6" t="s">
        <v>165</v>
      </c>
      <c r="F326" s="6">
        <v>1</v>
      </c>
      <c r="G326" s="6"/>
      <c r="H326" s="6">
        <v>6</v>
      </c>
      <c r="I326" s="6"/>
    </row>
    <row r="327" spans="1:9" x14ac:dyDescent="0.2">
      <c r="A327" s="8" t="s">
        <v>2</v>
      </c>
      <c r="B327" s="5"/>
      <c r="C327" s="74" t="s">
        <v>1460</v>
      </c>
      <c r="D327" s="6" t="s">
        <v>170</v>
      </c>
      <c r="E327" s="6" t="s">
        <v>171</v>
      </c>
      <c r="F327" s="6">
        <v>1</v>
      </c>
      <c r="G327" s="6"/>
      <c r="H327" s="6">
        <v>6</v>
      </c>
      <c r="I327" s="6"/>
    </row>
    <row r="328" spans="1:9" x14ac:dyDescent="0.2">
      <c r="A328" s="8" t="s">
        <v>3</v>
      </c>
      <c r="B328" s="5"/>
      <c r="C328" s="74" t="s">
        <v>1463</v>
      </c>
      <c r="D328" s="6" t="s">
        <v>170</v>
      </c>
      <c r="E328" s="6" t="s">
        <v>171</v>
      </c>
      <c r="F328" s="6">
        <v>1</v>
      </c>
      <c r="G328" s="6"/>
      <c r="H328" s="6">
        <v>4</v>
      </c>
      <c r="I328" s="6"/>
    </row>
    <row r="329" spans="1:9" hidden="1" x14ac:dyDescent="0.2">
      <c r="A329" s="8" t="s">
        <v>4</v>
      </c>
      <c r="B329" s="5"/>
      <c r="C329" s="74"/>
      <c r="D329" s="6"/>
      <c r="E329" s="6"/>
      <c r="F329" s="6"/>
      <c r="G329" s="6"/>
      <c r="H329" s="6"/>
      <c r="I329" s="6"/>
    </row>
    <row r="330" spans="1:9" hidden="1" x14ac:dyDescent="0.2">
      <c r="A330" s="8" t="s">
        <v>5</v>
      </c>
      <c r="B330" s="5"/>
      <c r="C330" s="74"/>
      <c r="D330" s="6"/>
      <c r="E330" s="6"/>
      <c r="F330" s="6"/>
      <c r="G330" s="6"/>
      <c r="H330" s="6"/>
      <c r="I330" s="6"/>
    </row>
    <row r="331" spans="1:9" hidden="1" x14ac:dyDescent="0.2">
      <c r="A331" s="8" t="s">
        <v>6</v>
      </c>
      <c r="B331" s="5"/>
      <c r="C331" s="74"/>
      <c r="D331" s="6"/>
      <c r="E331" s="6"/>
      <c r="F331" s="6"/>
      <c r="G331" s="6"/>
      <c r="H331" s="6"/>
      <c r="I331" s="6"/>
    </row>
    <row r="332" spans="1:9" hidden="1" x14ac:dyDescent="0.2">
      <c r="A332" s="8" t="s">
        <v>7</v>
      </c>
      <c r="B332" s="5"/>
      <c r="C332" s="74"/>
      <c r="D332" s="6"/>
      <c r="E332" s="6"/>
      <c r="F332" s="6"/>
      <c r="G332" s="6"/>
      <c r="H332" s="6"/>
      <c r="I332" s="6"/>
    </row>
    <row r="333" spans="1:9" hidden="1" x14ac:dyDescent="0.2">
      <c r="A333" s="8" t="s">
        <v>8</v>
      </c>
      <c r="B333" s="5"/>
      <c r="C333" s="74"/>
      <c r="D333" s="6"/>
      <c r="E333" s="6"/>
      <c r="F333" s="6"/>
      <c r="G333" s="6"/>
      <c r="H333" s="6"/>
      <c r="I333" s="6"/>
    </row>
    <row r="334" spans="1:9" hidden="1" x14ac:dyDescent="0.2">
      <c r="A334" s="8" t="s">
        <v>9</v>
      </c>
      <c r="B334" s="5"/>
      <c r="C334" s="74"/>
      <c r="D334" s="6"/>
      <c r="E334" s="6"/>
      <c r="F334" s="6"/>
      <c r="G334" s="6"/>
      <c r="H334" s="6"/>
      <c r="I334" s="6"/>
    </row>
    <row r="335" spans="1:9" x14ac:dyDescent="0.2">
      <c r="A335" s="312" t="s">
        <v>10</v>
      </c>
      <c r="B335" s="313"/>
      <c r="C335" s="313"/>
      <c r="D335" s="313"/>
      <c r="E335" s="314"/>
      <c r="F335" s="11">
        <f>SUM(F325:F334)</f>
        <v>4</v>
      </c>
      <c r="G335" s="11">
        <f>SUM(G325:G334)</f>
        <v>0</v>
      </c>
      <c r="H335" s="11">
        <f>SUM(H325:H334)</f>
        <v>22</v>
      </c>
      <c r="I335" s="11"/>
    </row>
    <row r="336" spans="1:9" s="25" customFormat="1" ht="18" x14ac:dyDescent="0.2">
      <c r="A336" s="315" t="s">
        <v>39</v>
      </c>
      <c r="B336" s="316"/>
      <c r="C336" s="316"/>
      <c r="D336" s="316"/>
      <c r="E336" s="317"/>
      <c r="F336" s="22">
        <f>F269+F280+F291+F302+F313+F324+F335+F252</f>
        <v>89</v>
      </c>
      <c r="G336" s="22">
        <f>G269+G280+G291+G302+G313+G324+G335+G252</f>
        <v>19</v>
      </c>
      <c r="H336" s="22">
        <f>H269+H280+H291+H302+H313+H324+H335+H252</f>
        <v>574</v>
      </c>
      <c r="I336" s="22"/>
    </row>
    <row r="337" spans="1:9" ht="21.95" customHeight="1" x14ac:dyDescent="0.2">
      <c r="A337" s="319" t="s">
        <v>14</v>
      </c>
      <c r="B337" s="319"/>
      <c r="C337" s="319"/>
      <c r="D337" s="319"/>
      <c r="E337" s="319"/>
      <c r="F337" s="319"/>
      <c r="G337" s="319"/>
      <c r="H337" s="319"/>
      <c r="I337" s="319"/>
    </row>
    <row r="338" spans="1:9" s="53" customFormat="1" ht="20.100000000000001" customHeight="1" x14ac:dyDescent="0.2">
      <c r="A338" s="323" t="s">
        <v>86</v>
      </c>
      <c r="B338" s="323"/>
      <c r="C338" s="323"/>
      <c r="D338" s="323"/>
      <c r="E338" s="323"/>
      <c r="F338" s="50" t="str">
        <f>F254</f>
        <v>เมษายน</v>
      </c>
      <c r="G338" s="50" t="s">
        <v>87</v>
      </c>
      <c r="H338" s="51">
        <f>H254</f>
        <v>2569</v>
      </c>
      <c r="I338" s="52"/>
    </row>
    <row r="339" spans="1:9" s="3" customFormat="1" ht="20.100000000000001" customHeight="1" x14ac:dyDescent="0.35">
      <c r="A339" s="318" t="s">
        <v>29</v>
      </c>
      <c r="B339" s="318"/>
      <c r="C339" s="318"/>
      <c r="D339" s="2"/>
      <c r="F339" s="4"/>
      <c r="G339" s="4"/>
      <c r="H339" s="4" t="s">
        <v>21</v>
      </c>
      <c r="I339" s="40">
        <f>I255+1</f>
        <v>5</v>
      </c>
    </row>
    <row r="340" spans="1:9" s="3" customFormat="1" ht="20.100000000000001" customHeight="1" x14ac:dyDescent="0.35">
      <c r="A340" s="311" t="s">
        <v>63</v>
      </c>
      <c r="B340" s="311"/>
      <c r="C340" s="311"/>
      <c r="D340" s="2"/>
      <c r="E340" s="39" t="s">
        <v>81</v>
      </c>
      <c r="F340" s="308">
        <f>F256</f>
        <v>46107</v>
      </c>
      <c r="G340" s="308"/>
      <c r="H340" s="39" t="s">
        <v>82</v>
      </c>
      <c r="I340" s="34">
        <f>I256</f>
        <v>46136</v>
      </c>
    </row>
    <row r="341" spans="1:9" x14ac:dyDescent="0.2">
      <c r="A341" s="12" t="s">
        <v>23</v>
      </c>
      <c r="B341" s="13" t="s">
        <v>11</v>
      </c>
      <c r="C341" s="72" t="s">
        <v>26</v>
      </c>
      <c r="D341" s="12" t="s">
        <v>16</v>
      </c>
      <c r="E341" s="12" t="s">
        <v>17</v>
      </c>
      <c r="F341" s="310" t="s">
        <v>46</v>
      </c>
      <c r="G341" s="310"/>
      <c r="H341" s="310"/>
      <c r="I341" s="12" t="s">
        <v>19</v>
      </c>
    </row>
    <row r="342" spans="1:9" x14ac:dyDescent="0.2">
      <c r="A342" s="15"/>
      <c r="B342" s="16"/>
      <c r="C342" s="73"/>
      <c r="D342" s="15"/>
      <c r="E342" s="15"/>
      <c r="F342" s="21" t="s">
        <v>113</v>
      </c>
      <c r="G342" s="21" t="s">
        <v>114</v>
      </c>
      <c r="H342" s="21" t="s">
        <v>20</v>
      </c>
      <c r="I342" s="15"/>
    </row>
    <row r="343" spans="1:9" x14ac:dyDescent="0.2">
      <c r="A343" s="8" t="s">
        <v>0</v>
      </c>
      <c r="B343" s="5">
        <f>B325+1</f>
        <v>46135</v>
      </c>
      <c r="C343" s="74" t="s">
        <v>1522</v>
      </c>
      <c r="D343" s="6" t="s">
        <v>188</v>
      </c>
      <c r="E343" s="6" t="s">
        <v>165</v>
      </c>
      <c r="F343" s="6">
        <v>1</v>
      </c>
      <c r="G343" s="6"/>
      <c r="H343" s="6">
        <v>6</v>
      </c>
      <c r="I343" s="6"/>
    </row>
    <row r="344" spans="1:9" x14ac:dyDescent="0.2">
      <c r="A344" s="8" t="s">
        <v>1</v>
      </c>
      <c r="B344" s="5"/>
      <c r="C344" s="74" t="s">
        <v>1523</v>
      </c>
      <c r="D344" s="6" t="s">
        <v>188</v>
      </c>
      <c r="E344" s="6" t="s">
        <v>165</v>
      </c>
      <c r="F344" s="6">
        <v>1</v>
      </c>
      <c r="G344" s="6"/>
      <c r="H344" s="6">
        <v>6</v>
      </c>
      <c r="I344" s="6"/>
    </row>
    <row r="345" spans="1:9" x14ac:dyDescent="0.2">
      <c r="A345" s="8" t="s">
        <v>2</v>
      </c>
      <c r="B345" s="5"/>
      <c r="C345" s="74" t="s">
        <v>1514</v>
      </c>
      <c r="D345" s="6" t="s">
        <v>170</v>
      </c>
      <c r="E345" s="6" t="s">
        <v>165</v>
      </c>
      <c r="F345" s="6">
        <v>1</v>
      </c>
      <c r="G345" s="6"/>
      <c r="H345" s="6">
        <v>6</v>
      </c>
      <c r="I345" s="6"/>
    </row>
    <row r="346" spans="1:9" x14ac:dyDescent="0.2">
      <c r="A346" s="8" t="s">
        <v>3</v>
      </c>
      <c r="B346" s="5"/>
      <c r="C346" s="74" t="s">
        <v>1500</v>
      </c>
      <c r="D346" s="6" t="s">
        <v>211</v>
      </c>
      <c r="E346" s="6" t="s">
        <v>222</v>
      </c>
      <c r="F346" s="6">
        <v>1</v>
      </c>
      <c r="G346" s="6"/>
      <c r="H346" s="6">
        <v>4</v>
      </c>
      <c r="I346" s="6"/>
    </row>
    <row r="347" spans="1:9" x14ac:dyDescent="0.2">
      <c r="A347" s="8" t="s">
        <v>4</v>
      </c>
      <c r="B347" s="5"/>
      <c r="C347" s="74" t="s">
        <v>1524</v>
      </c>
      <c r="D347" s="6" t="s">
        <v>170</v>
      </c>
      <c r="E347" s="6" t="s">
        <v>165</v>
      </c>
      <c r="F347" s="6"/>
      <c r="G347" s="6">
        <v>1</v>
      </c>
      <c r="H347" s="6">
        <v>6</v>
      </c>
      <c r="I347" s="6"/>
    </row>
    <row r="348" spans="1:9" x14ac:dyDescent="0.2">
      <c r="A348" s="8" t="s">
        <v>5</v>
      </c>
      <c r="B348" s="5"/>
      <c r="C348" s="74" t="s">
        <v>1525</v>
      </c>
      <c r="D348" s="6" t="s">
        <v>170</v>
      </c>
      <c r="E348" s="6" t="s">
        <v>165</v>
      </c>
      <c r="F348" s="6"/>
      <c r="G348" s="6">
        <v>1</v>
      </c>
      <c r="H348" s="6">
        <v>6</v>
      </c>
      <c r="I348" s="6"/>
    </row>
    <row r="349" spans="1:9" hidden="1" x14ac:dyDescent="0.2">
      <c r="A349" s="8" t="s">
        <v>6</v>
      </c>
      <c r="B349" s="5"/>
      <c r="C349" s="74"/>
      <c r="D349" s="6"/>
      <c r="E349" s="6"/>
      <c r="F349" s="6"/>
      <c r="G349" s="6"/>
      <c r="H349" s="6"/>
      <c r="I349" s="6"/>
    </row>
    <row r="350" spans="1:9" hidden="1" x14ac:dyDescent="0.2">
      <c r="A350" s="8" t="s">
        <v>7</v>
      </c>
      <c r="B350" s="5"/>
      <c r="C350" s="74"/>
      <c r="D350" s="6"/>
      <c r="E350" s="6"/>
      <c r="F350" s="6"/>
      <c r="G350" s="6"/>
      <c r="H350" s="6"/>
      <c r="I350" s="6"/>
    </row>
    <row r="351" spans="1:9" hidden="1" x14ac:dyDescent="0.2">
      <c r="A351" s="8" t="s">
        <v>8</v>
      </c>
      <c r="B351" s="5"/>
      <c r="C351" s="74"/>
      <c r="D351" s="6"/>
      <c r="E351" s="6"/>
      <c r="F351" s="6"/>
      <c r="G351" s="6"/>
      <c r="H351" s="6"/>
      <c r="I351" s="6"/>
    </row>
    <row r="352" spans="1:9" hidden="1" x14ac:dyDescent="0.2">
      <c r="A352" s="8" t="s">
        <v>9</v>
      </c>
      <c r="B352" s="5"/>
      <c r="C352" s="74"/>
      <c r="D352" s="6"/>
      <c r="E352" s="6"/>
      <c r="F352" s="6"/>
      <c r="G352" s="6"/>
      <c r="H352" s="6"/>
      <c r="I352" s="6"/>
    </row>
    <row r="353" spans="1:9" x14ac:dyDescent="0.2">
      <c r="A353" s="312" t="s">
        <v>10</v>
      </c>
      <c r="B353" s="313"/>
      <c r="C353" s="313"/>
      <c r="D353" s="313"/>
      <c r="E353" s="314"/>
      <c r="F353" s="11">
        <f>SUM(F343:F352)</f>
        <v>4</v>
      </c>
      <c r="G353" s="11">
        <f>SUM(G343:G352)</f>
        <v>2</v>
      </c>
      <c r="H353" s="11">
        <f>SUM(H343:H352)</f>
        <v>34</v>
      </c>
      <c r="I353" s="11"/>
    </row>
    <row r="354" spans="1:9" x14ac:dyDescent="0.2">
      <c r="A354" s="8" t="s">
        <v>0</v>
      </c>
      <c r="B354" s="5">
        <f>B343+1</f>
        <v>46136</v>
      </c>
      <c r="C354" s="74" t="s">
        <v>1590</v>
      </c>
      <c r="D354" s="6" t="s">
        <v>178</v>
      </c>
      <c r="E354" s="6" t="s">
        <v>222</v>
      </c>
      <c r="F354" s="6">
        <v>1</v>
      </c>
      <c r="G354" s="6"/>
      <c r="H354" s="6">
        <v>6</v>
      </c>
      <c r="I354" s="6"/>
    </row>
    <row r="355" spans="1:9" x14ac:dyDescent="0.2">
      <c r="A355" s="8" t="s">
        <v>1</v>
      </c>
      <c r="B355" s="5"/>
      <c r="C355" s="74" t="s">
        <v>1591</v>
      </c>
      <c r="D355" s="6" t="s">
        <v>170</v>
      </c>
      <c r="E355" s="6" t="s">
        <v>171</v>
      </c>
      <c r="F355" s="6">
        <v>1</v>
      </c>
      <c r="G355" s="6"/>
      <c r="H355" s="6">
        <v>6</v>
      </c>
      <c r="I355" s="6"/>
    </row>
    <row r="356" spans="1:9" x14ac:dyDescent="0.2">
      <c r="A356" s="8" t="s">
        <v>2</v>
      </c>
      <c r="B356" s="5"/>
      <c r="C356" s="74" t="s">
        <v>1592</v>
      </c>
      <c r="D356" s="6" t="s">
        <v>170</v>
      </c>
      <c r="E356" s="6" t="s">
        <v>171</v>
      </c>
      <c r="F356" s="6">
        <v>1</v>
      </c>
      <c r="G356" s="6"/>
      <c r="H356" s="6">
        <v>6</v>
      </c>
      <c r="I356" s="6"/>
    </row>
    <row r="357" spans="1:9" x14ac:dyDescent="0.2">
      <c r="A357" s="8" t="s">
        <v>3</v>
      </c>
      <c r="B357" s="5"/>
      <c r="C357" s="74" t="s">
        <v>1593</v>
      </c>
      <c r="D357" s="6" t="s">
        <v>170</v>
      </c>
      <c r="E357" s="6" t="s">
        <v>171</v>
      </c>
      <c r="F357" s="6">
        <v>1</v>
      </c>
      <c r="G357" s="6"/>
      <c r="H357" s="6">
        <v>6</v>
      </c>
      <c r="I357" s="6"/>
    </row>
    <row r="358" spans="1:9" x14ac:dyDescent="0.2">
      <c r="A358" s="8" t="s">
        <v>4</v>
      </c>
      <c r="B358" s="5"/>
      <c r="C358" s="74" t="s">
        <v>1594</v>
      </c>
      <c r="D358" s="6" t="s">
        <v>170</v>
      </c>
      <c r="E358" s="6" t="s">
        <v>171</v>
      </c>
      <c r="F358" s="6">
        <v>1</v>
      </c>
      <c r="G358" s="6"/>
      <c r="H358" s="6">
        <v>6</v>
      </c>
      <c r="I358" s="6"/>
    </row>
    <row r="359" spans="1:9" x14ac:dyDescent="0.2">
      <c r="A359" s="8" t="s">
        <v>5</v>
      </c>
      <c r="B359" s="5"/>
      <c r="C359" s="74" t="s">
        <v>1595</v>
      </c>
      <c r="D359" s="6" t="s">
        <v>170</v>
      </c>
      <c r="E359" s="6" t="s">
        <v>171</v>
      </c>
      <c r="F359" s="6">
        <v>1</v>
      </c>
      <c r="G359" s="6"/>
      <c r="H359" s="6">
        <v>6</v>
      </c>
      <c r="I359" s="6"/>
    </row>
    <row r="360" spans="1:9" x14ac:dyDescent="0.2">
      <c r="A360" s="8" t="s">
        <v>6</v>
      </c>
      <c r="B360" s="5"/>
      <c r="C360" s="74" t="s">
        <v>1596</v>
      </c>
      <c r="D360" s="6" t="s">
        <v>832</v>
      </c>
      <c r="E360" s="6" t="s">
        <v>168</v>
      </c>
      <c r="F360" s="6">
        <v>1</v>
      </c>
      <c r="G360" s="6"/>
      <c r="H360" s="6">
        <v>5</v>
      </c>
      <c r="I360" s="6"/>
    </row>
    <row r="361" spans="1:9" hidden="1" x14ac:dyDescent="0.2">
      <c r="A361" s="8" t="s">
        <v>7</v>
      </c>
      <c r="B361" s="5"/>
      <c r="C361" s="74"/>
      <c r="D361" s="6"/>
      <c r="E361" s="6"/>
      <c r="F361" s="6"/>
      <c r="G361" s="6"/>
      <c r="H361" s="6"/>
      <c r="I361" s="6"/>
    </row>
    <row r="362" spans="1:9" hidden="1" x14ac:dyDescent="0.2">
      <c r="A362" s="8" t="s">
        <v>8</v>
      </c>
      <c r="B362" s="5"/>
      <c r="C362" s="74"/>
      <c r="D362" s="6"/>
      <c r="E362" s="6"/>
      <c r="F362" s="6"/>
      <c r="G362" s="6"/>
      <c r="H362" s="6"/>
      <c r="I362" s="6"/>
    </row>
    <row r="363" spans="1:9" hidden="1" x14ac:dyDescent="0.2">
      <c r="A363" s="8" t="s">
        <v>9</v>
      </c>
      <c r="B363" s="5"/>
      <c r="C363" s="74"/>
      <c r="D363" s="6"/>
      <c r="E363" s="6"/>
      <c r="F363" s="6"/>
      <c r="G363" s="6"/>
      <c r="H363" s="6"/>
      <c r="I363" s="6"/>
    </row>
    <row r="364" spans="1:9" x14ac:dyDescent="0.2">
      <c r="A364" s="312" t="s">
        <v>10</v>
      </c>
      <c r="B364" s="313"/>
      <c r="C364" s="313"/>
      <c r="D364" s="313"/>
      <c r="E364" s="314"/>
      <c r="F364" s="11">
        <f>SUM(F354:F363)</f>
        <v>7</v>
      </c>
      <c r="G364" s="11">
        <f>SUM(G354:G363)</f>
        <v>0</v>
      </c>
      <c r="H364" s="11">
        <f>SUM(H354:H363)</f>
        <v>41</v>
      </c>
      <c r="I364" s="11"/>
    </row>
    <row r="365" spans="1:9" hidden="1" x14ac:dyDescent="0.2">
      <c r="A365" s="8" t="s">
        <v>0</v>
      </c>
      <c r="B365" s="5">
        <f>B354+1</f>
        <v>46137</v>
      </c>
      <c r="C365" s="74"/>
      <c r="D365" s="6"/>
      <c r="E365" s="6"/>
      <c r="F365" s="6"/>
      <c r="G365" s="6"/>
      <c r="H365" s="6"/>
      <c r="I365" s="6"/>
    </row>
    <row r="366" spans="1:9" hidden="1" x14ac:dyDescent="0.2">
      <c r="A366" s="8" t="s">
        <v>1</v>
      </c>
      <c r="B366" s="5"/>
      <c r="C366" s="74"/>
      <c r="D366" s="6"/>
      <c r="E366" s="6"/>
      <c r="F366" s="6"/>
      <c r="G366" s="6"/>
      <c r="H366" s="6"/>
      <c r="I366" s="6"/>
    </row>
    <row r="367" spans="1:9" hidden="1" x14ac:dyDescent="0.2">
      <c r="A367" s="8" t="s">
        <v>2</v>
      </c>
      <c r="B367" s="5"/>
      <c r="C367" s="74"/>
      <c r="D367" s="6"/>
      <c r="E367" s="6"/>
      <c r="F367" s="6"/>
      <c r="G367" s="6"/>
      <c r="H367" s="6"/>
      <c r="I367" s="6"/>
    </row>
    <row r="368" spans="1:9" hidden="1" x14ac:dyDescent="0.2">
      <c r="A368" s="8" t="s">
        <v>3</v>
      </c>
      <c r="B368" s="5"/>
      <c r="C368" s="74"/>
      <c r="D368" s="6"/>
      <c r="E368" s="6"/>
      <c r="F368" s="6"/>
      <c r="G368" s="6"/>
      <c r="H368" s="6"/>
      <c r="I368" s="6"/>
    </row>
    <row r="369" spans="1:9" hidden="1" x14ac:dyDescent="0.2">
      <c r="A369" s="8" t="s">
        <v>4</v>
      </c>
      <c r="B369" s="5"/>
      <c r="C369" s="74"/>
      <c r="D369" s="6"/>
      <c r="E369" s="6"/>
      <c r="F369" s="6"/>
      <c r="G369" s="6"/>
      <c r="H369" s="6"/>
      <c r="I369" s="6"/>
    </row>
    <row r="370" spans="1:9" hidden="1" x14ac:dyDescent="0.2">
      <c r="A370" s="8" t="s">
        <v>5</v>
      </c>
      <c r="B370" s="5"/>
      <c r="C370" s="74"/>
      <c r="D370" s="6"/>
      <c r="E370" s="6"/>
      <c r="F370" s="6"/>
      <c r="G370" s="6"/>
      <c r="H370" s="6"/>
      <c r="I370" s="6"/>
    </row>
    <row r="371" spans="1:9" hidden="1" x14ac:dyDescent="0.2">
      <c r="A371" s="8" t="s">
        <v>6</v>
      </c>
      <c r="B371" s="5"/>
      <c r="C371" s="74"/>
      <c r="D371" s="6"/>
      <c r="E371" s="6"/>
      <c r="F371" s="6"/>
      <c r="G371" s="6"/>
      <c r="H371" s="6"/>
      <c r="I371" s="6"/>
    </row>
    <row r="372" spans="1:9" hidden="1" x14ac:dyDescent="0.2">
      <c r="A372" s="8" t="s">
        <v>7</v>
      </c>
      <c r="B372" s="5"/>
      <c r="C372" s="74"/>
      <c r="D372" s="6"/>
      <c r="E372" s="6"/>
      <c r="F372" s="6"/>
      <c r="G372" s="6"/>
      <c r="H372" s="6"/>
      <c r="I372" s="6"/>
    </row>
    <row r="373" spans="1:9" hidden="1" x14ac:dyDescent="0.2">
      <c r="A373" s="8" t="s">
        <v>8</v>
      </c>
      <c r="B373" s="5"/>
      <c r="C373" s="74"/>
      <c r="D373" s="6"/>
      <c r="E373" s="6"/>
      <c r="F373" s="6"/>
      <c r="G373" s="6"/>
      <c r="H373" s="6"/>
      <c r="I373" s="6"/>
    </row>
    <row r="374" spans="1:9" hidden="1" x14ac:dyDescent="0.2">
      <c r="A374" s="8" t="s">
        <v>9</v>
      </c>
      <c r="B374" s="5"/>
      <c r="C374" s="74"/>
      <c r="D374" s="6"/>
      <c r="E374" s="6"/>
      <c r="F374" s="6"/>
      <c r="G374" s="6"/>
      <c r="H374" s="6"/>
      <c r="I374" s="6"/>
    </row>
    <row r="375" spans="1:9" hidden="1" x14ac:dyDescent="0.2">
      <c r="A375" s="312" t="s">
        <v>10</v>
      </c>
      <c r="B375" s="313"/>
      <c r="C375" s="313"/>
      <c r="D375" s="313"/>
      <c r="E375" s="314"/>
      <c r="F375" s="11">
        <f>SUM(F365:F374)</f>
        <v>0</v>
      </c>
      <c r="G375" s="11">
        <f>SUM(G365:G374)</f>
        <v>0</v>
      </c>
      <c r="H375" s="11">
        <f>SUM(H365:H374)</f>
        <v>0</v>
      </c>
      <c r="I375" s="11"/>
    </row>
    <row r="376" spans="1:9" hidden="1" x14ac:dyDescent="0.2">
      <c r="A376" s="8" t="s">
        <v>0</v>
      </c>
      <c r="B376" s="5">
        <f>B365+1</f>
        <v>46138</v>
      </c>
      <c r="C376" s="75"/>
      <c r="D376" s="6"/>
      <c r="E376" s="6"/>
      <c r="F376" s="6"/>
      <c r="G376" s="6"/>
      <c r="H376" s="6"/>
      <c r="I376" s="6"/>
    </row>
    <row r="377" spans="1:9" hidden="1" x14ac:dyDescent="0.2">
      <c r="A377" s="8" t="s">
        <v>1</v>
      </c>
      <c r="B377" s="5"/>
      <c r="C377" s="75"/>
      <c r="D377" s="6"/>
      <c r="E377" s="6"/>
      <c r="F377" s="6"/>
      <c r="G377" s="6"/>
      <c r="H377" s="6"/>
      <c r="I377" s="6"/>
    </row>
    <row r="378" spans="1:9" hidden="1" x14ac:dyDescent="0.2">
      <c r="A378" s="8" t="s">
        <v>2</v>
      </c>
      <c r="B378" s="5"/>
      <c r="C378" s="75"/>
      <c r="D378" s="6"/>
      <c r="E378" s="6"/>
      <c r="F378" s="6"/>
      <c r="G378" s="6"/>
      <c r="H378" s="6"/>
      <c r="I378" s="6"/>
    </row>
    <row r="379" spans="1:9" hidden="1" x14ac:dyDescent="0.2">
      <c r="A379" s="8" t="s">
        <v>3</v>
      </c>
      <c r="B379" s="5"/>
      <c r="C379" s="75"/>
      <c r="D379" s="6"/>
      <c r="E379" s="6"/>
      <c r="F379" s="6"/>
      <c r="G379" s="6"/>
      <c r="H379" s="6"/>
      <c r="I379" s="6"/>
    </row>
    <row r="380" spans="1:9" hidden="1" x14ac:dyDescent="0.2">
      <c r="A380" s="8" t="s">
        <v>4</v>
      </c>
      <c r="B380" s="5"/>
      <c r="C380" s="75"/>
      <c r="D380" s="6"/>
      <c r="E380" s="6"/>
      <c r="F380" s="6"/>
      <c r="G380" s="6"/>
      <c r="H380" s="6"/>
      <c r="I380" s="6"/>
    </row>
    <row r="381" spans="1:9" hidden="1" x14ac:dyDescent="0.2">
      <c r="A381" s="8" t="s">
        <v>5</v>
      </c>
      <c r="B381" s="5"/>
      <c r="C381" s="75"/>
      <c r="D381" s="6"/>
      <c r="E381" s="6"/>
      <c r="F381" s="6"/>
      <c r="G381" s="6"/>
      <c r="H381" s="6"/>
      <c r="I381" s="6"/>
    </row>
    <row r="382" spans="1:9" hidden="1" x14ac:dyDescent="0.2">
      <c r="A382" s="8" t="s">
        <v>6</v>
      </c>
      <c r="B382" s="5"/>
      <c r="C382" s="75"/>
      <c r="D382" s="6"/>
      <c r="E382" s="6"/>
      <c r="F382" s="6"/>
      <c r="G382" s="6"/>
      <c r="H382" s="6"/>
      <c r="I382" s="6"/>
    </row>
    <row r="383" spans="1:9" hidden="1" x14ac:dyDescent="0.2">
      <c r="A383" s="8" t="s">
        <v>7</v>
      </c>
      <c r="B383" s="5"/>
      <c r="C383" s="74"/>
      <c r="D383" s="6"/>
      <c r="E383" s="6"/>
      <c r="F383" s="6"/>
      <c r="G383" s="6"/>
      <c r="H383" s="6"/>
      <c r="I383" s="6"/>
    </row>
    <row r="384" spans="1:9" hidden="1" x14ac:dyDescent="0.2">
      <c r="A384" s="8" t="s">
        <v>8</v>
      </c>
      <c r="B384" s="5"/>
      <c r="C384" s="74"/>
      <c r="D384" s="6"/>
      <c r="E384" s="6"/>
      <c r="F384" s="6"/>
      <c r="G384" s="6"/>
      <c r="H384" s="6"/>
      <c r="I384" s="6"/>
    </row>
    <row r="385" spans="1:9" hidden="1" x14ac:dyDescent="0.2">
      <c r="A385" s="8" t="s">
        <v>9</v>
      </c>
      <c r="B385" s="5"/>
      <c r="C385" s="74"/>
      <c r="D385" s="6"/>
      <c r="E385" s="6"/>
      <c r="F385" s="6"/>
      <c r="G385" s="6"/>
      <c r="H385" s="6"/>
      <c r="I385" s="6"/>
    </row>
    <row r="386" spans="1:9" hidden="1" x14ac:dyDescent="0.2">
      <c r="A386" s="312" t="s">
        <v>10</v>
      </c>
      <c r="B386" s="313"/>
      <c r="C386" s="313"/>
      <c r="D386" s="313"/>
      <c r="E386" s="314"/>
      <c r="F386" s="11">
        <f>SUM(F376:F385)</f>
        <v>0</v>
      </c>
      <c r="G386" s="11">
        <f>SUM(G376:G385)</f>
        <v>0</v>
      </c>
      <c r="H386" s="11">
        <f>SUM(H376:H385)</f>
        <v>0</v>
      </c>
      <c r="I386" s="11"/>
    </row>
    <row r="387" spans="1:9" hidden="1" x14ac:dyDescent="0.2">
      <c r="A387" s="8" t="s">
        <v>0</v>
      </c>
      <c r="B387" s="5"/>
      <c r="C387" s="75"/>
      <c r="D387" s="6"/>
      <c r="E387" s="6"/>
      <c r="F387" s="6"/>
      <c r="G387" s="6"/>
      <c r="H387" s="6"/>
      <c r="I387" s="6"/>
    </row>
    <row r="388" spans="1:9" hidden="1" x14ac:dyDescent="0.2">
      <c r="A388" s="8" t="s">
        <v>1</v>
      </c>
      <c r="B388" s="5"/>
      <c r="C388" s="75"/>
      <c r="D388" s="6"/>
      <c r="E388" s="6"/>
      <c r="F388" s="6"/>
      <c r="G388" s="6"/>
      <c r="H388" s="6"/>
      <c r="I388" s="6"/>
    </row>
    <row r="389" spans="1:9" hidden="1" x14ac:dyDescent="0.2">
      <c r="A389" s="8" t="s">
        <v>2</v>
      </c>
      <c r="B389" s="5"/>
      <c r="C389" s="75"/>
      <c r="D389" s="6"/>
      <c r="E389" s="6"/>
      <c r="F389" s="6"/>
      <c r="G389" s="6"/>
      <c r="H389" s="6"/>
      <c r="I389" s="6"/>
    </row>
    <row r="390" spans="1:9" hidden="1" x14ac:dyDescent="0.2">
      <c r="A390" s="8" t="s">
        <v>3</v>
      </c>
      <c r="B390" s="5"/>
      <c r="C390" s="75"/>
      <c r="D390" s="6"/>
      <c r="E390" s="6"/>
      <c r="F390" s="6"/>
      <c r="G390" s="6"/>
      <c r="H390" s="6"/>
      <c r="I390" s="6"/>
    </row>
    <row r="391" spans="1:9" hidden="1" x14ac:dyDescent="0.2">
      <c r="A391" s="8" t="s">
        <v>4</v>
      </c>
      <c r="B391" s="5"/>
      <c r="C391" s="75"/>
      <c r="D391" s="6"/>
      <c r="E391" s="6"/>
      <c r="F391" s="6"/>
      <c r="G391" s="6"/>
      <c r="H391" s="6"/>
      <c r="I391" s="6"/>
    </row>
    <row r="392" spans="1:9" hidden="1" x14ac:dyDescent="0.2">
      <c r="A392" s="8" t="s">
        <v>5</v>
      </c>
      <c r="B392" s="5"/>
      <c r="C392" s="75"/>
      <c r="D392" s="6"/>
      <c r="E392" s="6"/>
      <c r="F392" s="6"/>
      <c r="G392" s="6"/>
      <c r="H392" s="6"/>
      <c r="I392" s="6"/>
    </row>
    <row r="393" spans="1:9" hidden="1" x14ac:dyDescent="0.2">
      <c r="A393" s="8" t="s">
        <v>6</v>
      </c>
      <c r="B393" s="5"/>
      <c r="C393" s="74"/>
      <c r="D393" s="6"/>
      <c r="E393" s="6"/>
      <c r="F393" s="6"/>
      <c r="G393" s="6"/>
      <c r="H393" s="6"/>
      <c r="I393" s="6"/>
    </row>
    <row r="394" spans="1:9" hidden="1" x14ac:dyDescent="0.2">
      <c r="A394" s="8" t="s">
        <v>7</v>
      </c>
      <c r="B394" s="5"/>
      <c r="C394" s="74"/>
      <c r="D394" s="6"/>
      <c r="E394" s="6"/>
      <c r="F394" s="6"/>
      <c r="G394" s="6"/>
      <c r="H394" s="6"/>
      <c r="I394" s="6"/>
    </row>
    <row r="395" spans="1:9" hidden="1" x14ac:dyDescent="0.2">
      <c r="A395" s="8" t="s">
        <v>8</v>
      </c>
      <c r="B395" s="5"/>
      <c r="C395" s="74"/>
      <c r="D395" s="6"/>
      <c r="E395" s="6"/>
      <c r="F395" s="6"/>
      <c r="G395" s="6"/>
      <c r="H395" s="6"/>
      <c r="I395" s="6"/>
    </row>
    <row r="396" spans="1:9" hidden="1" x14ac:dyDescent="0.2">
      <c r="A396" s="8" t="s">
        <v>9</v>
      </c>
      <c r="B396" s="5"/>
      <c r="C396" s="74"/>
      <c r="D396" s="6"/>
      <c r="E396" s="6"/>
      <c r="F396" s="6"/>
      <c r="G396" s="6"/>
      <c r="H396" s="6"/>
      <c r="I396" s="6"/>
    </row>
    <row r="397" spans="1:9" hidden="1" x14ac:dyDescent="0.2">
      <c r="A397" s="312" t="s">
        <v>10</v>
      </c>
      <c r="B397" s="313"/>
      <c r="C397" s="313"/>
      <c r="D397" s="313"/>
      <c r="E397" s="314"/>
      <c r="F397" s="11">
        <f>SUM(F387:F396)</f>
        <v>0</v>
      </c>
      <c r="G397" s="11">
        <f>SUM(G387:G396)</f>
        <v>0</v>
      </c>
      <c r="H397" s="11">
        <f>SUM(H387:H396)</f>
        <v>0</v>
      </c>
      <c r="I397" s="11"/>
    </row>
    <row r="398" spans="1:9" hidden="1" x14ac:dyDescent="0.2">
      <c r="A398" s="8" t="s">
        <v>0</v>
      </c>
      <c r="B398" s="5"/>
      <c r="C398" s="75"/>
      <c r="D398" s="6"/>
      <c r="E398" s="6"/>
      <c r="F398" s="6"/>
      <c r="G398" s="6"/>
      <c r="H398" s="6"/>
      <c r="I398" s="6"/>
    </row>
    <row r="399" spans="1:9" hidden="1" x14ac:dyDescent="0.2">
      <c r="A399" s="8" t="s">
        <v>1</v>
      </c>
      <c r="B399" s="5"/>
      <c r="C399" s="75"/>
      <c r="D399" s="6"/>
      <c r="E399" s="6"/>
      <c r="F399" s="6"/>
      <c r="G399" s="6"/>
      <c r="H399" s="6"/>
      <c r="I399" s="6"/>
    </row>
    <row r="400" spans="1:9" hidden="1" x14ac:dyDescent="0.2">
      <c r="A400" s="8" t="s">
        <v>2</v>
      </c>
      <c r="B400" s="5"/>
      <c r="C400" s="75"/>
      <c r="D400" s="6"/>
      <c r="E400" s="6"/>
      <c r="F400" s="6"/>
      <c r="G400" s="6"/>
      <c r="H400" s="6"/>
      <c r="I400" s="6"/>
    </row>
    <row r="401" spans="1:9" hidden="1" x14ac:dyDescent="0.2">
      <c r="A401" s="8" t="s">
        <v>3</v>
      </c>
      <c r="B401" s="5"/>
      <c r="C401" s="75"/>
      <c r="D401" s="6"/>
      <c r="E401" s="6"/>
      <c r="F401" s="6"/>
      <c r="G401" s="6"/>
      <c r="H401" s="6"/>
      <c r="I401" s="6"/>
    </row>
    <row r="402" spans="1:9" hidden="1" x14ac:dyDescent="0.2">
      <c r="A402" s="8" t="s">
        <v>4</v>
      </c>
      <c r="B402" s="5"/>
      <c r="C402" s="75"/>
      <c r="D402" s="6"/>
      <c r="E402" s="6"/>
      <c r="F402" s="6"/>
      <c r="G402" s="6"/>
      <c r="H402" s="6"/>
      <c r="I402" s="6"/>
    </row>
    <row r="403" spans="1:9" hidden="1" x14ac:dyDescent="0.2">
      <c r="A403" s="8" t="s">
        <v>5</v>
      </c>
      <c r="B403" s="5"/>
      <c r="C403" s="75"/>
      <c r="D403" s="6"/>
      <c r="E403" s="6"/>
      <c r="F403" s="6"/>
      <c r="G403" s="6"/>
      <c r="H403" s="6"/>
      <c r="I403" s="6"/>
    </row>
    <row r="404" spans="1:9" hidden="1" x14ac:dyDescent="0.2">
      <c r="A404" s="8" t="s">
        <v>6</v>
      </c>
      <c r="B404" s="5"/>
      <c r="C404" s="75"/>
      <c r="D404" s="6"/>
      <c r="E404" s="6"/>
      <c r="F404" s="6"/>
      <c r="G404" s="6"/>
      <c r="H404" s="6"/>
      <c r="I404" s="6"/>
    </row>
    <row r="405" spans="1:9" hidden="1" x14ac:dyDescent="0.2">
      <c r="A405" s="8" t="s">
        <v>7</v>
      </c>
      <c r="B405" s="5"/>
      <c r="C405" s="75"/>
      <c r="D405" s="6"/>
      <c r="E405" s="6"/>
      <c r="F405" s="6"/>
      <c r="G405" s="6"/>
      <c r="H405" s="6"/>
      <c r="I405" s="6"/>
    </row>
    <row r="406" spans="1:9" hidden="1" x14ac:dyDescent="0.2">
      <c r="A406" s="8" t="s">
        <v>8</v>
      </c>
      <c r="B406" s="5"/>
      <c r="C406" s="75"/>
      <c r="D406" s="6"/>
      <c r="E406" s="6"/>
      <c r="F406" s="6"/>
      <c r="G406" s="6"/>
      <c r="H406" s="6"/>
      <c r="I406" s="6"/>
    </row>
    <row r="407" spans="1:9" hidden="1" x14ac:dyDescent="0.2">
      <c r="A407" s="8" t="s">
        <v>9</v>
      </c>
      <c r="B407" s="5"/>
      <c r="C407" s="75"/>
      <c r="D407" s="6"/>
      <c r="E407" s="6"/>
      <c r="F407" s="6"/>
      <c r="G407" s="6"/>
      <c r="H407" s="6"/>
      <c r="I407" s="6"/>
    </row>
    <row r="408" spans="1:9" hidden="1" x14ac:dyDescent="0.2">
      <c r="A408" s="312" t="s">
        <v>10</v>
      </c>
      <c r="B408" s="313"/>
      <c r="C408" s="313"/>
      <c r="D408" s="313"/>
      <c r="E408" s="314"/>
      <c r="F408" s="11">
        <f>SUM(F398:F407)</f>
        <v>0</v>
      </c>
      <c r="G408" s="11">
        <f>SUM(G398:G407)</f>
        <v>0</v>
      </c>
      <c r="H408" s="11">
        <f>SUM(H398:H407)</f>
        <v>0</v>
      </c>
      <c r="I408" s="11"/>
    </row>
    <row r="409" spans="1:9" hidden="1" x14ac:dyDescent="0.2">
      <c r="A409" s="8" t="s">
        <v>0</v>
      </c>
      <c r="B409" s="5"/>
      <c r="C409" s="74"/>
      <c r="D409" s="6"/>
      <c r="E409" s="6"/>
      <c r="F409" s="6"/>
      <c r="G409" s="6"/>
      <c r="H409" s="6"/>
      <c r="I409" s="6"/>
    </row>
    <row r="410" spans="1:9" hidden="1" x14ac:dyDescent="0.2">
      <c r="A410" s="8" t="s">
        <v>1</v>
      </c>
      <c r="B410" s="5"/>
      <c r="C410" s="74"/>
      <c r="D410" s="6"/>
      <c r="E410" s="6"/>
      <c r="F410" s="6"/>
      <c r="G410" s="6"/>
      <c r="H410" s="6"/>
      <c r="I410" s="6"/>
    </row>
    <row r="411" spans="1:9" hidden="1" x14ac:dyDescent="0.2">
      <c r="A411" s="8" t="s">
        <v>2</v>
      </c>
      <c r="B411" s="5"/>
      <c r="C411" s="74"/>
      <c r="D411" s="6"/>
      <c r="E411" s="6"/>
      <c r="F411" s="6"/>
      <c r="G411" s="6"/>
      <c r="H411" s="6"/>
      <c r="I411" s="6"/>
    </row>
    <row r="412" spans="1:9" hidden="1" x14ac:dyDescent="0.2">
      <c r="A412" s="8" t="s">
        <v>3</v>
      </c>
      <c r="B412" s="5"/>
      <c r="C412" s="74"/>
      <c r="D412" s="6"/>
      <c r="E412" s="6"/>
      <c r="F412" s="6"/>
      <c r="G412" s="6"/>
      <c r="H412" s="6"/>
      <c r="I412" s="6"/>
    </row>
    <row r="413" spans="1:9" hidden="1" x14ac:dyDescent="0.2">
      <c r="A413" s="8" t="s">
        <v>4</v>
      </c>
      <c r="B413" s="5"/>
      <c r="C413" s="74"/>
      <c r="D413" s="6"/>
      <c r="E413" s="6"/>
      <c r="F413" s="6"/>
      <c r="G413" s="6"/>
      <c r="H413" s="6"/>
      <c r="I413" s="6"/>
    </row>
    <row r="414" spans="1:9" hidden="1" x14ac:dyDescent="0.2">
      <c r="A414" s="8" t="s">
        <v>5</v>
      </c>
      <c r="B414" s="5"/>
      <c r="C414" s="74"/>
      <c r="D414" s="6"/>
      <c r="E414" s="6"/>
      <c r="F414" s="6"/>
      <c r="G414" s="6"/>
      <c r="H414" s="6"/>
      <c r="I414" s="6"/>
    </row>
    <row r="415" spans="1:9" hidden="1" x14ac:dyDescent="0.2">
      <c r="A415" s="8" t="s">
        <v>6</v>
      </c>
      <c r="B415" s="5"/>
      <c r="C415" s="74"/>
      <c r="D415" s="6"/>
      <c r="E415" s="6"/>
      <c r="F415" s="6"/>
      <c r="G415" s="6"/>
      <c r="H415" s="6"/>
      <c r="I415" s="6"/>
    </row>
    <row r="416" spans="1:9" hidden="1" x14ac:dyDescent="0.2">
      <c r="A416" s="8" t="s">
        <v>7</v>
      </c>
      <c r="B416" s="5"/>
      <c r="C416" s="74"/>
      <c r="D416" s="6"/>
      <c r="E416" s="6"/>
      <c r="F416" s="6"/>
      <c r="G416" s="6"/>
      <c r="H416" s="6"/>
      <c r="I416" s="6"/>
    </row>
    <row r="417" spans="1:9" hidden="1" x14ac:dyDescent="0.2">
      <c r="A417" s="8" t="s">
        <v>8</v>
      </c>
      <c r="B417" s="5"/>
      <c r="C417" s="74"/>
      <c r="D417" s="6"/>
      <c r="E417" s="6"/>
      <c r="F417" s="6"/>
      <c r="G417" s="6"/>
      <c r="H417" s="6"/>
      <c r="I417" s="6"/>
    </row>
    <row r="418" spans="1:9" hidden="1" x14ac:dyDescent="0.2">
      <c r="A418" s="8" t="s">
        <v>9</v>
      </c>
      <c r="B418" s="5"/>
      <c r="C418" s="74"/>
      <c r="D418" s="6"/>
      <c r="E418" s="6"/>
      <c r="F418" s="6"/>
      <c r="G418" s="6"/>
      <c r="H418" s="6"/>
      <c r="I418" s="6"/>
    </row>
    <row r="419" spans="1:9" hidden="1" x14ac:dyDescent="0.2">
      <c r="A419" s="312" t="s">
        <v>10</v>
      </c>
      <c r="B419" s="313"/>
      <c r="C419" s="313"/>
      <c r="D419" s="313"/>
      <c r="E419" s="314"/>
      <c r="F419" s="11">
        <f>SUM(F409:F418)</f>
        <v>0</v>
      </c>
      <c r="G419" s="11">
        <f>SUM(G409:G418)</f>
        <v>0</v>
      </c>
      <c r="H419" s="11">
        <f>SUM(H409:H418)</f>
        <v>0</v>
      </c>
      <c r="I419" s="11"/>
    </row>
    <row r="420" spans="1:9" s="25" customFormat="1" ht="18" x14ac:dyDescent="0.2">
      <c r="A420" s="315" t="s">
        <v>39</v>
      </c>
      <c r="B420" s="316"/>
      <c r="C420" s="316"/>
      <c r="D420" s="316"/>
      <c r="E420" s="317"/>
      <c r="F420" s="22">
        <f>F353+F364+F375+F386+F397+F408+F419+F336</f>
        <v>100</v>
      </c>
      <c r="G420" s="22">
        <f>G353+G364+G375+G386+G397+G408+G419+G336</f>
        <v>21</v>
      </c>
      <c r="H420" s="22">
        <f>H353+H364+H375+H386+H397+H408+H419+H336</f>
        <v>649</v>
      </c>
      <c r="I420" s="22"/>
    </row>
  </sheetData>
  <mergeCells count="70">
    <mergeCell ref="F341:H341"/>
    <mergeCell ref="A353:E353"/>
    <mergeCell ref="A335:E335"/>
    <mergeCell ref="A255:C255"/>
    <mergeCell ref="A256:C256"/>
    <mergeCell ref="A302:E302"/>
    <mergeCell ref="A313:E313"/>
    <mergeCell ref="A337:I337"/>
    <mergeCell ref="A339:C339"/>
    <mergeCell ref="A340:C340"/>
    <mergeCell ref="A291:E291"/>
    <mergeCell ref="F340:G340"/>
    <mergeCell ref="A338:E338"/>
    <mergeCell ref="F257:H257"/>
    <mergeCell ref="A269:E269"/>
    <mergeCell ref="A280:E280"/>
    <mergeCell ref="A196:E196"/>
    <mergeCell ref="A207:E207"/>
    <mergeCell ref="A185:E185"/>
    <mergeCell ref="F88:G88"/>
    <mergeCell ref="F172:G172"/>
    <mergeCell ref="A170:E170"/>
    <mergeCell ref="A167:E167"/>
    <mergeCell ref="A169:I169"/>
    <mergeCell ref="A171:C171"/>
    <mergeCell ref="A172:C172"/>
    <mergeCell ref="F89:H89"/>
    <mergeCell ref="A218:E218"/>
    <mergeCell ref="A240:E240"/>
    <mergeCell ref="A251:E251"/>
    <mergeCell ref="A253:I253"/>
    <mergeCell ref="F256:G256"/>
    <mergeCell ref="A254:E254"/>
    <mergeCell ref="A1:I1"/>
    <mergeCell ref="A3:C3"/>
    <mergeCell ref="A4:C4"/>
    <mergeCell ref="F5:H5"/>
    <mergeCell ref="F4:G4"/>
    <mergeCell ref="A2:E2"/>
    <mergeCell ref="A17:E17"/>
    <mergeCell ref="A28:E28"/>
    <mergeCell ref="A39:E39"/>
    <mergeCell ref="A50:E50"/>
    <mergeCell ref="A156:E156"/>
    <mergeCell ref="A145:E145"/>
    <mergeCell ref="A87:C87"/>
    <mergeCell ref="A101:E101"/>
    <mergeCell ref="A86:E86"/>
    <mergeCell ref="A61:E61"/>
    <mergeCell ref="A83:E83"/>
    <mergeCell ref="A72:E72"/>
    <mergeCell ref="A112:E112"/>
    <mergeCell ref="A123:E123"/>
    <mergeCell ref="A134:E134"/>
    <mergeCell ref="A420:E420"/>
    <mergeCell ref="A419:E419"/>
    <mergeCell ref="A84:E84"/>
    <mergeCell ref="A168:E168"/>
    <mergeCell ref="A252:E252"/>
    <mergeCell ref="A336:E336"/>
    <mergeCell ref="A364:E364"/>
    <mergeCell ref="A375:E375"/>
    <mergeCell ref="A386:E386"/>
    <mergeCell ref="A397:E397"/>
    <mergeCell ref="A408:E408"/>
    <mergeCell ref="A88:C88"/>
    <mergeCell ref="A229:E229"/>
    <mergeCell ref="A324:E324"/>
    <mergeCell ref="A85:I85"/>
    <mergeCell ref="F173:H173"/>
  </mergeCells>
  <phoneticPr fontId="1" type="noConversion"/>
  <pageMargins left="0.59055118110236227" right="0.39370078740157483" top="0.59055118110236227" bottom="0.39370078740157483" header="0.31496062992125984" footer="0.31496062992125984"/>
  <pageSetup paperSize="9" scale="63" fitToHeight="5" orientation="portrait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21"/>
  <sheetViews>
    <sheetView topLeftCell="A354" zoomScale="150" zoomScaleNormal="150" workbookViewId="0">
      <selection activeCell="A366" sqref="A366:XFD420"/>
    </sheetView>
  </sheetViews>
  <sheetFormatPr defaultColWidth="9" defaultRowHeight="17.25" x14ac:dyDescent="0.2"/>
  <cols>
    <col min="1" max="1" width="4" style="1" bestFit="1" customWidth="1"/>
    <col min="2" max="2" width="10.625" style="7" customWidth="1"/>
    <col min="3" max="3" width="11.375" style="76" customWidth="1"/>
    <col min="4" max="4" width="15.625" style="1" customWidth="1"/>
    <col min="5" max="5" width="10.625" style="1" customWidth="1"/>
    <col min="6" max="8" width="7.625" style="1" customWidth="1"/>
    <col min="9" max="9" width="18" style="1" customWidth="1"/>
    <col min="10" max="16384" width="9" style="1"/>
  </cols>
  <sheetData>
    <row r="1" spans="1:9" ht="21.95" customHeight="1" x14ac:dyDescent="0.2">
      <c r="A1" s="319" t="s">
        <v>14</v>
      </c>
      <c r="B1" s="319"/>
      <c r="C1" s="319"/>
      <c r="D1" s="319"/>
      <c r="E1" s="319"/>
      <c r="F1" s="319"/>
      <c r="G1" s="319"/>
      <c r="H1" s="319"/>
      <c r="I1" s="319"/>
    </row>
    <row r="2" spans="1:9" s="53" customFormat="1" ht="20.100000000000001" customHeight="1" x14ac:dyDescent="0.2">
      <c r="A2" s="323" t="s">
        <v>86</v>
      </c>
      <c r="B2" s="323"/>
      <c r="C2" s="323"/>
      <c r="D2" s="323"/>
      <c r="E2" s="323"/>
      <c r="F2" s="104" t="str">
        <f>'1'!$F$2</f>
        <v>เมษายน</v>
      </c>
      <c r="G2" s="50" t="s">
        <v>87</v>
      </c>
      <c r="H2" s="51">
        <f>'1'!$H$2</f>
        <v>2569</v>
      </c>
      <c r="I2" s="52"/>
    </row>
    <row r="3" spans="1:9" s="3" customFormat="1" ht="20.100000000000001" customHeight="1" x14ac:dyDescent="0.4">
      <c r="A3" s="318" t="s">
        <v>34</v>
      </c>
      <c r="B3" s="318"/>
      <c r="C3" s="318"/>
      <c r="D3" s="2"/>
      <c r="F3" s="4"/>
      <c r="G3" s="4"/>
      <c r="H3" s="4" t="s">
        <v>21</v>
      </c>
      <c r="I3" s="41">
        <v>1</v>
      </c>
    </row>
    <row r="4" spans="1:9" s="49" customFormat="1" ht="20.100000000000001" customHeight="1" x14ac:dyDescent="0.35">
      <c r="A4" s="327" t="s">
        <v>64</v>
      </c>
      <c r="B4" s="327"/>
      <c r="C4" s="327"/>
      <c r="D4" s="46"/>
      <c r="E4" s="47" t="s">
        <v>81</v>
      </c>
      <c r="F4" s="328">
        <f>'1'!$F$4</f>
        <v>46107</v>
      </c>
      <c r="G4" s="328"/>
      <c r="H4" s="47" t="s">
        <v>82</v>
      </c>
      <c r="I4" s="48">
        <f>'1'!$I$4</f>
        <v>46136</v>
      </c>
    </row>
    <row r="5" spans="1:9" x14ac:dyDescent="0.2">
      <c r="A5" s="12" t="s">
        <v>23</v>
      </c>
      <c r="B5" s="13" t="s">
        <v>11</v>
      </c>
      <c r="C5" s="72" t="s">
        <v>26</v>
      </c>
      <c r="D5" s="12" t="s">
        <v>16</v>
      </c>
      <c r="E5" s="12" t="s">
        <v>17</v>
      </c>
      <c r="F5" s="310" t="s">
        <v>46</v>
      </c>
      <c r="G5" s="310"/>
      <c r="H5" s="310"/>
      <c r="I5" s="12" t="s">
        <v>19</v>
      </c>
    </row>
    <row r="6" spans="1:9" x14ac:dyDescent="0.2">
      <c r="A6" s="15"/>
      <c r="B6" s="16"/>
      <c r="C6" s="73"/>
      <c r="D6" s="15"/>
      <c r="E6" s="15"/>
      <c r="F6" s="21" t="s">
        <v>113</v>
      </c>
      <c r="G6" s="21" t="s">
        <v>114</v>
      </c>
      <c r="H6" s="21" t="s">
        <v>20</v>
      </c>
      <c r="I6" s="15"/>
    </row>
    <row r="7" spans="1:9" hidden="1" x14ac:dyDescent="0.2">
      <c r="A7" s="8" t="s">
        <v>0</v>
      </c>
      <c r="B7" s="5">
        <f>'5'!B7</f>
        <v>46107</v>
      </c>
      <c r="C7" s="74"/>
      <c r="D7" s="6"/>
      <c r="E7" s="6"/>
      <c r="F7" s="6"/>
      <c r="G7" s="6"/>
      <c r="H7" s="6"/>
      <c r="I7" s="6"/>
    </row>
    <row r="8" spans="1:9" hidden="1" x14ac:dyDescent="0.2">
      <c r="A8" s="8" t="s">
        <v>1</v>
      </c>
      <c r="B8" s="5"/>
      <c r="C8" s="74"/>
      <c r="D8" s="6"/>
      <c r="E8" s="6"/>
      <c r="F8" s="6"/>
      <c r="G8" s="6"/>
      <c r="H8" s="6"/>
      <c r="I8" s="6"/>
    </row>
    <row r="9" spans="1:9" hidden="1" x14ac:dyDescent="0.2">
      <c r="A9" s="8" t="s">
        <v>2</v>
      </c>
      <c r="B9" s="5"/>
      <c r="C9" s="74"/>
      <c r="D9" s="6"/>
      <c r="E9" s="6"/>
      <c r="F9" s="54"/>
      <c r="G9" s="6"/>
      <c r="H9" s="6"/>
      <c r="I9" s="6"/>
    </row>
    <row r="10" spans="1:9" hidden="1" x14ac:dyDescent="0.2">
      <c r="A10" s="8" t="s">
        <v>3</v>
      </c>
      <c r="B10" s="5"/>
      <c r="C10" s="74"/>
      <c r="D10" s="6"/>
      <c r="E10" s="6"/>
      <c r="F10" s="6"/>
      <c r="G10" s="6"/>
      <c r="H10" s="6"/>
      <c r="I10" s="6"/>
    </row>
    <row r="11" spans="1:9" hidden="1" x14ac:dyDescent="0.2">
      <c r="A11" s="8" t="s">
        <v>4</v>
      </c>
      <c r="B11" s="5"/>
      <c r="C11" s="74"/>
      <c r="D11" s="6"/>
      <c r="E11" s="6"/>
      <c r="F11" s="6"/>
      <c r="G11" s="6"/>
      <c r="H11" s="6"/>
      <c r="I11" s="6"/>
    </row>
    <row r="12" spans="1:9" hidden="1" x14ac:dyDescent="0.2">
      <c r="A12" s="8" t="s">
        <v>5</v>
      </c>
      <c r="B12" s="5"/>
      <c r="C12" s="74"/>
      <c r="D12" s="6"/>
      <c r="E12" s="6"/>
      <c r="F12" s="6"/>
      <c r="G12" s="6"/>
      <c r="H12" s="6"/>
      <c r="I12" s="6"/>
    </row>
    <row r="13" spans="1:9" hidden="1" x14ac:dyDescent="0.2">
      <c r="A13" s="8" t="s">
        <v>6</v>
      </c>
      <c r="B13" s="5"/>
      <c r="C13" s="74"/>
      <c r="D13" s="6"/>
      <c r="E13" s="6"/>
      <c r="F13" s="6"/>
      <c r="G13" s="6"/>
      <c r="H13" s="6"/>
      <c r="I13" s="6"/>
    </row>
    <row r="14" spans="1:9" hidden="1" x14ac:dyDescent="0.2">
      <c r="A14" s="8" t="s">
        <v>7</v>
      </c>
      <c r="B14" s="5"/>
      <c r="C14" s="74"/>
      <c r="D14" s="6"/>
      <c r="E14" s="6"/>
      <c r="F14" s="6"/>
      <c r="G14" s="6"/>
      <c r="H14" s="6"/>
      <c r="I14" s="6"/>
    </row>
    <row r="15" spans="1:9" hidden="1" x14ac:dyDescent="0.2">
      <c r="A15" s="8" t="s">
        <v>8</v>
      </c>
      <c r="B15" s="5"/>
      <c r="C15" s="74"/>
      <c r="D15" s="6"/>
      <c r="E15" s="6"/>
      <c r="F15" s="6"/>
      <c r="G15" s="6"/>
      <c r="H15" s="6"/>
      <c r="I15" s="6"/>
    </row>
    <row r="16" spans="1:9" hidden="1" x14ac:dyDescent="0.2">
      <c r="A16" s="8" t="s">
        <v>9</v>
      </c>
      <c r="B16" s="5"/>
      <c r="C16" s="74"/>
      <c r="D16" s="6"/>
      <c r="E16" s="6"/>
      <c r="F16" s="6"/>
      <c r="G16" s="6"/>
      <c r="H16" s="6"/>
      <c r="I16" s="6"/>
    </row>
    <row r="17" spans="1:9" hidden="1" x14ac:dyDescent="0.2">
      <c r="A17" s="312" t="s">
        <v>10</v>
      </c>
      <c r="B17" s="313"/>
      <c r="C17" s="313"/>
      <c r="D17" s="313"/>
      <c r="E17" s="314"/>
      <c r="F17" s="11">
        <f>SUM(F7:F16)</f>
        <v>0</v>
      </c>
      <c r="G17" s="11">
        <f>SUM(G7:G16)</f>
        <v>0</v>
      </c>
      <c r="H17" s="11">
        <f>SUM(H7:H16)</f>
        <v>0</v>
      </c>
      <c r="I17" s="11"/>
    </row>
    <row r="18" spans="1:9" x14ac:dyDescent="0.2">
      <c r="A18" s="8" t="s">
        <v>0</v>
      </c>
      <c r="B18" s="5">
        <f>B7+1</f>
        <v>46108</v>
      </c>
      <c r="C18" s="75" t="s">
        <v>273</v>
      </c>
      <c r="D18" s="6" t="s">
        <v>211</v>
      </c>
      <c r="E18" s="6" t="s">
        <v>184</v>
      </c>
      <c r="F18" s="6">
        <v>1</v>
      </c>
      <c r="G18" s="6"/>
      <c r="H18" s="6">
        <v>5</v>
      </c>
      <c r="I18" s="6"/>
    </row>
    <row r="19" spans="1:9" x14ac:dyDescent="0.2">
      <c r="A19" s="8" t="s">
        <v>1</v>
      </c>
      <c r="B19" s="5"/>
      <c r="C19" s="75" t="s">
        <v>274</v>
      </c>
      <c r="D19" s="6" t="s">
        <v>242</v>
      </c>
      <c r="E19" s="6" t="s">
        <v>171</v>
      </c>
      <c r="F19" s="6">
        <v>1</v>
      </c>
      <c r="G19" s="6"/>
      <c r="H19" s="6">
        <v>5</v>
      </c>
      <c r="I19" s="6"/>
    </row>
    <row r="20" spans="1:9" x14ac:dyDescent="0.2">
      <c r="A20" s="8" t="s">
        <v>2</v>
      </c>
      <c r="B20" s="5"/>
      <c r="C20" s="75" t="s">
        <v>275</v>
      </c>
      <c r="D20" s="6" t="s">
        <v>276</v>
      </c>
      <c r="E20" s="6" t="s">
        <v>168</v>
      </c>
      <c r="F20" s="6">
        <v>1</v>
      </c>
      <c r="G20" s="6"/>
      <c r="H20" s="6">
        <v>5.5</v>
      </c>
      <c r="I20" s="6"/>
    </row>
    <row r="21" spans="1:9" x14ac:dyDescent="0.2">
      <c r="A21" s="8" t="s">
        <v>3</v>
      </c>
      <c r="B21" s="5"/>
      <c r="C21" s="75" t="s">
        <v>277</v>
      </c>
      <c r="D21" s="6" t="s">
        <v>170</v>
      </c>
      <c r="E21" s="6" t="s">
        <v>171</v>
      </c>
      <c r="F21" s="6">
        <v>1</v>
      </c>
      <c r="G21" s="6"/>
      <c r="H21" s="6">
        <v>6</v>
      </c>
      <c r="I21" s="6"/>
    </row>
    <row r="22" spans="1:9" x14ac:dyDescent="0.2">
      <c r="A22" s="8" t="s">
        <v>4</v>
      </c>
      <c r="B22" s="5"/>
      <c r="C22" s="75" t="s">
        <v>278</v>
      </c>
      <c r="D22" s="6" t="s">
        <v>170</v>
      </c>
      <c r="E22" s="6" t="s">
        <v>171</v>
      </c>
      <c r="F22" s="6">
        <v>1</v>
      </c>
      <c r="G22" s="6"/>
      <c r="H22" s="6">
        <v>6</v>
      </c>
      <c r="I22" s="6"/>
    </row>
    <row r="23" spans="1:9" x14ac:dyDescent="0.2">
      <c r="A23" s="8" t="s">
        <v>5</v>
      </c>
      <c r="B23" s="5"/>
      <c r="C23" s="75" t="s">
        <v>279</v>
      </c>
      <c r="D23" s="6" t="s">
        <v>242</v>
      </c>
      <c r="E23" s="6" t="s">
        <v>171</v>
      </c>
      <c r="F23" s="6"/>
      <c r="G23" s="6">
        <v>1</v>
      </c>
      <c r="H23" s="6">
        <v>6</v>
      </c>
      <c r="I23" s="6"/>
    </row>
    <row r="24" spans="1:9" x14ac:dyDescent="0.2">
      <c r="A24" s="8" t="s">
        <v>6</v>
      </c>
      <c r="B24" s="5"/>
      <c r="C24" s="75" t="s">
        <v>280</v>
      </c>
      <c r="D24" s="6" t="s">
        <v>170</v>
      </c>
      <c r="E24" s="6" t="s">
        <v>171</v>
      </c>
      <c r="F24" s="6"/>
      <c r="G24" s="6">
        <v>1</v>
      </c>
      <c r="H24" s="6">
        <v>6</v>
      </c>
      <c r="I24" s="6"/>
    </row>
    <row r="25" spans="1:9" hidden="1" x14ac:dyDescent="0.2">
      <c r="A25" s="8" t="s">
        <v>7</v>
      </c>
      <c r="B25" s="5"/>
      <c r="C25" s="75"/>
      <c r="D25" s="6"/>
      <c r="E25" s="6"/>
      <c r="F25" s="6"/>
      <c r="G25" s="6"/>
      <c r="H25" s="6"/>
      <c r="I25" s="6"/>
    </row>
    <row r="26" spans="1:9" hidden="1" x14ac:dyDescent="0.2">
      <c r="A26" s="8" t="s">
        <v>8</v>
      </c>
      <c r="B26" s="5"/>
      <c r="C26" s="74"/>
      <c r="D26" s="6"/>
      <c r="E26" s="6"/>
      <c r="F26" s="6"/>
      <c r="G26" s="6"/>
      <c r="H26" s="6"/>
      <c r="I26" s="6"/>
    </row>
    <row r="27" spans="1:9" hidden="1" x14ac:dyDescent="0.2">
      <c r="A27" s="8" t="s">
        <v>9</v>
      </c>
      <c r="B27" s="5"/>
      <c r="C27" s="74"/>
      <c r="D27" s="6"/>
      <c r="E27" s="6"/>
      <c r="F27" s="6"/>
      <c r="G27" s="6"/>
      <c r="H27" s="6"/>
      <c r="I27" s="6"/>
    </row>
    <row r="28" spans="1:9" x14ac:dyDescent="0.2">
      <c r="A28" s="312" t="s">
        <v>10</v>
      </c>
      <c r="B28" s="313"/>
      <c r="C28" s="313"/>
      <c r="D28" s="313"/>
      <c r="E28" s="314"/>
      <c r="F28" s="11">
        <f>SUM(F18:F27)</f>
        <v>5</v>
      </c>
      <c r="G28" s="11">
        <f>SUM(G18:G27)</f>
        <v>2</v>
      </c>
      <c r="H28" s="11">
        <f>SUM(H18:H27)</f>
        <v>39.5</v>
      </c>
      <c r="I28" s="11"/>
    </row>
    <row r="29" spans="1:9" x14ac:dyDescent="0.2">
      <c r="A29" s="8" t="s">
        <v>0</v>
      </c>
      <c r="B29" s="5">
        <f>B18+1</f>
        <v>46109</v>
      </c>
      <c r="C29" s="74" t="s">
        <v>354</v>
      </c>
      <c r="D29" s="6" t="s">
        <v>250</v>
      </c>
      <c r="E29" s="6" t="s">
        <v>168</v>
      </c>
      <c r="F29" s="6">
        <v>1</v>
      </c>
      <c r="G29" s="6"/>
      <c r="H29" s="6">
        <v>5</v>
      </c>
      <c r="I29" s="6"/>
    </row>
    <row r="30" spans="1:9" x14ac:dyDescent="0.2">
      <c r="A30" s="8" t="s">
        <v>1</v>
      </c>
      <c r="B30" s="5"/>
      <c r="C30" s="74" t="s">
        <v>355</v>
      </c>
      <c r="D30" s="6" t="s">
        <v>332</v>
      </c>
      <c r="E30" s="6" t="s">
        <v>216</v>
      </c>
      <c r="F30" s="6">
        <v>1</v>
      </c>
      <c r="G30" s="6"/>
      <c r="H30" s="6">
        <v>4</v>
      </c>
      <c r="I30" s="6"/>
    </row>
    <row r="31" spans="1:9" x14ac:dyDescent="0.2">
      <c r="A31" s="8" t="s">
        <v>2</v>
      </c>
      <c r="B31" s="5"/>
      <c r="C31" s="74" t="s">
        <v>340</v>
      </c>
      <c r="D31" s="6" t="s">
        <v>342</v>
      </c>
      <c r="E31" s="6" t="s">
        <v>165</v>
      </c>
      <c r="F31" s="6">
        <v>1</v>
      </c>
      <c r="G31" s="6"/>
      <c r="H31" s="6">
        <v>5</v>
      </c>
      <c r="I31" s="6"/>
    </row>
    <row r="32" spans="1:9" hidden="1" x14ac:dyDescent="0.2">
      <c r="A32" s="8" t="s">
        <v>3</v>
      </c>
      <c r="B32" s="5"/>
      <c r="C32" s="74"/>
      <c r="D32" s="6"/>
      <c r="E32" s="6"/>
      <c r="F32" s="6"/>
      <c r="G32" s="6"/>
      <c r="H32" s="6"/>
      <c r="I32" s="6"/>
    </row>
    <row r="33" spans="1:9" hidden="1" x14ac:dyDescent="0.2">
      <c r="A33" s="8" t="s">
        <v>4</v>
      </c>
      <c r="B33" s="5"/>
      <c r="C33" s="74"/>
      <c r="D33" s="6"/>
      <c r="E33" s="6"/>
      <c r="F33" s="6"/>
      <c r="G33" s="6"/>
      <c r="H33" s="6"/>
      <c r="I33" s="6"/>
    </row>
    <row r="34" spans="1:9" hidden="1" x14ac:dyDescent="0.2">
      <c r="A34" s="8" t="s">
        <v>5</v>
      </c>
      <c r="B34" s="5"/>
      <c r="C34" s="74"/>
      <c r="D34" s="6"/>
      <c r="E34" s="6"/>
      <c r="F34" s="6"/>
      <c r="G34" s="6"/>
      <c r="H34" s="6"/>
      <c r="I34" s="6"/>
    </row>
    <row r="35" spans="1:9" hidden="1" x14ac:dyDescent="0.2">
      <c r="A35" s="8" t="s">
        <v>6</v>
      </c>
      <c r="B35" s="5"/>
      <c r="C35" s="74"/>
      <c r="D35" s="6"/>
      <c r="E35" s="6"/>
      <c r="F35" s="6"/>
      <c r="G35" s="6"/>
      <c r="H35" s="6"/>
      <c r="I35" s="6"/>
    </row>
    <row r="36" spans="1:9" hidden="1" x14ac:dyDescent="0.2">
      <c r="A36" s="8" t="s">
        <v>7</v>
      </c>
      <c r="B36" s="5"/>
      <c r="C36" s="74"/>
      <c r="D36" s="6"/>
      <c r="E36" s="6"/>
      <c r="F36" s="6"/>
      <c r="G36" s="6"/>
      <c r="H36" s="6"/>
      <c r="I36" s="6"/>
    </row>
    <row r="37" spans="1:9" hidden="1" x14ac:dyDescent="0.2">
      <c r="A37" s="8" t="s">
        <v>8</v>
      </c>
      <c r="B37" s="5"/>
      <c r="C37" s="74"/>
      <c r="D37" s="6"/>
      <c r="E37" s="6"/>
      <c r="F37" s="6"/>
      <c r="G37" s="6"/>
      <c r="H37" s="6"/>
      <c r="I37" s="6"/>
    </row>
    <row r="38" spans="1:9" hidden="1" x14ac:dyDescent="0.2">
      <c r="A38" s="8" t="s">
        <v>9</v>
      </c>
      <c r="B38" s="5"/>
      <c r="C38" s="74"/>
      <c r="D38" s="6"/>
      <c r="E38" s="6"/>
      <c r="F38" s="6"/>
      <c r="G38" s="6"/>
      <c r="H38" s="6"/>
      <c r="I38" s="6"/>
    </row>
    <row r="39" spans="1:9" x14ac:dyDescent="0.2">
      <c r="A39" s="312" t="s">
        <v>10</v>
      </c>
      <c r="B39" s="313"/>
      <c r="C39" s="313"/>
      <c r="D39" s="313"/>
      <c r="E39" s="314"/>
      <c r="F39" s="11">
        <f>SUM(F29:F38)</f>
        <v>3</v>
      </c>
      <c r="G39" s="11">
        <f>SUM(G29:G38)</f>
        <v>0</v>
      </c>
      <c r="H39" s="11">
        <f>SUM(H29:H38)</f>
        <v>14</v>
      </c>
      <c r="I39" s="11"/>
    </row>
    <row r="40" spans="1:9" x14ac:dyDescent="0.2">
      <c r="A40" s="8" t="s">
        <v>0</v>
      </c>
      <c r="B40" s="5">
        <f>B29+1</f>
        <v>46110</v>
      </c>
      <c r="C40" s="75" t="s">
        <v>400</v>
      </c>
      <c r="D40" s="6" t="s">
        <v>371</v>
      </c>
      <c r="E40" s="6" t="s">
        <v>165</v>
      </c>
      <c r="F40" s="6">
        <v>1</v>
      </c>
      <c r="G40" s="6"/>
      <c r="H40" s="6">
        <v>6</v>
      </c>
      <c r="I40" s="6"/>
    </row>
    <row r="41" spans="1:9" x14ac:dyDescent="0.2">
      <c r="A41" s="8" t="s">
        <v>1</v>
      </c>
      <c r="B41" s="5"/>
      <c r="C41" s="75" t="s">
        <v>401</v>
      </c>
      <c r="D41" s="6" t="s">
        <v>202</v>
      </c>
      <c r="E41" s="6" t="s">
        <v>222</v>
      </c>
      <c r="F41" s="6">
        <v>1</v>
      </c>
      <c r="G41" s="6"/>
      <c r="H41" s="6">
        <v>5</v>
      </c>
      <c r="I41" s="6"/>
    </row>
    <row r="42" spans="1:9" x14ac:dyDescent="0.2">
      <c r="A42" s="8" t="s">
        <v>2</v>
      </c>
      <c r="B42" s="5"/>
      <c r="C42" s="75" t="s">
        <v>404</v>
      </c>
      <c r="D42" s="6" t="s">
        <v>242</v>
      </c>
      <c r="E42" s="6" t="s">
        <v>171</v>
      </c>
      <c r="F42" s="6">
        <v>1</v>
      </c>
      <c r="G42" s="6"/>
      <c r="H42" s="6">
        <v>5.5</v>
      </c>
      <c r="I42" s="6"/>
    </row>
    <row r="43" spans="1:9" x14ac:dyDescent="0.2">
      <c r="A43" s="8" t="s">
        <v>3</v>
      </c>
      <c r="B43" s="5"/>
      <c r="C43" s="75" t="s">
        <v>396</v>
      </c>
      <c r="D43" s="6" t="s">
        <v>242</v>
      </c>
      <c r="E43" s="6" t="s">
        <v>171</v>
      </c>
      <c r="F43" s="6">
        <v>1</v>
      </c>
      <c r="G43" s="6"/>
      <c r="H43" s="6">
        <v>6</v>
      </c>
      <c r="I43" s="6"/>
    </row>
    <row r="44" spans="1:9" x14ac:dyDescent="0.2">
      <c r="A44" s="8" t="s">
        <v>4</v>
      </c>
      <c r="B44" s="5"/>
      <c r="C44" s="75" t="s">
        <v>405</v>
      </c>
      <c r="D44" s="6" t="s">
        <v>242</v>
      </c>
      <c r="E44" s="6" t="s">
        <v>171</v>
      </c>
      <c r="F44" s="6">
        <v>1</v>
      </c>
      <c r="G44" s="6"/>
      <c r="H44" s="6">
        <v>5.5</v>
      </c>
      <c r="I44" s="6"/>
    </row>
    <row r="45" spans="1:9" x14ac:dyDescent="0.2">
      <c r="A45" s="8" t="s">
        <v>5</v>
      </c>
      <c r="B45" s="5"/>
      <c r="C45" s="75" t="s">
        <v>406</v>
      </c>
      <c r="D45" s="6" t="s">
        <v>215</v>
      </c>
      <c r="E45" s="6" t="s">
        <v>216</v>
      </c>
      <c r="F45" s="6"/>
      <c r="G45" s="6">
        <v>1</v>
      </c>
      <c r="H45" s="6">
        <v>2.5</v>
      </c>
      <c r="I45" s="6"/>
    </row>
    <row r="46" spans="1:9" hidden="1" x14ac:dyDescent="0.2">
      <c r="A46" s="8" t="s">
        <v>6</v>
      </c>
      <c r="B46" s="5"/>
      <c r="C46" s="75"/>
      <c r="D46" s="6"/>
      <c r="E46" s="6"/>
      <c r="F46" s="6"/>
      <c r="G46" s="6"/>
      <c r="H46" s="6"/>
      <c r="I46" s="6"/>
    </row>
    <row r="47" spans="1:9" hidden="1" x14ac:dyDescent="0.2">
      <c r="A47" s="8" t="s">
        <v>7</v>
      </c>
      <c r="B47" s="5"/>
      <c r="C47" s="74"/>
      <c r="D47" s="6"/>
      <c r="E47" s="6"/>
      <c r="F47" s="6"/>
      <c r="G47" s="6"/>
      <c r="H47" s="6"/>
      <c r="I47" s="6"/>
    </row>
    <row r="48" spans="1:9" hidden="1" x14ac:dyDescent="0.2">
      <c r="A48" s="8" t="s">
        <v>8</v>
      </c>
      <c r="B48" s="5"/>
      <c r="C48" s="74"/>
      <c r="D48" s="6"/>
      <c r="E48" s="6"/>
      <c r="F48" s="6"/>
      <c r="G48" s="6"/>
      <c r="H48" s="6"/>
      <c r="I48" s="6"/>
    </row>
    <row r="49" spans="1:9" hidden="1" x14ac:dyDescent="0.2">
      <c r="A49" s="8" t="s">
        <v>9</v>
      </c>
      <c r="B49" s="5"/>
      <c r="C49" s="74"/>
      <c r="D49" s="6"/>
      <c r="E49" s="6"/>
      <c r="F49" s="6"/>
      <c r="G49" s="6"/>
      <c r="H49" s="6"/>
      <c r="I49" s="6"/>
    </row>
    <row r="50" spans="1:9" x14ac:dyDescent="0.2">
      <c r="A50" s="312" t="s">
        <v>10</v>
      </c>
      <c r="B50" s="313"/>
      <c r="C50" s="313"/>
      <c r="D50" s="313"/>
      <c r="E50" s="314"/>
      <c r="F50" s="11">
        <f>SUM(F40:F49)</f>
        <v>5</v>
      </c>
      <c r="G50" s="11">
        <f>SUM(G40:G49)</f>
        <v>1</v>
      </c>
      <c r="H50" s="11">
        <f>SUM(H40:H49)</f>
        <v>30.5</v>
      </c>
      <c r="I50" s="11"/>
    </row>
    <row r="51" spans="1:9" x14ac:dyDescent="0.2">
      <c r="A51" s="8" t="s">
        <v>0</v>
      </c>
      <c r="B51" s="5">
        <f>B40+1</f>
        <v>46111</v>
      </c>
      <c r="C51" s="75" t="s">
        <v>471</v>
      </c>
      <c r="D51" s="6" t="s">
        <v>173</v>
      </c>
      <c r="E51" s="6" t="s">
        <v>441</v>
      </c>
      <c r="F51" s="6">
        <v>1</v>
      </c>
      <c r="G51" s="6"/>
      <c r="H51" s="6">
        <v>6</v>
      </c>
      <c r="I51" s="6"/>
    </row>
    <row r="52" spans="1:9" x14ac:dyDescent="0.2">
      <c r="A52" s="8" t="s">
        <v>1</v>
      </c>
      <c r="B52" s="5"/>
      <c r="C52" s="75" t="s">
        <v>472</v>
      </c>
      <c r="D52" s="6" t="s">
        <v>170</v>
      </c>
      <c r="E52" s="6" t="s">
        <v>171</v>
      </c>
      <c r="F52" s="6">
        <v>1</v>
      </c>
      <c r="G52" s="6"/>
      <c r="H52" s="6">
        <v>6</v>
      </c>
      <c r="I52" s="6"/>
    </row>
    <row r="53" spans="1:9" x14ac:dyDescent="0.2">
      <c r="A53" s="8" t="s">
        <v>2</v>
      </c>
      <c r="B53" s="5"/>
      <c r="C53" s="75" t="s">
        <v>473</v>
      </c>
      <c r="D53" s="6" t="s">
        <v>347</v>
      </c>
      <c r="E53" s="6" t="s">
        <v>441</v>
      </c>
      <c r="F53" s="6">
        <v>1</v>
      </c>
      <c r="G53" s="6"/>
      <c r="H53" s="6">
        <v>6</v>
      </c>
      <c r="I53" s="6"/>
    </row>
    <row r="54" spans="1:9" x14ac:dyDescent="0.2">
      <c r="A54" s="8" t="s">
        <v>3</v>
      </c>
      <c r="B54" s="5"/>
      <c r="C54" s="75" t="s">
        <v>474</v>
      </c>
      <c r="D54" s="6" t="s">
        <v>170</v>
      </c>
      <c r="E54" s="6" t="s">
        <v>171</v>
      </c>
      <c r="F54" s="6">
        <v>1</v>
      </c>
      <c r="G54" s="6"/>
      <c r="H54" s="6">
        <v>6</v>
      </c>
      <c r="I54" s="6"/>
    </row>
    <row r="55" spans="1:9" x14ac:dyDescent="0.2">
      <c r="A55" s="8" t="s">
        <v>4</v>
      </c>
      <c r="B55" s="5"/>
      <c r="C55" s="75" t="s">
        <v>475</v>
      </c>
      <c r="D55" s="6" t="s">
        <v>170</v>
      </c>
      <c r="E55" s="6" t="s">
        <v>171</v>
      </c>
      <c r="F55" s="6">
        <v>1</v>
      </c>
      <c r="G55" s="6"/>
      <c r="H55" s="6">
        <v>6</v>
      </c>
      <c r="I55" s="6"/>
    </row>
    <row r="56" spans="1:9" x14ac:dyDescent="0.2">
      <c r="A56" s="8" t="s">
        <v>5</v>
      </c>
      <c r="B56" s="5"/>
      <c r="C56" s="75" t="s">
        <v>476</v>
      </c>
      <c r="D56" s="6" t="s">
        <v>202</v>
      </c>
      <c r="E56" s="6" t="s">
        <v>222</v>
      </c>
      <c r="F56" s="6"/>
      <c r="G56" s="6">
        <v>1</v>
      </c>
      <c r="H56" s="6">
        <v>5</v>
      </c>
      <c r="I56" s="6"/>
    </row>
    <row r="57" spans="1:9" hidden="1" x14ac:dyDescent="0.2">
      <c r="A57" s="8" t="s">
        <v>6</v>
      </c>
      <c r="B57" s="5"/>
      <c r="C57" s="74"/>
      <c r="D57" s="6"/>
      <c r="E57" s="6"/>
      <c r="F57" s="6"/>
      <c r="G57" s="6"/>
      <c r="H57" s="6"/>
      <c r="I57" s="6"/>
    </row>
    <row r="58" spans="1:9" hidden="1" x14ac:dyDescent="0.2">
      <c r="A58" s="8" t="s">
        <v>7</v>
      </c>
      <c r="B58" s="5"/>
      <c r="C58" s="74"/>
      <c r="D58" s="6"/>
      <c r="E58" s="6"/>
      <c r="F58" s="6"/>
      <c r="G58" s="6"/>
      <c r="H58" s="6"/>
      <c r="I58" s="6"/>
    </row>
    <row r="59" spans="1:9" hidden="1" x14ac:dyDescent="0.2">
      <c r="A59" s="8" t="s">
        <v>8</v>
      </c>
      <c r="B59" s="5"/>
      <c r="C59" s="74"/>
      <c r="D59" s="6"/>
      <c r="E59" s="6"/>
      <c r="F59" s="6"/>
      <c r="G59" s="6"/>
      <c r="H59" s="6"/>
      <c r="I59" s="6"/>
    </row>
    <row r="60" spans="1:9" hidden="1" x14ac:dyDescent="0.2">
      <c r="A60" s="8" t="s">
        <v>9</v>
      </c>
      <c r="B60" s="5"/>
      <c r="C60" s="74"/>
      <c r="D60" s="6"/>
      <c r="E60" s="6"/>
      <c r="F60" s="6"/>
      <c r="G60" s="6"/>
      <c r="H60" s="6"/>
      <c r="I60" s="6"/>
    </row>
    <row r="61" spans="1:9" x14ac:dyDescent="0.2">
      <c r="A61" s="312" t="s">
        <v>10</v>
      </c>
      <c r="B61" s="313"/>
      <c r="C61" s="313"/>
      <c r="D61" s="313"/>
      <c r="E61" s="314"/>
      <c r="F61" s="11">
        <f>SUM(F51:F60)</f>
        <v>5</v>
      </c>
      <c r="G61" s="11">
        <f>SUM(G51:G60)</f>
        <v>1</v>
      </c>
      <c r="H61" s="11">
        <f>SUM(H51:H60)</f>
        <v>35</v>
      </c>
      <c r="I61" s="11"/>
    </row>
    <row r="62" spans="1:9" x14ac:dyDescent="0.2">
      <c r="A62" s="8" t="s">
        <v>0</v>
      </c>
      <c r="B62" s="5">
        <f>B51+1</f>
        <v>46112</v>
      </c>
      <c r="C62" s="75" t="s">
        <v>539</v>
      </c>
      <c r="D62" s="6" t="s">
        <v>342</v>
      </c>
      <c r="E62" s="6" t="s">
        <v>165</v>
      </c>
      <c r="F62" s="6">
        <v>1</v>
      </c>
      <c r="G62" s="6"/>
      <c r="H62" s="6">
        <v>6</v>
      </c>
      <c r="I62" s="6"/>
    </row>
    <row r="63" spans="1:9" x14ac:dyDescent="0.2">
      <c r="A63" s="8" t="s">
        <v>1</v>
      </c>
      <c r="B63" s="5"/>
      <c r="C63" s="75" t="s">
        <v>540</v>
      </c>
      <c r="D63" s="6" t="s">
        <v>342</v>
      </c>
      <c r="E63" s="6" t="s">
        <v>165</v>
      </c>
      <c r="F63" s="6">
        <v>1</v>
      </c>
      <c r="G63" s="6"/>
      <c r="H63" s="6">
        <v>6</v>
      </c>
      <c r="I63" s="6"/>
    </row>
    <row r="64" spans="1:9" x14ac:dyDescent="0.2">
      <c r="A64" s="8" t="s">
        <v>2</v>
      </c>
      <c r="B64" s="5"/>
      <c r="C64" s="75" t="s">
        <v>542</v>
      </c>
      <c r="D64" s="6" t="s">
        <v>173</v>
      </c>
      <c r="E64" s="6" t="s">
        <v>544</v>
      </c>
      <c r="F64" s="6">
        <v>1</v>
      </c>
      <c r="G64" s="6"/>
      <c r="H64" s="6">
        <v>5</v>
      </c>
      <c r="I64" s="6"/>
    </row>
    <row r="65" spans="1:9" x14ac:dyDescent="0.2">
      <c r="A65" s="8" t="s">
        <v>3</v>
      </c>
      <c r="B65" s="5"/>
      <c r="C65" s="75" t="s">
        <v>545</v>
      </c>
      <c r="D65" s="6" t="s">
        <v>170</v>
      </c>
      <c r="E65" s="6" t="s">
        <v>171</v>
      </c>
      <c r="F65" s="6">
        <v>1</v>
      </c>
      <c r="G65" s="6"/>
      <c r="H65" s="6">
        <v>6</v>
      </c>
      <c r="I65" s="6"/>
    </row>
    <row r="66" spans="1:9" x14ac:dyDescent="0.2">
      <c r="A66" s="8" t="s">
        <v>4</v>
      </c>
      <c r="B66" s="5"/>
      <c r="C66" s="75" t="s">
        <v>541</v>
      </c>
      <c r="D66" s="6" t="s">
        <v>173</v>
      </c>
      <c r="E66" s="6" t="s">
        <v>441</v>
      </c>
      <c r="F66" s="6">
        <v>1</v>
      </c>
      <c r="G66" s="6"/>
      <c r="H66" s="6">
        <v>6</v>
      </c>
      <c r="I66" s="6"/>
    </row>
    <row r="67" spans="1:9" x14ac:dyDescent="0.2">
      <c r="A67" s="8" t="s">
        <v>5</v>
      </c>
      <c r="B67" s="5"/>
      <c r="C67" s="75" t="s">
        <v>543</v>
      </c>
      <c r="D67" s="6" t="s">
        <v>170</v>
      </c>
      <c r="E67" s="6" t="s">
        <v>171</v>
      </c>
      <c r="F67" s="6">
        <v>1</v>
      </c>
      <c r="G67" s="6"/>
      <c r="H67" s="6">
        <v>6</v>
      </c>
      <c r="I67" s="6"/>
    </row>
    <row r="68" spans="1:9" x14ac:dyDescent="0.2">
      <c r="A68" s="8" t="s">
        <v>6</v>
      </c>
      <c r="B68" s="5"/>
      <c r="C68" s="75" t="s">
        <v>546</v>
      </c>
      <c r="D68" s="6" t="s">
        <v>170</v>
      </c>
      <c r="E68" s="6" t="s">
        <v>171</v>
      </c>
      <c r="F68" s="6"/>
      <c r="G68" s="6">
        <v>1</v>
      </c>
      <c r="H68" s="6">
        <v>6</v>
      </c>
      <c r="I68" s="6"/>
    </row>
    <row r="69" spans="1:9" hidden="1" x14ac:dyDescent="0.2">
      <c r="A69" s="8" t="s">
        <v>7</v>
      </c>
      <c r="B69" s="5"/>
      <c r="C69" s="75"/>
      <c r="D69" s="6"/>
      <c r="E69" s="6"/>
      <c r="F69" s="6"/>
      <c r="G69" s="6"/>
      <c r="H69" s="6"/>
      <c r="I69" s="6"/>
    </row>
    <row r="70" spans="1:9" hidden="1" x14ac:dyDescent="0.2">
      <c r="A70" s="8" t="s">
        <v>8</v>
      </c>
      <c r="B70" s="5"/>
      <c r="C70" s="75"/>
      <c r="D70" s="6"/>
      <c r="E70" s="6"/>
      <c r="F70" s="6"/>
      <c r="G70" s="6"/>
      <c r="H70" s="6"/>
      <c r="I70" s="6"/>
    </row>
    <row r="71" spans="1:9" hidden="1" x14ac:dyDescent="0.2">
      <c r="A71" s="8" t="s">
        <v>9</v>
      </c>
      <c r="B71" s="5"/>
      <c r="C71" s="75"/>
      <c r="D71" s="6"/>
      <c r="E71" s="6"/>
      <c r="F71" s="6"/>
      <c r="G71" s="6"/>
      <c r="H71" s="6"/>
      <c r="I71" s="6"/>
    </row>
    <row r="72" spans="1:9" x14ac:dyDescent="0.2">
      <c r="A72" s="312" t="s">
        <v>10</v>
      </c>
      <c r="B72" s="313"/>
      <c r="C72" s="313"/>
      <c r="D72" s="313"/>
      <c r="E72" s="314"/>
      <c r="F72" s="11">
        <f>SUM(F62:F71)</f>
        <v>6</v>
      </c>
      <c r="G72" s="11">
        <f>SUM(G62:G71)</f>
        <v>1</v>
      </c>
      <c r="H72" s="11">
        <f>SUM(H62:H71)</f>
        <v>41</v>
      </c>
      <c r="I72" s="11"/>
    </row>
    <row r="73" spans="1:9" x14ac:dyDescent="0.2">
      <c r="A73" s="8" t="s">
        <v>0</v>
      </c>
      <c r="B73" s="5">
        <f>B62+1</f>
        <v>46113</v>
      </c>
      <c r="C73" s="74" t="s">
        <v>612</v>
      </c>
      <c r="D73" s="6" t="s">
        <v>188</v>
      </c>
      <c r="E73" s="6" t="s">
        <v>165</v>
      </c>
      <c r="F73" s="6">
        <v>1</v>
      </c>
      <c r="G73" s="6"/>
      <c r="H73" s="6">
        <v>6</v>
      </c>
      <c r="I73" s="6"/>
    </row>
    <row r="74" spans="1:9" x14ac:dyDescent="0.2">
      <c r="A74" s="8" t="s">
        <v>1</v>
      </c>
      <c r="B74" s="5"/>
      <c r="C74" s="74" t="s">
        <v>613</v>
      </c>
      <c r="D74" s="6" t="s">
        <v>448</v>
      </c>
      <c r="E74" s="6" t="s">
        <v>168</v>
      </c>
      <c r="F74" s="6">
        <v>1</v>
      </c>
      <c r="G74" s="6"/>
      <c r="H74" s="6">
        <v>4</v>
      </c>
      <c r="I74" s="6"/>
    </row>
    <row r="75" spans="1:9" x14ac:dyDescent="0.2">
      <c r="A75" s="8" t="s">
        <v>2</v>
      </c>
      <c r="B75" s="5"/>
      <c r="C75" s="74" t="s">
        <v>614</v>
      </c>
      <c r="D75" s="6" t="s">
        <v>364</v>
      </c>
      <c r="E75" s="6" t="s">
        <v>165</v>
      </c>
      <c r="F75" s="6">
        <v>1</v>
      </c>
      <c r="G75" s="6"/>
      <c r="H75" s="6">
        <v>5</v>
      </c>
      <c r="I75" s="6"/>
    </row>
    <row r="76" spans="1:9" x14ac:dyDescent="0.2">
      <c r="A76" s="8" t="s">
        <v>3</v>
      </c>
      <c r="B76" s="5"/>
      <c r="C76" s="74" t="s">
        <v>615</v>
      </c>
      <c r="D76" s="6" t="s">
        <v>188</v>
      </c>
      <c r="E76" s="6" t="s">
        <v>165</v>
      </c>
      <c r="F76" s="6">
        <v>1</v>
      </c>
      <c r="G76" s="6"/>
      <c r="H76" s="6">
        <v>4</v>
      </c>
      <c r="I76" s="6"/>
    </row>
    <row r="77" spans="1:9" x14ac:dyDescent="0.2">
      <c r="A77" s="8" t="s">
        <v>4</v>
      </c>
      <c r="B77" s="5"/>
      <c r="C77" s="74" t="s">
        <v>616</v>
      </c>
      <c r="D77" s="6" t="s">
        <v>202</v>
      </c>
      <c r="E77" s="6" t="s">
        <v>596</v>
      </c>
      <c r="F77" s="6"/>
      <c r="G77" s="6">
        <v>1</v>
      </c>
      <c r="H77" s="6">
        <v>4</v>
      </c>
      <c r="I77" s="6"/>
    </row>
    <row r="78" spans="1:9" hidden="1" x14ac:dyDescent="0.2">
      <c r="A78" s="8" t="s">
        <v>5</v>
      </c>
      <c r="B78" s="5"/>
      <c r="C78" s="74"/>
      <c r="D78" s="6"/>
      <c r="E78" s="6"/>
      <c r="F78" s="6"/>
      <c r="G78" s="6"/>
      <c r="H78" s="6"/>
      <c r="I78" s="6"/>
    </row>
    <row r="79" spans="1:9" hidden="1" x14ac:dyDescent="0.2">
      <c r="A79" s="8" t="s">
        <v>6</v>
      </c>
      <c r="B79" s="5"/>
      <c r="C79" s="74"/>
      <c r="D79" s="6"/>
      <c r="E79" s="6"/>
      <c r="F79" s="6"/>
      <c r="G79" s="6"/>
      <c r="H79" s="6"/>
      <c r="I79" s="6"/>
    </row>
    <row r="80" spans="1:9" hidden="1" x14ac:dyDescent="0.2">
      <c r="A80" s="8" t="s">
        <v>7</v>
      </c>
      <c r="B80" s="5"/>
      <c r="C80" s="74"/>
      <c r="D80" s="6"/>
      <c r="E80" s="6"/>
      <c r="F80" s="6"/>
      <c r="G80" s="6"/>
      <c r="H80" s="6"/>
      <c r="I80" s="6"/>
    </row>
    <row r="81" spans="1:9" hidden="1" x14ac:dyDescent="0.2">
      <c r="A81" s="8" t="s">
        <v>8</v>
      </c>
      <c r="B81" s="5"/>
      <c r="C81" s="74"/>
      <c r="D81" s="6"/>
      <c r="E81" s="6"/>
      <c r="F81" s="6"/>
      <c r="G81" s="6"/>
      <c r="H81" s="6"/>
      <c r="I81" s="6"/>
    </row>
    <row r="82" spans="1:9" hidden="1" x14ac:dyDescent="0.2">
      <c r="A82" s="8" t="s">
        <v>9</v>
      </c>
      <c r="B82" s="5"/>
      <c r="C82" s="74"/>
      <c r="D82" s="6"/>
      <c r="E82" s="6"/>
      <c r="F82" s="6"/>
      <c r="G82" s="6"/>
      <c r="H82" s="6"/>
      <c r="I82" s="6"/>
    </row>
    <row r="83" spans="1:9" x14ac:dyDescent="0.2">
      <c r="A83" s="312" t="s">
        <v>10</v>
      </c>
      <c r="B83" s="313"/>
      <c r="C83" s="313"/>
      <c r="D83" s="313"/>
      <c r="E83" s="314"/>
      <c r="F83" s="11">
        <f>SUM(F73:F82)</f>
        <v>4</v>
      </c>
      <c r="G83" s="11">
        <f>SUM(G73:G82)</f>
        <v>1</v>
      </c>
      <c r="H83" s="11">
        <f>SUM(H73:H82)</f>
        <v>23</v>
      </c>
      <c r="I83" s="11"/>
    </row>
    <row r="84" spans="1:9" s="25" customFormat="1" ht="18" x14ac:dyDescent="0.2">
      <c r="A84" s="324" t="s">
        <v>39</v>
      </c>
      <c r="B84" s="325"/>
      <c r="C84" s="325"/>
      <c r="D84" s="325"/>
      <c r="E84" s="326"/>
      <c r="F84" s="24">
        <f>F17+F28+F39+F50+F61+F72+F83</f>
        <v>28</v>
      </c>
      <c r="G84" s="24">
        <f>G17+G28+G39+G50+G61+G72+G83</f>
        <v>6</v>
      </c>
      <c r="H84" s="24">
        <f>H17+H28+H39+H50+H61+H72+H83</f>
        <v>183</v>
      </c>
      <c r="I84" s="24"/>
    </row>
    <row r="85" spans="1:9" ht="21.95" customHeight="1" x14ac:dyDescent="0.2">
      <c r="A85" s="319" t="s">
        <v>14</v>
      </c>
      <c r="B85" s="319"/>
      <c r="C85" s="319"/>
      <c r="D85" s="319"/>
      <c r="E85" s="319"/>
      <c r="F85" s="319"/>
      <c r="G85" s="319"/>
      <c r="H85" s="319"/>
      <c r="I85" s="319"/>
    </row>
    <row r="86" spans="1:9" s="53" customFormat="1" ht="20.100000000000001" customHeight="1" x14ac:dyDescent="0.2">
      <c r="A86" s="323" t="s">
        <v>86</v>
      </c>
      <c r="B86" s="323"/>
      <c r="C86" s="323"/>
      <c r="D86" s="323"/>
      <c r="E86" s="323"/>
      <c r="F86" s="50" t="str">
        <f>F2</f>
        <v>เมษายน</v>
      </c>
      <c r="G86" s="50" t="s">
        <v>87</v>
      </c>
      <c r="H86" s="51">
        <f>H2</f>
        <v>2569</v>
      </c>
      <c r="I86" s="52"/>
    </row>
    <row r="87" spans="1:9" s="3" customFormat="1" ht="20.100000000000001" customHeight="1" x14ac:dyDescent="0.35">
      <c r="A87" s="318" t="s">
        <v>34</v>
      </c>
      <c r="B87" s="318"/>
      <c r="C87" s="318"/>
      <c r="D87" s="2"/>
      <c r="F87" s="4"/>
      <c r="G87" s="4"/>
      <c r="H87" s="4" t="s">
        <v>21</v>
      </c>
      <c r="I87" s="40">
        <f>I3+1</f>
        <v>2</v>
      </c>
    </row>
    <row r="88" spans="1:9" s="3" customFormat="1" ht="20.100000000000001" customHeight="1" x14ac:dyDescent="0.35">
      <c r="A88" s="311" t="s">
        <v>77</v>
      </c>
      <c r="B88" s="311"/>
      <c r="C88" s="311"/>
      <c r="D88" s="2"/>
      <c r="E88" s="39" t="s">
        <v>81</v>
      </c>
      <c r="F88" s="308">
        <f>F4</f>
        <v>46107</v>
      </c>
      <c r="G88" s="308"/>
      <c r="H88" s="39" t="s">
        <v>82</v>
      </c>
      <c r="I88" s="34">
        <f>I4</f>
        <v>46136</v>
      </c>
    </row>
    <row r="89" spans="1:9" x14ac:dyDescent="0.2">
      <c r="A89" s="12" t="s">
        <v>23</v>
      </c>
      <c r="B89" s="13" t="s">
        <v>11</v>
      </c>
      <c r="C89" s="72" t="s">
        <v>26</v>
      </c>
      <c r="D89" s="12" t="s">
        <v>16</v>
      </c>
      <c r="E89" s="12" t="s">
        <v>17</v>
      </c>
      <c r="F89" s="310" t="s">
        <v>46</v>
      </c>
      <c r="G89" s="310"/>
      <c r="H89" s="310"/>
      <c r="I89" s="12" t="s">
        <v>19</v>
      </c>
    </row>
    <row r="90" spans="1:9" x14ac:dyDescent="0.2">
      <c r="A90" s="15"/>
      <c r="B90" s="16"/>
      <c r="C90" s="73"/>
      <c r="D90" s="15"/>
      <c r="E90" s="15"/>
      <c r="F90" s="21" t="s">
        <v>113</v>
      </c>
      <c r="G90" s="21" t="s">
        <v>114</v>
      </c>
      <c r="H90" s="21" t="s">
        <v>20</v>
      </c>
      <c r="I90" s="15"/>
    </row>
    <row r="91" spans="1:9" hidden="1" x14ac:dyDescent="0.2">
      <c r="A91" s="8" t="s">
        <v>0</v>
      </c>
      <c r="B91" s="5">
        <f>B73+1</f>
        <v>46114</v>
      </c>
      <c r="C91" s="74"/>
      <c r="D91" s="6"/>
      <c r="E91" s="6"/>
      <c r="F91" s="6"/>
      <c r="G91" s="6"/>
      <c r="H91" s="6"/>
      <c r="I91" s="6"/>
    </row>
    <row r="92" spans="1:9" hidden="1" x14ac:dyDescent="0.2">
      <c r="A92" s="8" t="s">
        <v>1</v>
      </c>
      <c r="B92" s="5"/>
      <c r="C92" s="74"/>
      <c r="D92" s="6"/>
      <c r="E92" s="6"/>
      <c r="F92" s="6"/>
      <c r="G92" s="6"/>
      <c r="H92" s="6"/>
      <c r="I92" s="6"/>
    </row>
    <row r="93" spans="1:9" hidden="1" x14ac:dyDescent="0.2">
      <c r="A93" s="8" t="s">
        <v>2</v>
      </c>
      <c r="B93" s="5"/>
      <c r="C93" s="74"/>
      <c r="D93" s="6"/>
      <c r="E93" s="6"/>
      <c r="F93" s="6"/>
      <c r="G93" s="6"/>
      <c r="H93" s="6"/>
      <c r="I93" s="6"/>
    </row>
    <row r="94" spans="1:9" hidden="1" x14ac:dyDescent="0.2">
      <c r="A94" s="8" t="s">
        <v>3</v>
      </c>
      <c r="B94" s="5"/>
      <c r="C94" s="74"/>
      <c r="D94" s="6"/>
      <c r="E94" s="6"/>
      <c r="F94" s="6"/>
      <c r="G94" s="6"/>
      <c r="H94" s="6"/>
      <c r="I94" s="6"/>
    </row>
    <row r="95" spans="1:9" hidden="1" x14ac:dyDescent="0.2">
      <c r="A95" s="8" t="s">
        <v>4</v>
      </c>
      <c r="B95" s="5"/>
      <c r="C95" s="74"/>
      <c r="D95" s="6"/>
      <c r="E95" s="6"/>
      <c r="F95" s="6"/>
      <c r="G95" s="6"/>
      <c r="H95" s="6"/>
      <c r="I95" s="6"/>
    </row>
    <row r="96" spans="1:9" hidden="1" x14ac:dyDescent="0.2">
      <c r="A96" s="8" t="s">
        <v>5</v>
      </c>
      <c r="B96" s="5"/>
      <c r="C96" s="74"/>
      <c r="D96" s="6"/>
      <c r="E96" s="6"/>
      <c r="F96" s="6"/>
      <c r="G96" s="6"/>
      <c r="H96" s="6"/>
      <c r="I96" s="6"/>
    </row>
    <row r="97" spans="1:9" hidden="1" x14ac:dyDescent="0.2">
      <c r="A97" s="8" t="s">
        <v>6</v>
      </c>
      <c r="B97" s="5"/>
      <c r="C97" s="74"/>
      <c r="D97" s="6"/>
      <c r="E97" s="6"/>
      <c r="F97" s="6"/>
      <c r="G97" s="6"/>
      <c r="H97" s="6"/>
      <c r="I97" s="6"/>
    </row>
    <row r="98" spans="1:9" hidden="1" x14ac:dyDescent="0.2">
      <c r="A98" s="8" t="s">
        <v>7</v>
      </c>
      <c r="B98" s="5"/>
      <c r="C98" s="74"/>
      <c r="D98" s="6"/>
      <c r="E98" s="6"/>
      <c r="F98" s="6"/>
      <c r="G98" s="6"/>
      <c r="H98" s="6"/>
      <c r="I98" s="6"/>
    </row>
    <row r="99" spans="1:9" hidden="1" x14ac:dyDescent="0.2">
      <c r="A99" s="8" t="s">
        <v>8</v>
      </c>
      <c r="B99" s="5"/>
      <c r="C99" s="74"/>
      <c r="D99" s="6"/>
      <c r="E99" s="6"/>
      <c r="F99" s="6"/>
      <c r="G99" s="6"/>
      <c r="H99" s="6"/>
      <c r="I99" s="6"/>
    </row>
    <row r="100" spans="1:9" hidden="1" x14ac:dyDescent="0.2">
      <c r="A100" s="8" t="s">
        <v>9</v>
      </c>
      <c r="B100" s="5"/>
      <c r="C100" s="74"/>
      <c r="D100" s="6"/>
      <c r="E100" s="6"/>
      <c r="F100" s="6"/>
      <c r="G100" s="6"/>
      <c r="H100" s="6"/>
      <c r="I100" s="6"/>
    </row>
    <row r="101" spans="1:9" hidden="1" x14ac:dyDescent="0.2">
      <c r="A101" s="312" t="s">
        <v>10</v>
      </c>
      <c r="B101" s="313"/>
      <c r="C101" s="313"/>
      <c r="D101" s="313"/>
      <c r="E101" s="314"/>
      <c r="F101" s="11">
        <f>SUM(F91:F100)</f>
        <v>0</v>
      </c>
      <c r="G101" s="11">
        <f>SUM(G91:G100)</f>
        <v>0</v>
      </c>
      <c r="H101" s="11">
        <f>SUM(H91:H100)</f>
        <v>0</v>
      </c>
      <c r="I101" s="11"/>
    </row>
    <row r="102" spans="1:9" x14ac:dyDescent="0.2">
      <c r="A102" s="8" t="s">
        <v>0</v>
      </c>
      <c r="B102" s="5">
        <f>B91+1</f>
        <v>46115</v>
      </c>
      <c r="C102" s="74" t="s">
        <v>757</v>
      </c>
      <c r="D102" s="6" t="s">
        <v>178</v>
      </c>
      <c r="E102" s="6" t="s">
        <v>165</v>
      </c>
      <c r="F102" s="6">
        <v>1</v>
      </c>
      <c r="G102" s="6"/>
      <c r="H102" s="6">
        <v>5</v>
      </c>
      <c r="I102" s="6"/>
    </row>
    <row r="103" spans="1:9" x14ac:dyDescent="0.2">
      <c r="A103" s="8" t="s">
        <v>1</v>
      </c>
      <c r="B103" s="5"/>
      <c r="C103" s="74" t="s">
        <v>758</v>
      </c>
      <c r="D103" s="6" t="s">
        <v>759</v>
      </c>
      <c r="E103" s="6" t="s">
        <v>190</v>
      </c>
      <c r="F103" s="6">
        <v>1</v>
      </c>
      <c r="G103" s="6"/>
      <c r="H103" s="6">
        <v>3</v>
      </c>
      <c r="I103" s="6"/>
    </row>
    <row r="104" spans="1:9" x14ac:dyDescent="0.2">
      <c r="A104" s="8" t="s">
        <v>2</v>
      </c>
      <c r="B104" s="5"/>
      <c r="C104" s="74" t="s">
        <v>727</v>
      </c>
      <c r="D104" s="6" t="s">
        <v>170</v>
      </c>
      <c r="E104" s="6" t="s">
        <v>171</v>
      </c>
      <c r="F104" s="6">
        <v>1</v>
      </c>
      <c r="G104" s="6"/>
      <c r="H104" s="6">
        <v>6</v>
      </c>
      <c r="I104" s="6"/>
    </row>
    <row r="105" spans="1:9" x14ac:dyDescent="0.2">
      <c r="A105" s="8" t="s">
        <v>3</v>
      </c>
      <c r="B105" s="5"/>
      <c r="C105" s="74" t="s">
        <v>751</v>
      </c>
      <c r="D105" s="6" t="s">
        <v>170</v>
      </c>
      <c r="E105" s="6" t="s">
        <v>171</v>
      </c>
      <c r="F105" s="6">
        <v>1</v>
      </c>
      <c r="G105" s="6"/>
      <c r="H105" s="6">
        <v>6</v>
      </c>
      <c r="I105" s="6"/>
    </row>
    <row r="106" spans="1:9" x14ac:dyDescent="0.2">
      <c r="A106" s="8" t="s">
        <v>4</v>
      </c>
      <c r="B106" s="5"/>
      <c r="C106" s="74" t="s">
        <v>760</v>
      </c>
      <c r="D106" s="6" t="s">
        <v>170</v>
      </c>
      <c r="E106" s="6" t="s">
        <v>171</v>
      </c>
      <c r="F106" s="6">
        <v>1</v>
      </c>
      <c r="G106" s="6"/>
      <c r="H106" s="6">
        <v>6</v>
      </c>
      <c r="I106" s="6"/>
    </row>
    <row r="107" spans="1:9" x14ac:dyDescent="0.2">
      <c r="A107" s="8" t="s">
        <v>5</v>
      </c>
      <c r="B107" s="5"/>
      <c r="C107" s="74" t="s">
        <v>761</v>
      </c>
      <c r="D107" s="6" t="s">
        <v>170</v>
      </c>
      <c r="E107" s="6" t="s">
        <v>171</v>
      </c>
      <c r="F107" s="6">
        <v>1</v>
      </c>
      <c r="G107" s="6"/>
      <c r="H107" s="6">
        <v>6</v>
      </c>
      <c r="I107" s="6"/>
    </row>
    <row r="108" spans="1:9" x14ac:dyDescent="0.2">
      <c r="A108" s="8" t="s">
        <v>6</v>
      </c>
      <c r="B108" s="5"/>
      <c r="C108" s="74" t="s">
        <v>762</v>
      </c>
      <c r="D108" s="6" t="s">
        <v>170</v>
      </c>
      <c r="E108" s="6" t="s">
        <v>171</v>
      </c>
      <c r="F108" s="6"/>
      <c r="G108" s="6">
        <v>1</v>
      </c>
      <c r="H108" s="6">
        <v>6</v>
      </c>
      <c r="I108" s="6"/>
    </row>
    <row r="109" spans="1:9" x14ac:dyDescent="0.2">
      <c r="A109" s="8" t="s">
        <v>7</v>
      </c>
      <c r="B109" s="5"/>
      <c r="C109" s="74" t="s">
        <v>763</v>
      </c>
      <c r="D109" s="6" t="s">
        <v>170</v>
      </c>
      <c r="E109" s="6" t="s">
        <v>171</v>
      </c>
      <c r="F109" s="6"/>
      <c r="G109" s="6">
        <v>1</v>
      </c>
      <c r="H109" s="6">
        <v>6</v>
      </c>
      <c r="I109" s="6"/>
    </row>
    <row r="110" spans="1:9" hidden="1" x14ac:dyDescent="0.2">
      <c r="A110" s="8" t="s">
        <v>8</v>
      </c>
      <c r="B110" s="5"/>
      <c r="C110" s="74"/>
      <c r="D110" s="6"/>
      <c r="E110" s="6"/>
      <c r="F110" s="6"/>
      <c r="G110" s="6"/>
      <c r="H110" s="6"/>
      <c r="I110" s="6"/>
    </row>
    <row r="111" spans="1:9" hidden="1" x14ac:dyDescent="0.2">
      <c r="A111" s="8" t="s">
        <v>9</v>
      </c>
      <c r="B111" s="5"/>
      <c r="C111" s="74"/>
      <c r="D111" s="6"/>
      <c r="E111" s="6"/>
      <c r="F111" s="6"/>
      <c r="G111" s="6"/>
      <c r="H111" s="6"/>
      <c r="I111" s="6"/>
    </row>
    <row r="112" spans="1:9" x14ac:dyDescent="0.2">
      <c r="A112" s="312" t="s">
        <v>10</v>
      </c>
      <c r="B112" s="313"/>
      <c r="C112" s="313"/>
      <c r="D112" s="313"/>
      <c r="E112" s="314"/>
      <c r="F112" s="11">
        <f>SUM(F102:F111)</f>
        <v>6</v>
      </c>
      <c r="G112" s="11">
        <f>SUM(G102:G111)</f>
        <v>2</v>
      </c>
      <c r="H112" s="11">
        <f>SUM(H102:H111)</f>
        <v>44</v>
      </c>
      <c r="I112" s="11"/>
    </row>
    <row r="113" spans="1:9" x14ac:dyDescent="0.2">
      <c r="A113" s="8" t="s">
        <v>0</v>
      </c>
      <c r="B113" s="5">
        <f>B102+1</f>
        <v>46116</v>
      </c>
      <c r="C113" s="74" t="s">
        <v>834</v>
      </c>
      <c r="D113" s="6" t="s">
        <v>334</v>
      </c>
      <c r="E113" s="6" t="s">
        <v>168</v>
      </c>
      <c r="F113" s="6">
        <v>1</v>
      </c>
      <c r="G113" s="6"/>
      <c r="H113" s="6">
        <v>4</v>
      </c>
      <c r="I113" s="6"/>
    </row>
    <row r="114" spans="1:9" x14ac:dyDescent="0.2">
      <c r="A114" s="8" t="s">
        <v>1</v>
      </c>
      <c r="B114" s="5"/>
      <c r="C114" s="74" t="s">
        <v>835</v>
      </c>
      <c r="D114" s="6" t="s">
        <v>188</v>
      </c>
      <c r="E114" s="6" t="s">
        <v>165</v>
      </c>
      <c r="F114" s="6">
        <v>1</v>
      </c>
      <c r="G114" s="6"/>
      <c r="H114" s="6">
        <v>6</v>
      </c>
      <c r="I114" s="6"/>
    </row>
    <row r="115" spans="1:9" x14ac:dyDescent="0.2">
      <c r="A115" s="8" t="s">
        <v>2</v>
      </c>
      <c r="B115" s="5"/>
      <c r="C115" s="74" t="s">
        <v>816</v>
      </c>
      <c r="D115" s="6" t="s">
        <v>170</v>
      </c>
      <c r="E115" s="6" t="s">
        <v>174</v>
      </c>
      <c r="F115" s="6">
        <v>1</v>
      </c>
      <c r="G115" s="6"/>
      <c r="H115" s="6">
        <v>5</v>
      </c>
      <c r="I115" s="6"/>
    </row>
    <row r="116" spans="1:9" hidden="1" x14ac:dyDescent="0.2">
      <c r="A116" s="8" t="s">
        <v>3</v>
      </c>
      <c r="B116" s="5"/>
      <c r="C116" s="74"/>
      <c r="D116" s="6"/>
      <c r="E116" s="6"/>
      <c r="F116" s="6"/>
      <c r="G116" s="6"/>
      <c r="H116" s="6"/>
      <c r="I116" s="6"/>
    </row>
    <row r="117" spans="1:9" hidden="1" x14ac:dyDescent="0.2">
      <c r="A117" s="8" t="s">
        <v>4</v>
      </c>
      <c r="B117" s="5"/>
      <c r="C117" s="74"/>
      <c r="D117" s="6"/>
      <c r="E117" s="6"/>
      <c r="F117" s="6"/>
      <c r="G117" s="6"/>
      <c r="H117" s="6"/>
      <c r="I117" s="6"/>
    </row>
    <row r="118" spans="1:9" hidden="1" x14ac:dyDescent="0.2">
      <c r="A118" s="8" t="s">
        <v>5</v>
      </c>
      <c r="B118" s="5"/>
      <c r="C118" s="74"/>
      <c r="D118" s="6"/>
      <c r="E118" s="6"/>
      <c r="F118" s="6"/>
      <c r="G118" s="6"/>
      <c r="H118" s="6"/>
      <c r="I118" s="6"/>
    </row>
    <row r="119" spans="1:9" hidden="1" x14ac:dyDescent="0.2">
      <c r="A119" s="8" t="s">
        <v>6</v>
      </c>
      <c r="B119" s="5"/>
      <c r="C119" s="74"/>
      <c r="D119" s="6"/>
      <c r="E119" s="6"/>
      <c r="F119" s="6"/>
      <c r="G119" s="6"/>
      <c r="H119" s="6"/>
      <c r="I119" s="6"/>
    </row>
    <row r="120" spans="1:9" hidden="1" x14ac:dyDescent="0.2">
      <c r="A120" s="8" t="s">
        <v>7</v>
      </c>
      <c r="B120" s="5"/>
      <c r="C120" s="74"/>
      <c r="D120" s="6"/>
      <c r="E120" s="6"/>
      <c r="F120" s="6"/>
      <c r="G120" s="6"/>
      <c r="H120" s="6"/>
      <c r="I120" s="6"/>
    </row>
    <row r="121" spans="1:9" hidden="1" x14ac:dyDescent="0.2">
      <c r="A121" s="8" t="s">
        <v>8</v>
      </c>
      <c r="B121" s="5"/>
      <c r="C121" s="74"/>
      <c r="D121" s="6"/>
      <c r="E121" s="6"/>
      <c r="F121" s="6"/>
      <c r="G121" s="6"/>
      <c r="H121" s="6"/>
      <c r="I121" s="6"/>
    </row>
    <row r="122" spans="1:9" hidden="1" x14ac:dyDescent="0.2">
      <c r="A122" s="8" t="s">
        <v>9</v>
      </c>
      <c r="B122" s="5"/>
      <c r="C122" s="74"/>
      <c r="D122" s="6"/>
      <c r="E122" s="6"/>
      <c r="F122" s="6"/>
      <c r="G122" s="6"/>
      <c r="H122" s="6"/>
      <c r="I122" s="6"/>
    </row>
    <row r="123" spans="1:9" x14ac:dyDescent="0.2">
      <c r="A123" s="312" t="s">
        <v>10</v>
      </c>
      <c r="B123" s="313"/>
      <c r="C123" s="313"/>
      <c r="D123" s="313"/>
      <c r="E123" s="314"/>
      <c r="F123" s="11">
        <f>SUM(F113:F122)</f>
        <v>3</v>
      </c>
      <c r="G123" s="11">
        <f>SUM(G113:G122)</f>
        <v>0</v>
      </c>
      <c r="H123" s="11">
        <f>SUM(H113:H122)</f>
        <v>15</v>
      </c>
      <c r="I123" s="11"/>
    </row>
    <row r="124" spans="1:9" x14ac:dyDescent="0.2">
      <c r="A124" s="8" t="s">
        <v>0</v>
      </c>
      <c r="B124" s="5">
        <f>B113+1</f>
        <v>46117</v>
      </c>
      <c r="C124" s="75" t="s">
        <v>881</v>
      </c>
      <c r="D124" s="6" t="s">
        <v>342</v>
      </c>
      <c r="E124" s="6" t="s">
        <v>165</v>
      </c>
      <c r="F124" s="6">
        <v>1</v>
      </c>
      <c r="G124" s="6"/>
      <c r="H124" s="6">
        <v>6</v>
      </c>
      <c r="I124" s="6"/>
    </row>
    <row r="125" spans="1:9" x14ac:dyDescent="0.2">
      <c r="A125" s="8" t="s">
        <v>1</v>
      </c>
      <c r="B125" s="5"/>
      <c r="C125" s="75" t="s">
        <v>882</v>
      </c>
      <c r="D125" s="6" t="s">
        <v>211</v>
      </c>
      <c r="E125" s="6" t="s">
        <v>222</v>
      </c>
      <c r="F125" s="6">
        <v>1</v>
      </c>
      <c r="G125" s="6"/>
      <c r="H125" s="6">
        <v>5</v>
      </c>
      <c r="I125" s="6"/>
    </row>
    <row r="126" spans="1:9" x14ac:dyDescent="0.2">
      <c r="A126" s="8" t="s">
        <v>2</v>
      </c>
      <c r="B126" s="5"/>
      <c r="C126" s="75" t="s">
        <v>883</v>
      </c>
      <c r="D126" s="6" t="s">
        <v>188</v>
      </c>
      <c r="E126" s="6" t="s">
        <v>190</v>
      </c>
      <c r="F126" s="6">
        <v>1</v>
      </c>
      <c r="G126" s="6"/>
      <c r="H126" s="6">
        <v>6</v>
      </c>
      <c r="I126" s="6"/>
    </row>
    <row r="127" spans="1:9" x14ac:dyDescent="0.2">
      <c r="A127" s="8" t="s">
        <v>3</v>
      </c>
      <c r="B127" s="5"/>
      <c r="C127" s="75" t="s">
        <v>884</v>
      </c>
      <c r="D127" s="6" t="s">
        <v>170</v>
      </c>
      <c r="E127" s="6" t="s">
        <v>171</v>
      </c>
      <c r="F127" s="6">
        <v>1</v>
      </c>
      <c r="G127" s="6"/>
      <c r="H127" s="6">
        <v>6</v>
      </c>
      <c r="I127" s="6"/>
    </row>
    <row r="128" spans="1:9" x14ac:dyDescent="0.2">
      <c r="A128" s="8" t="s">
        <v>4</v>
      </c>
      <c r="B128" s="5"/>
      <c r="C128" s="75" t="s">
        <v>885</v>
      </c>
      <c r="D128" s="6" t="s">
        <v>170</v>
      </c>
      <c r="E128" s="6" t="s">
        <v>171</v>
      </c>
      <c r="F128" s="6"/>
      <c r="G128" s="6">
        <v>1</v>
      </c>
      <c r="H128" s="6">
        <v>6</v>
      </c>
      <c r="I128" s="6"/>
    </row>
    <row r="129" spans="1:9" hidden="1" x14ac:dyDescent="0.2">
      <c r="A129" s="8" t="s">
        <v>5</v>
      </c>
      <c r="B129" s="5"/>
      <c r="C129" s="75"/>
      <c r="D129" s="6"/>
      <c r="E129" s="6"/>
      <c r="F129" s="6"/>
      <c r="G129" s="6"/>
      <c r="H129" s="6"/>
      <c r="I129" s="6"/>
    </row>
    <row r="130" spans="1:9" hidden="1" x14ac:dyDescent="0.2">
      <c r="A130" s="8" t="s">
        <v>6</v>
      </c>
      <c r="B130" s="5"/>
      <c r="C130" s="75"/>
      <c r="D130" s="6"/>
      <c r="E130" s="6"/>
      <c r="F130" s="6"/>
      <c r="G130" s="6"/>
      <c r="H130" s="6"/>
      <c r="I130" s="6"/>
    </row>
    <row r="131" spans="1:9" hidden="1" x14ac:dyDescent="0.2">
      <c r="A131" s="8" t="s">
        <v>7</v>
      </c>
      <c r="B131" s="5"/>
      <c r="C131" s="74"/>
      <c r="D131" s="6"/>
      <c r="E131" s="6"/>
      <c r="F131" s="6"/>
      <c r="G131" s="6"/>
      <c r="H131" s="6"/>
      <c r="I131" s="6"/>
    </row>
    <row r="132" spans="1:9" hidden="1" x14ac:dyDescent="0.2">
      <c r="A132" s="8" t="s">
        <v>8</v>
      </c>
      <c r="B132" s="5"/>
      <c r="C132" s="74"/>
      <c r="D132" s="6"/>
      <c r="E132" s="6"/>
      <c r="F132" s="6"/>
      <c r="G132" s="6"/>
      <c r="H132" s="6"/>
      <c r="I132" s="6"/>
    </row>
    <row r="133" spans="1:9" hidden="1" x14ac:dyDescent="0.2">
      <c r="A133" s="8" t="s">
        <v>9</v>
      </c>
      <c r="B133" s="5"/>
      <c r="C133" s="74"/>
      <c r="D133" s="6"/>
      <c r="E133" s="6"/>
      <c r="F133" s="6"/>
      <c r="G133" s="6"/>
      <c r="H133" s="6"/>
      <c r="I133" s="6"/>
    </row>
    <row r="134" spans="1:9" x14ac:dyDescent="0.2">
      <c r="A134" s="312" t="s">
        <v>10</v>
      </c>
      <c r="B134" s="313"/>
      <c r="C134" s="313"/>
      <c r="D134" s="313"/>
      <c r="E134" s="314"/>
      <c r="F134" s="11">
        <f>SUM(F124:F133)</f>
        <v>4</v>
      </c>
      <c r="G134" s="11">
        <f>SUM(G124:G133)</f>
        <v>1</v>
      </c>
      <c r="H134" s="11">
        <f>SUM(H124:H133)</f>
        <v>29</v>
      </c>
      <c r="I134" s="11"/>
    </row>
    <row r="135" spans="1:9" x14ac:dyDescent="0.2">
      <c r="A135" s="8" t="s">
        <v>0</v>
      </c>
      <c r="B135" s="5">
        <f>B124+1</f>
        <v>46118</v>
      </c>
      <c r="C135" s="75" t="s">
        <v>959</v>
      </c>
      <c r="D135" s="6" t="s">
        <v>342</v>
      </c>
      <c r="E135" s="6" t="s">
        <v>165</v>
      </c>
      <c r="F135" s="6">
        <v>1</v>
      </c>
      <c r="G135" s="6"/>
      <c r="H135" s="6">
        <v>6</v>
      </c>
      <c r="I135" s="6"/>
    </row>
    <row r="136" spans="1:9" x14ac:dyDescent="0.2">
      <c r="A136" s="8" t="s">
        <v>1</v>
      </c>
      <c r="B136" s="5"/>
      <c r="C136" s="75" t="s">
        <v>960</v>
      </c>
      <c r="D136" s="6" t="s">
        <v>242</v>
      </c>
      <c r="E136" s="6" t="s">
        <v>171</v>
      </c>
      <c r="F136" s="6">
        <v>1</v>
      </c>
      <c r="G136" s="6"/>
      <c r="H136" s="6">
        <v>6</v>
      </c>
      <c r="I136" s="6"/>
    </row>
    <row r="137" spans="1:9" x14ac:dyDescent="0.2">
      <c r="A137" s="8" t="s">
        <v>2</v>
      </c>
      <c r="B137" s="5"/>
      <c r="C137" s="75" t="s">
        <v>961</v>
      </c>
      <c r="D137" s="6" t="s">
        <v>242</v>
      </c>
      <c r="E137" s="6" t="s">
        <v>171</v>
      </c>
      <c r="F137" s="6">
        <v>1</v>
      </c>
      <c r="G137" s="6"/>
      <c r="H137" s="6">
        <v>6</v>
      </c>
      <c r="I137" s="6"/>
    </row>
    <row r="138" spans="1:9" x14ac:dyDescent="0.2">
      <c r="A138" s="8" t="s">
        <v>3</v>
      </c>
      <c r="B138" s="5"/>
      <c r="C138" s="75" t="s">
        <v>962</v>
      </c>
      <c r="D138" s="6" t="s">
        <v>170</v>
      </c>
      <c r="E138" s="6" t="s">
        <v>171</v>
      </c>
      <c r="F138" s="6">
        <v>1</v>
      </c>
      <c r="G138" s="6"/>
      <c r="H138" s="6">
        <v>6</v>
      </c>
      <c r="I138" s="6"/>
    </row>
    <row r="139" spans="1:9" x14ac:dyDescent="0.2">
      <c r="A139" s="8" t="s">
        <v>4</v>
      </c>
      <c r="B139" s="5"/>
      <c r="C139" s="75" t="s">
        <v>963</v>
      </c>
      <c r="D139" s="6" t="s">
        <v>170</v>
      </c>
      <c r="E139" s="6" t="s">
        <v>171</v>
      </c>
      <c r="F139" s="6"/>
      <c r="G139" s="6">
        <v>1</v>
      </c>
      <c r="H139" s="6">
        <v>6</v>
      </c>
      <c r="I139" s="6"/>
    </row>
    <row r="140" spans="1:9" x14ac:dyDescent="0.2">
      <c r="A140" s="8" t="s">
        <v>5</v>
      </c>
      <c r="B140" s="5"/>
      <c r="C140" s="75" t="s">
        <v>964</v>
      </c>
      <c r="D140" s="6" t="s">
        <v>170</v>
      </c>
      <c r="E140" s="6" t="s">
        <v>171</v>
      </c>
      <c r="F140" s="6"/>
      <c r="G140" s="6">
        <v>1</v>
      </c>
      <c r="H140" s="6">
        <v>6</v>
      </c>
      <c r="I140" s="6"/>
    </row>
    <row r="141" spans="1:9" x14ac:dyDescent="0.2">
      <c r="A141" s="8" t="s">
        <v>6</v>
      </c>
      <c r="B141" s="5"/>
      <c r="C141" s="74" t="s">
        <v>965</v>
      </c>
      <c r="D141" s="6" t="s">
        <v>170</v>
      </c>
      <c r="E141" s="6" t="s">
        <v>171</v>
      </c>
      <c r="F141" s="6"/>
      <c r="G141" s="6">
        <v>1</v>
      </c>
      <c r="H141" s="6">
        <v>6</v>
      </c>
      <c r="I141" s="6"/>
    </row>
    <row r="142" spans="1:9" hidden="1" x14ac:dyDescent="0.2">
      <c r="A142" s="8" t="s">
        <v>7</v>
      </c>
      <c r="B142" s="5"/>
      <c r="C142" s="74"/>
      <c r="D142" s="6"/>
      <c r="E142" s="6"/>
      <c r="F142" s="6"/>
      <c r="G142" s="6"/>
      <c r="H142" s="6"/>
      <c r="I142" s="6"/>
    </row>
    <row r="143" spans="1:9" hidden="1" x14ac:dyDescent="0.2">
      <c r="A143" s="8" t="s">
        <v>8</v>
      </c>
      <c r="B143" s="5"/>
      <c r="C143" s="74"/>
      <c r="D143" s="6"/>
      <c r="E143" s="6"/>
      <c r="F143" s="6"/>
      <c r="G143" s="6"/>
      <c r="H143" s="6"/>
      <c r="I143" s="6"/>
    </row>
    <row r="144" spans="1:9" hidden="1" x14ac:dyDescent="0.2">
      <c r="A144" s="8" t="s">
        <v>9</v>
      </c>
      <c r="B144" s="5"/>
      <c r="C144" s="74"/>
      <c r="D144" s="6"/>
      <c r="E144" s="6"/>
      <c r="F144" s="6"/>
      <c r="G144" s="6"/>
      <c r="H144" s="6"/>
      <c r="I144" s="6"/>
    </row>
    <row r="145" spans="1:9" x14ac:dyDescent="0.2">
      <c r="A145" s="312" t="s">
        <v>10</v>
      </c>
      <c r="B145" s="313"/>
      <c r="C145" s="313"/>
      <c r="D145" s="313"/>
      <c r="E145" s="314"/>
      <c r="F145" s="11">
        <f>SUM(F135:F144)</f>
        <v>4</v>
      </c>
      <c r="G145" s="11">
        <f>SUM(G135:G144)</f>
        <v>3</v>
      </c>
      <c r="H145" s="11">
        <f>SUM(H135:H144)</f>
        <v>42</v>
      </c>
      <c r="I145" s="11"/>
    </row>
    <row r="146" spans="1:9" x14ac:dyDescent="0.2">
      <c r="A146" s="8" t="s">
        <v>0</v>
      </c>
      <c r="B146" s="5">
        <f>B135+1</f>
        <v>46119</v>
      </c>
      <c r="C146" s="75" t="s">
        <v>1028</v>
      </c>
      <c r="D146" s="6" t="s">
        <v>173</v>
      </c>
      <c r="E146" s="6" t="s">
        <v>441</v>
      </c>
      <c r="F146" s="6">
        <v>1</v>
      </c>
      <c r="G146" s="6"/>
      <c r="H146" s="6">
        <v>6</v>
      </c>
      <c r="I146" s="6"/>
    </row>
    <row r="147" spans="1:9" x14ac:dyDescent="0.2">
      <c r="A147" s="8" t="s">
        <v>1</v>
      </c>
      <c r="B147" s="5"/>
      <c r="C147" s="75" t="s">
        <v>1029</v>
      </c>
      <c r="D147" s="6" t="s">
        <v>211</v>
      </c>
      <c r="E147" s="6" t="s">
        <v>171</v>
      </c>
      <c r="F147" s="6">
        <v>1</v>
      </c>
      <c r="G147" s="6"/>
      <c r="H147" s="6">
        <v>6</v>
      </c>
      <c r="I147" s="6"/>
    </row>
    <row r="148" spans="1:9" x14ac:dyDescent="0.2">
      <c r="A148" s="8" t="s">
        <v>2</v>
      </c>
      <c r="B148" s="5"/>
      <c r="C148" s="75" t="s">
        <v>1030</v>
      </c>
      <c r="D148" s="6" t="s">
        <v>211</v>
      </c>
      <c r="E148" s="6" t="s">
        <v>171</v>
      </c>
      <c r="F148" s="6">
        <v>1</v>
      </c>
      <c r="G148" s="6"/>
      <c r="H148" s="6">
        <v>6</v>
      </c>
      <c r="I148" s="6"/>
    </row>
    <row r="149" spans="1:9" x14ac:dyDescent="0.2">
      <c r="A149" s="8" t="s">
        <v>3</v>
      </c>
      <c r="B149" s="5"/>
      <c r="C149" s="75" t="s">
        <v>1031</v>
      </c>
      <c r="D149" s="6" t="s">
        <v>332</v>
      </c>
      <c r="E149" s="6" t="s">
        <v>216</v>
      </c>
      <c r="F149" s="6">
        <v>1</v>
      </c>
      <c r="G149" s="6"/>
      <c r="H149" s="6">
        <v>4</v>
      </c>
      <c r="I149" s="6"/>
    </row>
    <row r="150" spans="1:9" x14ac:dyDescent="0.2">
      <c r="A150" s="8" t="s">
        <v>4</v>
      </c>
      <c r="B150" s="5"/>
      <c r="C150" s="75" t="s">
        <v>1032</v>
      </c>
      <c r="D150" s="6" t="s">
        <v>334</v>
      </c>
      <c r="E150" s="6" t="s">
        <v>168</v>
      </c>
      <c r="F150" s="6">
        <v>1</v>
      </c>
      <c r="G150" s="6"/>
      <c r="H150" s="6">
        <v>4</v>
      </c>
      <c r="I150" s="6"/>
    </row>
    <row r="151" spans="1:9" hidden="1" x14ac:dyDescent="0.2">
      <c r="A151" s="8" t="s">
        <v>5</v>
      </c>
      <c r="B151" s="5"/>
      <c r="C151" s="75"/>
      <c r="D151" s="6"/>
      <c r="E151" s="6"/>
      <c r="F151" s="6"/>
      <c r="G151" s="6"/>
      <c r="H151" s="6"/>
      <c r="I151" s="6"/>
    </row>
    <row r="152" spans="1:9" hidden="1" x14ac:dyDescent="0.2">
      <c r="A152" s="8" t="s">
        <v>6</v>
      </c>
      <c r="B152" s="5"/>
      <c r="C152" s="75"/>
      <c r="D152" s="6"/>
      <c r="E152" s="6"/>
      <c r="F152" s="6"/>
      <c r="G152" s="6"/>
      <c r="H152" s="6"/>
      <c r="I152" s="6"/>
    </row>
    <row r="153" spans="1:9" hidden="1" x14ac:dyDescent="0.2">
      <c r="A153" s="8" t="s">
        <v>7</v>
      </c>
      <c r="B153" s="5"/>
      <c r="C153" s="75"/>
      <c r="D153" s="6"/>
      <c r="E153" s="6"/>
      <c r="F153" s="6"/>
      <c r="G153" s="6"/>
      <c r="H153" s="6"/>
      <c r="I153" s="6"/>
    </row>
    <row r="154" spans="1:9" hidden="1" x14ac:dyDescent="0.2">
      <c r="A154" s="8" t="s">
        <v>8</v>
      </c>
      <c r="B154" s="5"/>
      <c r="C154" s="75"/>
      <c r="D154" s="6"/>
      <c r="E154" s="6"/>
      <c r="F154" s="6"/>
      <c r="G154" s="6"/>
      <c r="H154" s="6"/>
      <c r="I154" s="6"/>
    </row>
    <row r="155" spans="1:9" hidden="1" x14ac:dyDescent="0.2">
      <c r="A155" s="8" t="s">
        <v>9</v>
      </c>
      <c r="B155" s="5"/>
      <c r="C155" s="75"/>
      <c r="D155" s="6"/>
      <c r="E155" s="6"/>
      <c r="F155" s="6"/>
      <c r="G155" s="6"/>
      <c r="H155" s="6"/>
      <c r="I155" s="6"/>
    </row>
    <row r="156" spans="1:9" x14ac:dyDescent="0.2">
      <c r="A156" s="312" t="s">
        <v>10</v>
      </c>
      <c r="B156" s="313"/>
      <c r="C156" s="313"/>
      <c r="D156" s="313"/>
      <c r="E156" s="314"/>
      <c r="F156" s="11">
        <f>SUM(F146:F155)</f>
        <v>5</v>
      </c>
      <c r="G156" s="11">
        <f>SUM(G146:G155)</f>
        <v>0</v>
      </c>
      <c r="H156" s="11">
        <f>SUM(H146:H155)</f>
        <v>26</v>
      </c>
      <c r="I156" s="11"/>
    </row>
    <row r="157" spans="1:9" x14ac:dyDescent="0.2">
      <c r="A157" s="8" t="s">
        <v>0</v>
      </c>
      <c r="B157" s="5">
        <f>B146+1</f>
        <v>46120</v>
      </c>
      <c r="C157" s="74" t="s">
        <v>1083</v>
      </c>
      <c r="D157" s="6" t="s">
        <v>170</v>
      </c>
      <c r="E157" s="6" t="s">
        <v>165</v>
      </c>
      <c r="F157" s="6">
        <v>1</v>
      </c>
      <c r="G157" s="6"/>
      <c r="H157" s="6">
        <v>6</v>
      </c>
      <c r="I157" s="6"/>
    </row>
    <row r="158" spans="1:9" x14ac:dyDescent="0.2">
      <c r="A158" s="8" t="s">
        <v>1</v>
      </c>
      <c r="B158" s="5"/>
      <c r="C158" s="74" t="s">
        <v>1087</v>
      </c>
      <c r="D158" s="6" t="s">
        <v>170</v>
      </c>
      <c r="E158" s="6" t="s">
        <v>165</v>
      </c>
      <c r="F158" s="6">
        <v>1</v>
      </c>
      <c r="G158" s="6"/>
      <c r="H158" s="6">
        <v>6</v>
      </c>
      <c r="I158" s="6"/>
    </row>
    <row r="159" spans="1:9" x14ac:dyDescent="0.2">
      <c r="A159" s="8" t="s">
        <v>2</v>
      </c>
      <c r="B159" s="5"/>
      <c r="C159" s="74" t="s">
        <v>1088</v>
      </c>
      <c r="D159" s="6" t="s">
        <v>170</v>
      </c>
      <c r="E159" s="6" t="s">
        <v>165</v>
      </c>
      <c r="F159" s="6">
        <v>1</v>
      </c>
      <c r="G159" s="6"/>
      <c r="H159" s="6">
        <v>6</v>
      </c>
      <c r="I159" s="6"/>
    </row>
    <row r="160" spans="1:9" x14ac:dyDescent="0.2">
      <c r="A160" s="8" t="s">
        <v>3</v>
      </c>
      <c r="B160" s="5"/>
      <c r="C160" s="74" t="s">
        <v>1089</v>
      </c>
      <c r="D160" s="6" t="s">
        <v>364</v>
      </c>
      <c r="E160" s="6" t="s">
        <v>165</v>
      </c>
      <c r="F160" s="6">
        <v>1</v>
      </c>
      <c r="G160" s="6"/>
      <c r="H160" s="6">
        <v>6</v>
      </c>
      <c r="I160" s="6"/>
    </row>
    <row r="161" spans="1:12" x14ac:dyDescent="0.2">
      <c r="A161" s="8" t="s">
        <v>4</v>
      </c>
      <c r="B161" s="5"/>
      <c r="C161" s="74" t="s">
        <v>1090</v>
      </c>
      <c r="D161" s="6" t="s">
        <v>347</v>
      </c>
      <c r="E161" s="6" t="s">
        <v>190</v>
      </c>
      <c r="F161" s="6">
        <v>1</v>
      </c>
      <c r="G161" s="6"/>
      <c r="H161" s="6">
        <v>6</v>
      </c>
      <c r="I161" s="6"/>
    </row>
    <row r="162" spans="1:12" x14ac:dyDescent="0.2">
      <c r="A162" s="8" t="s">
        <v>5</v>
      </c>
      <c r="B162" s="5"/>
      <c r="C162" s="74" t="s">
        <v>1091</v>
      </c>
      <c r="D162" s="6" t="s">
        <v>211</v>
      </c>
      <c r="E162" s="6" t="s">
        <v>165</v>
      </c>
      <c r="F162" s="6">
        <v>1</v>
      </c>
      <c r="G162" s="6"/>
      <c r="H162" s="6">
        <v>6</v>
      </c>
      <c r="I162" s="6"/>
    </row>
    <row r="163" spans="1:12" hidden="1" x14ac:dyDescent="0.2">
      <c r="A163" s="8" t="s">
        <v>6</v>
      </c>
      <c r="B163" s="5"/>
      <c r="C163" s="74"/>
      <c r="D163" s="6"/>
      <c r="E163" s="6"/>
      <c r="F163" s="6"/>
      <c r="G163" s="6"/>
      <c r="H163" s="6"/>
      <c r="I163" s="6"/>
    </row>
    <row r="164" spans="1:12" hidden="1" x14ac:dyDescent="0.2">
      <c r="A164" s="8" t="s">
        <v>7</v>
      </c>
      <c r="B164" s="5"/>
      <c r="C164" s="74"/>
      <c r="D164" s="6"/>
      <c r="E164" s="6"/>
      <c r="F164" s="6"/>
      <c r="G164" s="6"/>
      <c r="H164" s="6"/>
      <c r="I164" s="6"/>
    </row>
    <row r="165" spans="1:12" hidden="1" x14ac:dyDescent="0.2">
      <c r="A165" s="8" t="s">
        <v>8</v>
      </c>
      <c r="B165" s="5"/>
      <c r="C165" s="74"/>
      <c r="D165" s="6"/>
      <c r="E165" s="6"/>
      <c r="F165" s="6"/>
      <c r="G165" s="6"/>
      <c r="H165" s="6"/>
      <c r="I165" s="6"/>
    </row>
    <row r="166" spans="1:12" hidden="1" x14ac:dyDescent="0.2">
      <c r="A166" s="8" t="s">
        <v>9</v>
      </c>
      <c r="B166" s="5"/>
      <c r="C166" s="74"/>
      <c r="D166" s="6"/>
      <c r="E166" s="6"/>
      <c r="F166" s="6"/>
      <c r="G166" s="6"/>
      <c r="H166" s="6"/>
      <c r="I166" s="6"/>
    </row>
    <row r="167" spans="1:12" x14ac:dyDescent="0.2">
      <c r="A167" s="312" t="s">
        <v>10</v>
      </c>
      <c r="B167" s="313"/>
      <c r="C167" s="313"/>
      <c r="D167" s="313"/>
      <c r="E167" s="314"/>
      <c r="F167" s="11">
        <f>SUM(F157:F166)</f>
        <v>6</v>
      </c>
      <c r="G167" s="11">
        <f>SUM(G157:G166)</f>
        <v>0</v>
      </c>
      <c r="H167" s="11">
        <f>SUM(H157:H166)</f>
        <v>36</v>
      </c>
      <c r="I167" s="11"/>
    </row>
    <row r="168" spans="1:12" s="25" customFormat="1" ht="18" x14ac:dyDescent="0.2">
      <c r="A168" s="315" t="s">
        <v>39</v>
      </c>
      <c r="B168" s="316"/>
      <c r="C168" s="316"/>
      <c r="D168" s="316"/>
      <c r="E168" s="317"/>
      <c r="F168" s="22">
        <f>F101+F112+F123+F134+F145+F156+F167+F84</f>
        <v>56</v>
      </c>
      <c r="G168" s="22">
        <f>G101+G112+G123+G134+G145+G156+G167+G84</f>
        <v>12</v>
      </c>
      <c r="H168" s="22">
        <f>H101+H112+H123+H134+H145+H156+H167+H84</f>
        <v>375</v>
      </c>
      <c r="I168" s="22"/>
    </row>
    <row r="169" spans="1:12" ht="21.95" customHeight="1" x14ac:dyDescent="0.2">
      <c r="A169" s="319" t="s">
        <v>14</v>
      </c>
      <c r="B169" s="319"/>
      <c r="C169" s="319"/>
      <c r="D169" s="319"/>
      <c r="E169" s="319"/>
      <c r="F169" s="319"/>
      <c r="G169" s="319"/>
      <c r="H169" s="319"/>
      <c r="I169" s="319"/>
    </row>
    <row r="170" spans="1:12" s="53" customFormat="1" ht="20.100000000000001" customHeight="1" x14ac:dyDescent="0.2">
      <c r="A170" s="323" t="s">
        <v>86</v>
      </c>
      <c r="B170" s="323"/>
      <c r="C170" s="323"/>
      <c r="D170" s="323"/>
      <c r="E170" s="323"/>
      <c r="F170" s="50" t="str">
        <f>F86</f>
        <v>เมษายน</v>
      </c>
      <c r="G170" s="50" t="s">
        <v>87</v>
      </c>
      <c r="H170" s="51">
        <f>H86</f>
        <v>2569</v>
      </c>
      <c r="I170" s="52"/>
      <c r="L170" s="55"/>
    </row>
    <row r="171" spans="1:12" s="3" customFormat="1" ht="20.100000000000001" customHeight="1" x14ac:dyDescent="0.35">
      <c r="A171" s="318" t="s">
        <v>34</v>
      </c>
      <c r="B171" s="318"/>
      <c r="C171" s="318"/>
      <c r="D171" s="2"/>
      <c r="F171" s="4"/>
      <c r="G171" s="4"/>
      <c r="H171" s="4" t="s">
        <v>21</v>
      </c>
      <c r="I171" s="40">
        <f>I87+1</f>
        <v>3</v>
      </c>
      <c r="L171" s="1"/>
    </row>
    <row r="172" spans="1:12" s="3" customFormat="1" ht="20.100000000000001" customHeight="1" x14ac:dyDescent="0.35">
      <c r="A172" s="311" t="s">
        <v>64</v>
      </c>
      <c r="B172" s="311"/>
      <c r="C172" s="311"/>
      <c r="D172" s="2"/>
      <c r="E172" s="39" t="s">
        <v>81</v>
      </c>
      <c r="F172" s="308">
        <f>F88</f>
        <v>46107</v>
      </c>
      <c r="G172" s="308"/>
      <c r="H172" s="39" t="s">
        <v>82</v>
      </c>
      <c r="I172" s="34">
        <f>I88</f>
        <v>46136</v>
      </c>
      <c r="L172" s="1"/>
    </row>
    <row r="173" spans="1:12" x14ac:dyDescent="0.2">
      <c r="A173" s="12" t="s">
        <v>23</v>
      </c>
      <c r="B173" s="13" t="s">
        <v>11</v>
      </c>
      <c r="C173" s="72" t="s">
        <v>26</v>
      </c>
      <c r="D173" s="12" t="s">
        <v>16</v>
      </c>
      <c r="E173" s="12" t="s">
        <v>17</v>
      </c>
      <c r="F173" s="310" t="s">
        <v>46</v>
      </c>
      <c r="G173" s="310"/>
      <c r="H173" s="310"/>
      <c r="I173" s="12" t="s">
        <v>19</v>
      </c>
    </row>
    <row r="174" spans="1:12" x14ac:dyDescent="0.2">
      <c r="A174" s="15"/>
      <c r="B174" s="16"/>
      <c r="C174" s="73"/>
      <c r="D174" s="15"/>
      <c r="E174" s="15"/>
      <c r="F174" s="21" t="s">
        <v>113</v>
      </c>
      <c r="G174" s="21" t="s">
        <v>114</v>
      </c>
      <c r="H174" s="21" t="s">
        <v>20</v>
      </c>
      <c r="I174" s="15"/>
    </row>
    <row r="175" spans="1:12" x14ac:dyDescent="0.2">
      <c r="A175" s="8" t="s">
        <v>0</v>
      </c>
      <c r="B175" s="5">
        <f>B157+1</f>
        <v>46121</v>
      </c>
      <c r="C175" s="74" t="s">
        <v>1134</v>
      </c>
      <c r="D175" s="6" t="s">
        <v>342</v>
      </c>
      <c r="E175" s="6" t="s">
        <v>165</v>
      </c>
      <c r="F175" s="6">
        <v>1</v>
      </c>
      <c r="G175" s="6"/>
      <c r="H175" s="6">
        <v>6</v>
      </c>
      <c r="I175" s="6"/>
    </row>
    <row r="176" spans="1:12" x14ac:dyDescent="0.2">
      <c r="A176" s="8" t="s">
        <v>1</v>
      </c>
      <c r="B176" s="5"/>
      <c r="C176" s="74" t="s">
        <v>1135</v>
      </c>
      <c r="D176" s="6" t="s">
        <v>342</v>
      </c>
      <c r="E176" s="6" t="s">
        <v>165</v>
      </c>
      <c r="F176" s="6">
        <v>1</v>
      </c>
      <c r="G176" s="6"/>
      <c r="H176" s="6">
        <v>6</v>
      </c>
      <c r="I176" s="6"/>
    </row>
    <row r="177" spans="1:9" x14ac:dyDescent="0.2">
      <c r="A177" s="8" t="s">
        <v>2</v>
      </c>
      <c r="B177" s="5"/>
      <c r="C177" s="74" t="s">
        <v>1136</v>
      </c>
      <c r="D177" s="6" t="s">
        <v>342</v>
      </c>
      <c r="E177" s="6" t="s">
        <v>165</v>
      </c>
      <c r="F177" s="6">
        <v>1</v>
      </c>
      <c r="G177" s="6"/>
      <c r="H177" s="6">
        <v>6</v>
      </c>
      <c r="I177" s="6"/>
    </row>
    <row r="178" spans="1:9" x14ac:dyDescent="0.2">
      <c r="A178" s="8" t="s">
        <v>3</v>
      </c>
      <c r="B178" s="5"/>
      <c r="C178" s="74" t="s">
        <v>1137</v>
      </c>
      <c r="D178" s="6" t="s">
        <v>206</v>
      </c>
      <c r="E178" s="6" t="s">
        <v>632</v>
      </c>
      <c r="F178" s="6">
        <v>1</v>
      </c>
      <c r="G178" s="6"/>
      <c r="H178" s="6">
        <v>6</v>
      </c>
      <c r="I178" s="6"/>
    </row>
    <row r="179" spans="1:9" x14ac:dyDescent="0.2">
      <c r="A179" s="8" t="s">
        <v>4</v>
      </c>
      <c r="B179" s="5"/>
      <c r="C179" s="74" t="s">
        <v>1141</v>
      </c>
      <c r="D179" s="6" t="s">
        <v>206</v>
      </c>
      <c r="E179" s="6" t="s">
        <v>632</v>
      </c>
      <c r="F179" s="6">
        <v>1</v>
      </c>
      <c r="G179" s="6"/>
      <c r="H179" s="6">
        <v>6</v>
      </c>
      <c r="I179" s="6"/>
    </row>
    <row r="180" spans="1:9" x14ac:dyDescent="0.2">
      <c r="A180" s="8" t="s">
        <v>5</v>
      </c>
      <c r="B180" s="5"/>
      <c r="C180" s="74" t="s">
        <v>1142</v>
      </c>
      <c r="D180" s="6" t="s">
        <v>1133</v>
      </c>
      <c r="E180" s="6" t="s">
        <v>1077</v>
      </c>
      <c r="F180" s="6">
        <v>1</v>
      </c>
      <c r="G180" s="6"/>
      <c r="H180" s="6">
        <v>2</v>
      </c>
      <c r="I180" s="6"/>
    </row>
    <row r="181" spans="1:9" hidden="1" x14ac:dyDescent="0.2">
      <c r="A181" s="8" t="s">
        <v>6</v>
      </c>
      <c r="B181" s="5"/>
      <c r="C181" s="74"/>
      <c r="D181" s="6"/>
      <c r="E181" s="6"/>
      <c r="F181" s="6"/>
      <c r="G181" s="6"/>
      <c r="H181" s="6"/>
      <c r="I181" s="6"/>
    </row>
    <row r="182" spans="1:9" hidden="1" x14ac:dyDescent="0.2">
      <c r="A182" s="8" t="s">
        <v>7</v>
      </c>
      <c r="B182" s="5"/>
      <c r="C182" s="74"/>
      <c r="D182" s="6"/>
      <c r="E182" s="6"/>
      <c r="F182" s="6"/>
      <c r="G182" s="6"/>
      <c r="H182" s="6"/>
      <c r="I182" s="6"/>
    </row>
    <row r="183" spans="1:9" hidden="1" x14ac:dyDescent="0.2">
      <c r="A183" s="8" t="s">
        <v>8</v>
      </c>
      <c r="B183" s="5"/>
      <c r="C183" s="74"/>
      <c r="D183" s="6"/>
      <c r="E183" s="6"/>
      <c r="F183" s="6"/>
      <c r="G183" s="6"/>
      <c r="H183" s="6"/>
      <c r="I183" s="6"/>
    </row>
    <row r="184" spans="1:9" hidden="1" x14ac:dyDescent="0.2">
      <c r="A184" s="8" t="s">
        <v>9</v>
      </c>
      <c r="B184" s="5"/>
      <c r="C184" s="74"/>
      <c r="D184" s="6"/>
      <c r="E184" s="6"/>
      <c r="F184" s="6"/>
      <c r="G184" s="6"/>
      <c r="H184" s="6"/>
      <c r="I184" s="6"/>
    </row>
    <row r="185" spans="1:9" x14ac:dyDescent="0.2">
      <c r="A185" s="312" t="s">
        <v>10</v>
      </c>
      <c r="B185" s="313"/>
      <c r="C185" s="313"/>
      <c r="D185" s="313"/>
      <c r="E185" s="314"/>
      <c r="F185" s="11">
        <f>SUM(F175:F184)</f>
        <v>6</v>
      </c>
      <c r="G185" s="11">
        <f>SUM(G175:G184)</f>
        <v>0</v>
      </c>
      <c r="H185" s="11">
        <f>SUM(H175:H184)</f>
        <v>32</v>
      </c>
      <c r="I185" s="11"/>
    </row>
    <row r="186" spans="1:9" hidden="1" x14ac:dyDescent="0.2">
      <c r="A186" s="8" t="s">
        <v>0</v>
      </c>
      <c r="B186" s="5">
        <f>B175+1</f>
        <v>46122</v>
      </c>
      <c r="C186" s="74"/>
      <c r="D186" s="6"/>
      <c r="E186" s="6"/>
      <c r="F186" s="6"/>
      <c r="G186" s="6"/>
      <c r="H186" s="6"/>
      <c r="I186" s="6"/>
    </row>
    <row r="187" spans="1:9" hidden="1" x14ac:dyDescent="0.2">
      <c r="A187" s="8" t="s">
        <v>1</v>
      </c>
      <c r="B187" s="5"/>
      <c r="C187" s="74"/>
      <c r="D187" s="6"/>
      <c r="E187" s="6"/>
      <c r="F187" s="6"/>
      <c r="G187" s="6"/>
      <c r="H187" s="6"/>
      <c r="I187" s="6"/>
    </row>
    <row r="188" spans="1:9" hidden="1" x14ac:dyDescent="0.2">
      <c r="A188" s="8" t="s">
        <v>2</v>
      </c>
      <c r="B188" s="5"/>
      <c r="C188" s="74"/>
      <c r="D188" s="6"/>
      <c r="E188" s="6"/>
      <c r="F188" s="6"/>
      <c r="G188" s="6"/>
      <c r="H188" s="6"/>
      <c r="I188" s="6"/>
    </row>
    <row r="189" spans="1:9" hidden="1" x14ac:dyDescent="0.2">
      <c r="A189" s="8" t="s">
        <v>3</v>
      </c>
      <c r="B189" s="5"/>
      <c r="C189" s="74"/>
      <c r="D189" s="6"/>
      <c r="E189" s="6"/>
      <c r="F189" s="6"/>
      <c r="G189" s="6"/>
      <c r="H189" s="6"/>
      <c r="I189" s="6"/>
    </row>
    <row r="190" spans="1:9" hidden="1" x14ac:dyDescent="0.2">
      <c r="A190" s="8" t="s">
        <v>4</v>
      </c>
      <c r="B190" s="5"/>
      <c r="C190" s="74"/>
      <c r="D190" s="6"/>
      <c r="E190" s="6"/>
      <c r="F190" s="6"/>
      <c r="G190" s="6"/>
      <c r="H190" s="6"/>
      <c r="I190" s="6"/>
    </row>
    <row r="191" spans="1:9" hidden="1" x14ac:dyDescent="0.2">
      <c r="A191" s="8" t="s">
        <v>5</v>
      </c>
      <c r="B191" s="5"/>
      <c r="C191" s="74"/>
      <c r="D191" s="6"/>
      <c r="E191" s="6"/>
      <c r="F191" s="6"/>
      <c r="G191" s="6"/>
      <c r="H191" s="6"/>
      <c r="I191" s="6"/>
    </row>
    <row r="192" spans="1:9" hidden="1" x14ac:dyDescent="0.2">
      <c r="A192" s="8" t="s">
        <v>6</v>
      </c>
      <c r="B192" s="5"/>
      <c r="C192" s="74"/>
      <c r="D192" s="6"/>
      <c r="E192" s="6"/>
      <c r="F192" s="6"/>
      <c r="G192" s="6"/>
      <c r="H192" s="6"/>
      <c r="I192" s="6"/>
    </row>
    <row r="193" spans="1:9" hidden="1" x14ac:dyDescent="0.2">
      <c r="A193" s="8" t="s">
        <v>7</v>
      </c>
      <c r="B193" s="5"/>
      <c r="C193" s="74"/>
      <c r="D193" s="6"/>
      <c r="E193" s="6"/>
      <c r="F193" s="6"/>
      <c r="G193" s="6"/>
      <c r="H193" s="6"/>
      <c r="I193" s="6"/>
    </row>
    <row r="194" spans="1:9" hidden="1" x14ac:dyDescent="0.2">
      <c r="A194" s="8" t="s">
        <v>8</v>
      </c>
      <c r="B194" s="5"/>
      <c r="C194" s="74"/>
      <c r="D194" s="6"/>
      <c r="E194" s="6"/>
      <c r="F194" s="6"/>
      <c r="G194" s="6"/>
      <c r="H194" s="6"/>
      <c r="I194" s="6"/>
    </row>
    <row r="195" spans="1:9" hidden="1" x14ac:dyDescent="0.2">
      <c r="A195" s="8" t="s">
        <v>9</v>
      </c>
      <c r="B195" s="5"/>
      <c r="C195" s="74"/>
      <c r="D195" s="6"/>
      <c r="E195" s="6"/>
      <c r="F195" s="6"/>
      <c r="G195" s="6"/>
      <c r="H195" s="6"/>
      <c r="I195" s="6"/>
    </row>
    <row r="196" spans="1:9" hidden="1" x14ac:dyDescent="0.2">
      <c r="A196" s="312" t="s">
        <v>10</v>
      </c>
      <c r="B196" s="313"/>
      <c r="C196" s="313"/>
      <c r="D196" s="313"/>
      <c r="E196" s="314"/>
      <c r="F196" s="11">
        <f>SUM(F186:F195)</f>
        <v>0</v>
      </c>
      <c r="G196" s="11">
        <f>SUM(G186:G195)</f>
        <v>0</v>
      </c>
      <c r="H196" s="11">
        <f>SUM(H186:H195)</f>
        <v>0</v>
      </c>
      <c r="I196" s="11"/>
    </row>
    <row r="197" spans="1:9" x14ac:dyDescent="0.2">
      <c r="A197" s="8" t="s">
        <v>0</v>
      </c>
      <c r="B197" s="5">
        <f>B186+1</f>
        <v>46123</v>
      </c>
      <c r="C197" s="74" t="s">
        <v>1245</v>
      </c>
      <c r="D197" s="6" t="s">
        <v>342</v>
      </c>
      <c r="E197" s="6" t="s">
        <v>165</v>
      </c>
      <c r="F197" s="6">
        <v>1</v>
      </c>
      <c r="G197" s="6"/>
      <c r="H197" s="6">
        <v>6</v>
      </c>
      <c r="I197" s="6"/>
    </row>
    <row r="198" spans="1:9" x14ac:dyDescent="0.2">
      <c r="A198" s="8" t="s">
        <v>1</v>
      </c>
      <c r="B198" s="5"/>
      <c r="C198" s="74" t="s">
        <v>1246</v>
      </c>
      <c r="D198" s="6" t="s">
        <v>342</v>
      </c>
      <c r="E198" s="6" t="s">
        <v>165</v>
      </c>
      <c r="F198" s="6">
        <v>1</v>
      </c>
      <c r="G198" s="6"/>
      <c r="H198" s="6">
        <v>6</v>
      </c>
      <c r="I198" s="6"/>
    </row>
    <row r="199" spans="1:9" x14ac:dyDescent="0.2">
      <c r="A199" s="8" t="s">
        <v>2</v>
      </c>
      <c r="B199" s="5"/>
      <c r="C199" s="74" t="s">
        <v>1247</v>
      </c>
      <c r="D199" s="6" t="s">
        <v>347</v>
      </c>
      <c r="E199" s="6" t="s">
        <v>441</v>
      </c>
      <c r="F199" s="6">
        <v>1</v>
      </c>
      <c r="G199" s="6"/>
      <c r="H199" s="6">
        <v>6</v>
      </c>
      <c r="I199" s="6"/>
    </row>
    <row r="200" spans="1:9" x14ac:dyDescent="0.2">
      <c r="A200" s="8" t="s">
        <v>3</v>
      </c>
      <c r="B200" s="5"/>
      <c r="C200" s="74" t="s">
        <v>1251</v>
      </c>
      <c r="D200" s="6" t="s">
        <v>347</v>
      </c>
      <c r="E200" s="6" t="s">
        <v>441</v>
      </c>
      <c r="F200" s="6">
        <v>1</v>
      </c>
      <c r="G200" s="6"/>
      <c r="H200" s="6">
        <v>6</v>
      </c>
      <c r="I200" s="6"/>
    </row>
    <row r="201" spans="1:9" hidden="1" x14ac:dyDescent="0.2">
      <c r="A201" s="8" t="s">
        <v>4</v>
      </c>
      <c r="B201" s="5"/>
      <c r="C201" s="74"/>
      <c r="D201" s="6"/>
      <c r="E201" s="6"/>
      <c r="F201" s="6"/>
      <c r="G201" s="6"/>
      <c r="H201" s="6"/>
      <c r="I201" s="6"/>
    </row>
    <row r="202" spans="1:9" hidden="1" x14ac:dyDescent="0.2">
      <c r="A202" s="8" t="s">
        <v>5</v>
      </c>
      <c r="B202" s="5"/>
      <c r="C202" s="74"/>
      <c r="D202" s="6"/>
      <c r="E202" s="6"/>
      <c r="F202" s="6"/>
      <c r="G202" s="6"/>
      <c r="H202" s="6"/>
      <c r="I202" s="6"/>
    </row>
    <row r="203" spans="1:9" hidden="1" x14ac:dyDescent="0.2">
      <c r="A203" s="8" t="s">
        <v>6</v>
      </c>
      <c r="B203" s="5"/>
      <c r="C203" s="74"/>
      <c r="D203" s="6"/>
      <c r="E203" s="6"/>
      <c r="F203" s="6"/>
      <c r="G203" s="6"/>
      <c r="H203" s="6"/>
      <c r="I203" s="6"/>
    </row>
    <row r="204" spans="1:9" hidden="1" x14ac:dyDescent="0.2">
      <c r="A204" s="8" t="s">
        <v>7</v>
      </c>
      <c r="B204" s="5"/>
      <c r="C204" s="74"/>
      <c r="D204" s="6"/>
      <c r="E204" s="6"/>
      <c r="F204" s="6"/>
      <c r="G204" s="6"/>
      <c r="H204" s="6"/>
      <c r="I204" s="6"/>
    </row>
    <row r="205" spans="1:9" hidden="1" x14ac:dyDescent="0.2">
      <c r="A205" s="8" t="s">
        <v>8</v>
      </c>
      <c r="B205" s="5"/>
      <c r="C205" s="74"/>
      <c r="D205" s="6"/>
      <c r="E205" s="6"/>
      <c r="F205" s="6"/>
      <c r="G205" s="6"/>
      <c r="H205" s="6"/>
      <c r="I205" s="6"/>
    </row>
    <row r="206" spans="1:9" hidden="1" x14ac:dyDescent="0.2">
      <c r="A206" s="8" t="s">
        <v>9</v>
      </c>
      <c r="B206" s="5"/>
      <c r="C206" s="74"/>
      <c r="D206" s="6"/>
      <c r="E206" s="6"/>
      <c r="F206" s="6"/>
      <c r="G206" s="6"/>
      <c r="H206" s="6"/>
      <c r="I206" s="6"/>
    </row>
    <row r="207" spans="1:9" x14ac:dyDescent="0.2">
      <c r="A207" s="312" t="s">
        <v>10</v>
      </c>
      <c r="B207" s="313"/>
      <c r="C207" s="313"/>
      <c r="D207" s="313"/>
      <c r="E207" s="314"/>
      <c r="F207" s="11">
        <f>SUM(F197:F206)</f>
        <v>4</v>
      </c>
      <c r="G207" s="11">
        <f>SUM(G197:G206)</f>
        <v>0</v>
      </c>
      <c r="H207" s="11">
        <f>SUM(H197:H206)</f>
        <v>24</v>
      </c>
      <c r="I207" s="11"/>
    </row>
    <row r="208" spans="1:9" hidden="1" x14ac:dyDescent="0.2">
      <c r="A208" s="8" t="s">
        <v>0</v>
      </c>
      <c r="B208" s="5">
        <f>B197+1</f>
        <v>46124</v>
      </c>
      <c r="C208" s="75"/>
      <c r="D208" s="6"/>
      <c r="E208" s="6"/>
      <c r="F208" s="6"/>
      <c r="G208" s="6"/>
      <c r="H208" s="6"/>
      <c r="I208" s="6"/>
    </row>
    <row r="209" spans="1:9" hidden="1" x14ac:dyDescent="0.2">
      <c r="A209" s="8" t="s">
        <v>1</v>
      </c>
      <c r="B209" s="5"/>
      <c r="C209" s="75"/>
      <c r="D209" s="6"/>
      <c r="E209" s="6"/>
      <c r="F209" s="6"/>
      <c r="G209" s="6"/>
      <c r="H209" s="6"/>
      <c r="I209" s="6"/>
    </row>
    <row r="210" spans="1:9" hidden="1" x14ac:dyDescent="0.2">
      <c r="A210" s="8" t="s">
        <v>2</v>
      </c>
      <c r="B210" s="5"/>
      <c r="C210" s="75"/>
      <c r="D210" s="6"/>
      <c r="E210" s="6"/>
      <c r="F210" s="6"/>
      <c r="G210" s="6"/>
      <c r="H210" s="6"/>
      <c r="I210" s="6"/>
    </row>
    <row r="211" spans="1:9" hidden="1" x14ac:dyDescent="0.2">
      <c r="A211" s="8" t="s">
        <v>3</v>
      </c>
      <c r="B211" s="5"/>
      <c r="C211" s="75"/>
      <c r="D211" s="6"/>
      <c r="E211" s="6"/>
      <c r="F211" s="6"/>
      <c r="G211" s="6"/>
      <c r="H211" s="6"/>
      <c r="I211" s="6"/>
    </row>
    <row r="212" spans="1:9" hidden="1" x14ac:dyDescent="0.2">
      <c r="A212" s="8" t="s">
        <v>4</v>
      </c>
      <c r="B212" s="5"/>
      <c r="C212" s="75"/>
      <c r="D212" s="6"/>
      <c r="E212" s="6"/>
      <c r="F212" s="6"/>
      <c r="G212" s="6"/>
      <c r="H212" s="6"/>
      <c r="I212" s="6"/>
    </row>
    <row r="213" spans="1:9" hidden="1" x14ac:dyDescent="0.2">
      <c r="A213" s="8" t="s">
        <v>5</v>
      </c>
      <c r="B213" s="5"/>
      <c r="C213" s="75"/>
      <c r="D213" s="6"/>
      <c r="E213" s="6"/>
      <c r="F213" s="6"/>
      <c r="G213" s="6"/>
      <c r="H213" s="6"/>
      <c r="I213" s="6"/>
    </row>
    <row r="214" spans="1:9" hidden="1" x14ac:dyDescent="0.2">
      <c r="A214" s="8" t="s">
        <v>6</v>
      </c>
      <c r="B214" s="5"/>
      <c r="C214" s="75"/>
      <c r="D214" s="6"/>
      <c r="E214" s="6"/>
      <c r="F214" s="6"/>
      <c r="G214" s="6"/>
      <c r="H214" s="6"/>
      <c r="I214" s="6"/>
    </row>
    <row r="215" spans="1:9" hidden="1" x14ac:dyDescent="0.2">
      <c r="A215" s="8" t="s">
        <v>7</v>
      </c>
      <c r="B215" s="5"/>
      <c r="C215" s="74"/>
      <c r="D215" s="6"/>
      <c r="E215" s="6"/>
      <c r="F215" s="6"/>
      <c r="G215" s="6"/>
      <c r="H215" s="6"/>
      <c r="I215" s="6"/>
    </row>
    <row r="216" spans="1:9" hidden="1" x14ac:dyDescent="0.2">
      <c r="A216" s="8" t="s">
        <v>8</v>
      </c>
      <c r="B216" s="5"/>
      <c r="C216" s="74"/>
      <c r="D216" s="6"/>
      <c r="E216" s="6"/>
      <c r="F216" s="6"/>
      <c r="G216" s="6"/>
      <c r="H216" s="6"/>
      <c r="I216" s="6"/>
    </row>
    <row r="217" spans="1:9" hidden="1" x14ac:dyDescent="0.2">
      <c r="A217" s="8" t="s">
        <v>9</v>
      </c>
      <c r="B217" s="5"/>
      <c r="C217" s="74"/>
      <c r="D217" s="6"/>
      <c r="E217" s="6"/>
      <c r="F217" s="6"/>
      <c r="G217" s="6"/>
      <c r="H217" s="6"/>
      <c r="I217" s="6"/>
    </row>
    <row r="218" spans="1:9" hidden="1" x14ac:dyDescent="0.2">
      <c r="A218" s="312" t="s">
        <v>10</v>
      </c>
      <c r="B218" s="313"/>
      <c r="C218" s="313"/>
      <c r="D218" s="313"/>
      <c r="E218" s="314"/>
      <c r="F218" s="11">
        <f>SUM(F208:F217)</f>
        <v>0</v>
      </c>
      <c r="G218" s="11">
        <f>SUM(G208:G217)</f>
        <v>0</v>
      </c>
      <c r="H218" s="11">
        <f>SUM(H208:H217)</f>
        <v>0</v>
      </c>
      <c r="I218" s="11"/>
    </row>
    <row r="219" spans="1:9" hidden="1" x14ac:dyDescent="0.2">
      <c r="A219" s="8" t="s">
        <v>0</v>
      </c>
      <c r="B219" s="5">
        <f>B208+1</f>
        <v>46125</v>
      </c>
      <c r="C219" s="75"/>
      <c r="D219" s="6"/>
      <c r="E219" s="6"/>
      <c r="F219" s="6"/>
      <c r="G219" s="6"/>
      <c r="H219" s="6"/>
      <c r="I219" s="6"/>
    </row>
    <row r="220" spans="1:9" hidden="1" x14ac:dyDescent="0.2">
      <c r="A220" s="8" t="s">
        <v>1</v>
      </c>
      <c r="B220" s="5"/>
      <c r="C220" s="75"/>
      <c r="D220" s="6"/>
      <c r="E220" s="6"/>
      <c r="F220" s="6"/>
      <c r="G220" s="6"/>
      <c r="H220" s="6"/>
      <c r="I220" s="6"/>
    </row>
    <row r="221" spans="1:9" hidden="1" x14ac:dyDescent="0.2">
      <c r="A221" s="8" t="s">
        <v>2</v>
      </c>
      <c r="B221" s="5"/>
      <c r="C221" s="75"/>
      <c r="D221" s="6"/>
      <c r="E221" s="6"/>
      <c r="F221" s="6"/>
      <c r="G221" s="6"/>
      <c r="H221" s="6"/>
      <c r="I221" s="6"/>
    </row>
    <row r="222" spans="1:9" hidden="1" x14ac:dyDescent="0.2">
      <c r="A222" s="8" t="s">
        <v>3</v>
      </c>
      <c r="B222" s="5"/>
      <c r="C222" s="75"/>
      <c r="D222" s="6"/>
      <c r="E222" s="6"/>
      <c r="F222" s="6"/>
      <c r="G222" s="6"/>
      <c r="H222" s="6"/>
      <c r="I222" s="6"/>
    </row>
    <row r="223" spans="1:9" hidden="1" x14ac:dyDescent="0.2">
      <c r="A223" s="8" t="s">
        <v>4</v>
      </c>
      <c r="B223" s="5"/>
      <c r="C223" s="75"/>
      <c r="D223" s="6"/>
      <c r="E223" s="6"/>
      <c r="F223" s="6"/>
      <c r="G223" s="6"/>
      <c r="H223" s="6"/>
      <c r="I223" s="6"/>
    </row>
    <row r="224" spans="1:9" hidden="1" x14ac:dyDescent="0.2">
      <c r="A224" s="8" t="s">
        <v>5</v>
      </c>
      <c r="B224" s="5"/>
      <c r="C224" s="75"/>
      <c r="D224" s="6"/>
      <c r="E224" s="6"/>
      <c r="F224" s="6"/>
      <c r="G224" s="6"/>
      <c r="H224" s="6"/>
      <c r="I224" s="6"/>
    </row>
    <row r="225" spans="1:9" hidden="1" x14ac:dyDescent="0.2">
      <c r="A225" s="8" t="s">
        <v>6</v>
      </c>
      <c r="B225" s="5"/>
      <c r="C225" s="74"/>
      <c r="D225" s="6"/>
      <c r="E225" s="6"/>
      <c r="F225" s="6"/>
      <c r="G225" s="6"/>
      <c r="H225" s="6"/>
      <c r="I225" s="6"/>
    </row>
    <row r="226" spans="1:9" hidden="1" x14ac:dyDescent="0.2">
      <c r="A226" s="8" t="s">
        <v>7</v>
      </c>
      <c r="B226" s="5"/>
      <c r="C226" s="74"/>
      <c r="D226" s="6"/>
      <c r="E226" s="6"/>
      <c r="F226" s="6"/>
      <c r="G226" s="6"/>
      <c r="H226" s="6"/>
      <c r="I226" s="6"/>
    </row>
    <row r="227" spans="1:9" hidden="1" x14ac:dyDescent="0.2">
      <c r="A227" s="8" t="s">
        <v>8</v>
      </c>
      <c r="B227" s="5"/>
      <c r="C227" s="74"/>
      <c r="D227" s="6"/>
      <c r="E227" s="6"/>
      <c r="F227" s="6"/>
      <c r="G227" s="6"/>
      <c r="H227" s="6"/>
      <c r="I227" s="6"/>
    </row>
    <row r="228" spans="1:9" hidden="1" x14ac:dyDescent="0.2">
      <c r="A228" s="8" t="s">
        <v>9</v>
      </c>
      <c r="B228" s="5"/>
      <c r="C228" s="74"/>
      <c r="D228" s="6"/>
      <c r="E228" s="6"/>
      <c r="F228" s="6"/>
      <c r="G228" s="6"/>
      <c r="H228" s="6"/>
      <c r="I228" s="6"/>
    </row>
    <row r="229" spans="1:9" hidden="1" x14ac:dyDescent="0.2">
      <c r="A229" s="312" t="s">
        <v>10</v>
      </c>
      <c r="B229" s="313"/>
      <c r="C229" s="313"/>
      <c r="D229" s="313"/>
      <c r="E229" s="314"/>
      <c r="F229" s="11">
        <f>SUM(F219:F228)</f>
        <v>0</v>
      </c>
      <c r="G229" s="11">
        <f>SUM(G219:G228)</f>
        <v>0</v>
      </c>
      <c r="H229" s="11">
        <f>SUM(H219:H228)</f>
        <v>0</v>
      </c>
      <c r="I229" s="11"/>
    </row>
    <row r="230" spans="1:9" hidden="1" x14ac:dyDescent="0.2">
      <c r="A230" s="8" t="s">
        <v>0</v>
      </c>
      <c r="B230" s="5">
        <f>B219+1</f>
        <v>46126</v>
      </c>
      <c r="C230" s="75"/>
      <c r="D230" s="6"/>
      <c r="E230" s="6"/>
      <c r="F230" s="6"/>
      <c r="G230" s="6"/>
      <c r="H230" s="6"/>
      <c r="I230" s="6"/>
    </row>
    <row r="231" spans="1:9" hidden="1" x14ac:dyDescent="0.2">
      <c r="A231" s="8" t="s">
        <v>1</v>
      </c>
      <c r="B231" s="5"/>
      <c r="C231" s="75"/>
      <c r="D231" s="6"/>
      <c r="E231" s="6"/>
      <c r="F231" s="6"/>
      <c r="G231" s="6"/>
      <c r="H231" s="6"/>
      <c r="I231" s="6"/>
    </row>
    <row r="232" spans="1:9" hidden="1" x14ac:dyDescent="0.2">
      <c r="A232" s="8" t="s">
        <v>2</v>
      </c>
      <c r="B232" s="5"/>
      <c r="C232" s="75"/>
      <c r="D232" s="6"/>
      <c r="E232" s="6"/>
      <c r="F232" s="6"/>
      <c r="G232" s="6"/>
      <c r="H232" s="6"/>
      <c r="I232" s="6"/>
    </row>
    <row r="233" spans="1:9" hidden="1" x14ac:dyDescent="0.2">
      <c r="A233" s="8" t="s">
        <v>3</v>
      </c>
      <c r="B233" s="5"/>
      <c r="C233" s="75"/>
      <c r="D233" s="6"/>
      <c r="E233" s="6"/>
      <c r="F233" s="6"/>
      <c r="G233" s="6"/>
      <c r="H233" s="6"/>
      <c r="I233" s="6"/>
    </row>
    <row r="234" spans="1:9" hidden="1" x14ac:dyDescent="0.2">
      <c r="A234" s="8" t="s">
        <v>4</v>
      </c>
      <c r="B234" s="5"/>
      <c r="C234" s="75"/>
      <c r="D234" s="6"/>
      <c r="E234" s="6"/>
      <c r="F234" s="6"/>
      <c r="G234" s="6"/>
      <c r="H234" s="6"/>
      <c r="I234" s="6"/>
    </row>
    <row r="235" spans="1:9" hidden="1" x14ac:dyDescent="0.2">
      <c r="A235" s="8" t="s">
        <v>5</v>
      </c>
      <c r="B235" s="5"/>
      <c r="C235" s="75"/>
      <c r="D235" s="6"/>
      <c r="E235" s="6"/>
      <c r="F235" s="6"/>
      <c r="G235" s="6"/>
      <c r="H235" s="6"/>
      <c r="I235" s="6"/>
    </row>
    <row r="236" spans="1:9" hidden="1" x14ac:dyDescent="0.2">
      <c r="A236" s="8" t="s">
        <v>6</v>
      </c>
      <c r="B236" s="5"/>
      <c r="C236" s="75"/>
      <c r="D236" s="6"/>
      <c r="E236" s="6"/>
      <c r="F236" s="6"/>
      <c r="G236" s="6"/>
      <c r="H236" s="6"/>
      <c r="I236" s="6"/>
    </row>
    <row r="237" spans="1:9" hidden="1" x14ac:dyDescent="0.2">
      <c r="A237" s="8" t="s">
        <v>7</v>
      </c>
      <c r="B237" s="5"/>
      <c r="C237" s="75"/>
      <c r="D237" s="6"/>
      <c r="E237" s="6"/>
      <c r="F237" s="6"/>
      <c r="G237" s="6"/>
      <c r="H237" s="6"/>
      <c r="I237" s="6"/>
    </row>
    <row r="238" spans="1:9" hidden="1" x14ac:dyDescent="0.2">
      <c r="A238" s="8" t="s">
        <v>8</v>
      </c>
      <c r="B238" s="5"/>
      <c r="C238" s="75"/>
      <c r="D238" s="6"/>
      <c r="E238" s="6"/>
      <c r="F238" s="6"/>
      <c r="G238" s="6"/>
      <c r="H238" s="6"/>
      <c r="I238" s="6"/>
    </row>
    <row r="239" spans="1:9" hidden="1" x14ac:dyDescent="0.2">
      <c r="A239" s="8" t="s">
        <v>9</v>
      </c>
      <c r="B239" s="5"/>
      <c r="C239" s="75"/>
      <c r="D239" s="6"/>
      <c r="E239" s="6"/>
      <c r="F239" s="6"/>
      <c r="G239" s="6"/>
      <c r="H239" s="6"/>
      <c r="I239" s="6"/>
    </row>
    <row r="240" spans="1:9" hidden="1" x14ac:dyDescent="0.2">
      <c r="A240" s="312" t="s">
        <v>10</v>
      </c>
      <c r="B240" s="313"/>
      <c r="C240" s="313"/>
      <c r="D240" s="313"/>
      <c r="E240" s="314"/>
      <c r="F240" s="11">
        <f>SUM(F230:F239)</f>
        <v>0</v>
      </c>
      <c r="G240" s="11">
        <f>SUM(G230:G239)</f>
        <v>0</v>
      </c>
      <c r="H240" s="11">
        <f>SUM(H230:H239)</f>
        <v>0</v>
      </c>
      <c r="I240" s="11"/>
    </row>
    <row r="241" spans="1:9" hidden="1" x14ac:dyDescent="0.2">
      <c r="A241" s="8" t="s">
        <v>0</v>
      </c>
      <c r="B241" s="5">
        <f>B230+1</f>
        <v>46127</v>
      </c>
      <c r="C241" s="74"/>
      <c r="D241" s="6"/>
      <c r="E241" s="6"/>
      <c r="F241" s="6"/>
      <c r="G241" s="6"/>
      <c r="H241" s="6"/>
      <c r="I241" s="6"/>
    </row>
    <row r="242" spans="1:9" hidden="1" x14ac:dyDescent="0.2">
      <c r="A242" s="8" t="s">
        <v>1</v>
      </c>
      <c r="B242" s="5"/>
      <c r="C242" s="74"/>
      <c r="D242" s="6"/>
      <c r="E242" s="6"/>
      <c r="F242" s="6"/>
      <c r="G242" s="6"/>
      <c r="H242" s="6"/>
      <c r="I242" s="6"/>
    </row>
    <row r="243" spans="1:9" hidden="1" x14ac:dyDescent="0.2">
      <c r="A243" s="8" t="s">
        <v>2</v>
      </c>
      <c r="B243" s="5"/>
      <c r="C243" s="74"/>
      <c r="D243" s="6"/>
      <c r="E243" s="6"/>
      <c r="F243" s="6"/>
      <c r="G243" s="6"/>
      <c r="H243" s="6"/>
      <c r="I243" s="6"/>
    </row>
    <row r="244" spans="1:9" hidden="1" x14ac:dyDescent="0.2">
      <c r="A244" s="8" t="s">
        <v>3</v>
      </c>
      <c r="B244" s="5"/>
      <c r="C244" s="74"/>
      <c r="D244" s="6"/>
      <c r="E244" s="6"/>
      <c r="F244" s="6"/>
      <c r="G244" s="6"/>
      <c r="H244" s="6"/>
      <c r="I244" s="6"/>
    </row>
    <row r="245" spans="1:9" hidden="1" x14ac:dyDescent="0.2">
      <c r="A245" s="8" t="s">
        <v>4</v>
      </c>
      <c r="B245" s="5"/>
      <c r="C245" s="74"/>
      <c r="D245" s="6"/>
      <c r="E245" s="6"/>
      <c r="F245" s="6"/>
      <c r="G245" s="6"/>
      <c r="H245" s="6"/>
      <c r="I245" s="6"/>
    </row>
    <row r="246" spans="1:9" hidden="1" x14ac:dyDescent="0.2">
      <c r="A246" s="8" t="s">
        <v>5</v>
      </c>
      <c r="B246" s="5"/>
      <c r="C246" s="74"/>
      <c r="D246" s="6"/>
      <c r="E246" s="6"/>
      <c r="F246" s="6"/>
      <c r="G246" s="6"/>
      <c r="H246" s="6"/>
      <c r="I246" s="6"/>
    </row>
    <row r="247" spans="1:9" hidden="1" x14ac:dyDescent="0.2">
      <c r="A247" s="8" t="s">
        <v>6</v>
      </c>
      <c r="B247" s="5"/>
      <c r="C247" s="74"/>
      <c r="D247" s="6"/>
      <c r="E247" s="6"/>
      <c r="F247" s="6"/>
      <c r="G247" s="6"/>
      <c r="H247" s="6"/>
      <c r="I247" s="6"/>
    </row>
    <row r="248" spans="1:9" hidden="1" x14ac:dyDescent="0.2">
      <c r="A248" s="8" t="s">
        <v>7</v>
      </c>
      <c r="B248" s="5"/>
      <c r="C248" s="74"/>
      <c r="D248" s="6"/>
      <c r="E248" s="6"/>
      <c r="F248" s="6"/>
      <c r="G248" s="6"/>
      <c r="H248" s="6"/>
      <c r="I248" s="6"/>
    </row>
    <row r="249" spans="1:9" hidden="1" x14ac:dyDescent="0.2">
      <c r="A249" s="8" t="s">
        <v>8</v>
      </c>
      <c r="B249" s="5"/>
      <c r="C249" s="74"/>
      <c r="D249" s="6"/>
      <c r="E249" s="6"/>
      <c r="F249" s="6"/>
      <c r="G249" s="6"/>
      <c r="H249" s="6"/>
      <c r="I249" s="6"/>
    </row>
    <row r="250" spans="1:9" hidden="1" x14ac:dyDescent="0.2">
      <c r="A250" s="8" t="s">
        <v>9</v>
      </c>
      <c r="B250" s="5"/>
      <c r="C250" s="74"/>
      <c r="D250" s="6"/>
      <c r="E250" s="6"/>
      <c r="F250" s="6"/>
      <c r="G250" s="6"/>
      <c r="H250" s="6"/>
      <c r="I250" s="6"/>
    </row>
    <row r="251" spans="1:9" hidden="1" x14ac:dyDescent="0.2">
      <c r="A251" s="312" t="s">
        <v>10</v>
      </c>
      <c r="B251" s="313"/>
      <c r="C251" s="313"/>
      <c r="D251" s="313"/>
      <c r="E251" s="314"/>
      <c r="F251" s="11">
        <f>SUM(F241:F250)</f>
        <v>0</v>
      </c>
      <c r="G251" s="11">
        <f>SUM(G241:G250)</f>
        <v>0</v>
      </c>
      <c r="H251" s="11">
        <f>SUM(H241:H250)</f>
        <v>0</v>
      </c>
      <c r="I251" s="11"/>
    </row>
    <row r="252" spans="1:9" s="25" customFormat="1" ht="18" x14ac:dyDescent="0.2">
      <c r="A252" s="315" t="s">
        <v>39</v>
      </c>
      <c r="B252" s="316"/>
      <c r="C252" s="316"/>
      <c r="D252" s="316"/>
      <c r="E252" s="317"/>
      <c r="F252" s="22">
        <f>F185+F196+F207+F218+F229+F240+F251+F168</f>
        <v>66</v>
      </c>
      <c r="G252" s="22">
        <f>G185+G196+G207+G218+G229+G240+G251+G168</f>
        <v>12</v>
      </c>
      <c r="H252" s="22">
        <f>H185+H196+H207+H218+H229+H240+H251+H168</f>
        <v>431</v>
      </c>
      <c r="I252" s="22"/>
    </row>
    <row r="253" spans="1:9" ht="21.95" customHeight="1" x14ac:dyDescent="0.2">
      <c r="A253" s="319" t="s">
        <v>14</v>
      </c>
      <c r="B253" s="319"/>
      <c r="C253" s="319"/>
      <c r="D253" s="319"/>
      <c r="E253" s="319"/>
      <c r="F253" s="319"/>
      <c r="G253" s="319"/>
      <c r="H253" s="319"/>
      <c r="I253" s="319"/>
    </row>
    <row r="254" spans="1:9" s="53" customFormat="1" ht="20.100000000000001" customHeight="1" x14ac:dyDescent="0.2">
      <c r="A254" s="323" t="s">
        <v>86</v>
      </c>
      <c r="B254" s="323"/>
      <c r="C254" s="323"/>
      <c r="D254" s="323"/>
      <c r="E254" s="323"/>
      <c r="F254" s="50" t="str">
        <f>F170</f>
        <v>เมษายน</v>
      </c>
      <c r="G254" s="50" t="s">
        <v>87</v>
      </c>
      <c r="H254" s="51">
        <f>H170</f>
        <v>2569</v>
      </c>
      <c r="I254" s="52"/>
    </row>
    <row r="255" spans="1:9" s="3" customFormat="1" ht="20.100000000000001" customHeight="1" x14ac:dyDescent="0.35">
      <c r="A255" s="318" t="s">
        <v>34</v>
      </c>
      <c r="B255" s="318"/>
      <c r="C255" s="318"/>
      <c r="D255" s="2"/>
      <c r="F255" s="4"/>
      <c r="G255" s="4"/>
      <c r="H255" s="4" t="s">
        <v>21</v>
      </c>
      <c r="I255" s="40">
        <f>I171+1</f>
        <v>4</v>
      </c>
    </row>
    <row r="256" spans="1:9" s="3" customFormat="1" ht="20.100000000000001" customHeight="1" x14ac:dyDescent="0.35">
      <c r="A256" s="311" t="s">
        <v>64</v>
      </c>
      <c r="B256" s="311"/>
      <c r="C256" s="311"/>
      <c r="D256" s="2"/>
      <c r="E256" s="39" t="s">
        <v>81</v>
      </c>
      <c r="F256" s="308">
        <f>F172</f>
        <v>46107</v>
      </c>
      <c r="G256" s="308"/>
      <c r="H256" s="39" t="s">
        <v>82</v>
      </c>
      <c r="I256" s="34">
        <f>I172</f>
        <v>46136</v>
      </c>
    </row>
    <row r="257" spans="1:9" x14ac:dyDescent="0.2">
      <c r="A257" s="12" t="s">
        <v>23</v>
      </c>
      <c r="B257" s="13" t="s">
        <v>11</v>
      </c>
      <c r="C257" s="72" t="s">
        <v>26</v>
      </c>
      <c r="D257" s="12" t="s">
        <v>16</v>
      </c>
      <c r="E257" s="12" t="s">
        <v>17</v>
      </c>
      <c r="F257" s="310" t="s">
        <v>46</v>
      </c>
      <c r="G257" s="310"/>
      <c r="H257" s="310"/>
      <c r="I257" s="12" t="s">
        <v>19</v>
      </c>
    </row>
    <row r="258" spans="1:9" x14ac:dyDescent="0.2">
      <c r="A258" s="15"/>
      <c r="B258" s="16"/>
      <c r="C258" s="73"/>
      <c r="D258" s="15"/>
      <c r="E258" s="15"/>
      <c r="F258" s="21" t="s">
        <v>113</v>
      </c>
      <c r="G258" s="21" t="s">
        <v>114</v>
      </c>
      <c r="H258" s="21" t="s">
        <v>20</v>
      </c>
      <c r="I258" s="15"/>
    </row>
    <row r="259" spans="1:9" hidden="1" x14ac:dyDescent="0.2">
      <c r="A259" s="8" t="s">
        <v>0</v>
      </c>
      <c r="B259" s="5">
        <f>B241+1</f>
        <v>46128</v>
      </c>
      <c r="C259" s="74"/>
      <c r="D259" s="6"/>
      <c r="E259" s="6"/>
      <c r="F259" s="6"/>
      <c r="G259" s="6"/>
      <c r="H259" s="6"/>
      <c r="I259" s="6"/>
    </row>
    <row r="260" spans="1:9" hidden="1" x14ac:dyDescent="0.2">
      <c r="A260" s="8" t="s">
        <v>1</v>
      </c>
      <c r="B260" s="5"/>
      <c r="C260" s="74"/>
      <c r="D260" s="6"/>
      <c r="E260" s="6"/>
      <c r="F260" s="6"/>
      <c r="G260" s="6"/>
      <c r="H260" s="6"/>
      <c r="I260" s="6"/>
    </row>
    <row r="261" spans="1:9" hidden="1" x14ac:dyDescent="0.2">
      <c r="A261" s="8" t="s">
        <v>2</v>
      </c>
      <c r="B261" s="5"/>
      <c r="C261" s="74"/>
      <c r="D261" s="6"/>
      <c r="E261" s="6"/>
      <c r="F261" s="6"/>
      <c r="G261" s="6"/>
      <c r="H261" s="6"/>
      <c r="I261" s="6"/>
    </row>
    <row r="262" spans="1:9" hidden="1" x14ac:dyDescent="0.2">
      <c r="A262" s="8" t="s">
        <v>3</v>
      </c>
      <c r="B262" s="5"/>
      <c r="C262" s="74"/>
      <c r="D262" s="6"/>
      <c r="E262" s="6"/>
      <c r="F262" s="6"/>
      <c r="G262" s="6"/>
      <c r="H262" s="6"/>
      <c r="I262" s="6"/>
    </row>
    <row r="263" spans="1:9" hidden="1" x14ac:dyDescent="0.2">
      <c r="A263" s="8" t="s">
        <v>4</v>
      </c>
      <c r="B263" s="5"/>
      <c r="C263" s="74"/>
      <c r="D263" s="6"/>
      <c r="E263" s="6"/>
      <c r="F263" s="6"/>
      <c r="G263" s="6"/>
      <c r="H263" s="6"/>
      <c r="I263" s="6"/>
    </row>
    <row r="264" spans="1:9" hidden="1" x14ac:dyDescent="0.2">
      <c r="A264" s="8" t="s">
        <v>5</v>
      </c>
      <c r="B264" s="5"/>
      <c r="C264" s="74"/>
      <c r="D264" s="6"/>
      <c r="E264" s="6"/>
      <c r="F264" s="6"/>
      <c r="G264" s="6"/>
      <c r="H264" s="6"/>
      <c r="I264" s="6"/>
    </row>
    <row r="265" spans="1:9" hidden="1" x14ac:dyDescent="0.2">
      <c r="A265" s="8" t="s">
        <v>6</v>
      </c>
      <c r="B265" s="5"/>
      <c r="C265" s="74"/>
      <c r="D265" s="6"/>
      <c r="E265" s="6"/>
      <c r="F265" s="6"/>
      <c r="G265" s="6"/>
      <c r="H265" s="6"/>
      <c r="I265" s="6"/>
    </row>
    <row r="266" spans="1:9" hidden="1" x14ac:dyDescent="0.2">
      <c r="A266" s="8" t="s">
        <v>7</v>
      </c>
      <c r="B266" s="5"/>
      <c r="C266" s="74"/>
      <c r="D266" s="6"/>
      <c r="E266" s="6"/>
      <c r="F266" s="6"/>
      <c r="G266" s="6"/>
      <c r="H266" s="6"/>
      <c r="I266" s="6"/>
    </row>
    <row r="267" spans="1:9" hidden="1" x14ac:dyDescent="0.2">
      <c r="A267" s="8" t="s">
        <v>8</v>
      </c>
      <c r="B267" s="5"/>
      <c r="C267" s="74"/>
      <c r="D267" s="6"/>
      <c r="E267" s="6"/>
      <c r="F267" s="6"/>
      <c r="G267" s="6"/>
      <c r="H267" s="6"/>
      <c r="I267" s="6"/>
    </row>
    <row r="268" spans="1:9" hidden="1" x14ac:dyDescent="0.2">
      <c r="A268" s="8" t="s">
        <v>9</v>
      </c>
      <c r="B268" s="5"/>
      <c r="C268" s="74"/>
      <c r="D268" s="6"/>
      <c r="E268" s="6"/>
      <c r="F268" s="6"/>
      <c r="G268" s="6"/>
      <c r="H268" s="6"/>
      <c r="I268" s="6"/>
    </row>
    <row r="269" spans="1:9" hidden="1" x14ac:dyDescent="0.2">
      <c r="A269" s="312" t="s">
        <v>10</v>
      </c>
      <c r="B269" s="313"/>
      <c r="C269" s="313"/>
      <c r="D269" s="313"/>
      <c r="E269" s="314"/>
      <c r="F269" s="11">
        <f>SUM(F259:F268)</f>
        <v>0</v>
      </c>
      <c r="G269" s="11">
        <f>SUM(G259:G268)</f>
        <v>0</v>
      </c>
      <c r="H269" s="11">
        <f>SUM(H259:H268)</f>
        <v>0</v>
      </c>
      <c r="I269" s="11"/>
    </row>
    <row r="270" spans="1:9" hidden="1" x14ac:dyDescent="0.2">
      <c r="A270" s="8" t="s">
        <v>0</v>
      </c>
      <c r="B270" s="5">
        <f>B259+1</f>
        <v>46129</v>
      </c>
      <c r="C270" s="74"/>
      <c r="D270" s="6"/>
      <c r="E270" s="6"/>
      <c r="F270" s="6"/>
      <c r="G270" s="6"/>
      <c r="H270" s="6"/>
      <c r="I270" s="6"/>
    </row>
    <row r="271" spans="1:9" hidden="1" x14ac:dyDescent="0.2">
      <c r="A271" s="8" t="s">
        <v>1</v>
      </c>
      <c r="B271" s="5"/>
      <c r="C271" s="74"/>
      <c r="D271" s="6"/>
      <c r="E271" s="6"/>
      <c r="F271" s="6"/>
      <c r="G271" s="6"/>
      <c r="H271" s="6"/>
      <c r="I271" s="6"/>
    </row>
    <row r="272" spans="1:9" hidden="1" x14ac:dyDescent="0.2">
      <c r="A272" s="8" t="s">
        <v>2</v>
      </c>
      <c r="B272" s="5"/>
      <c r="C272" s="74"/>
      <c r="D272" s="6"/>
      <c r="E272" s="6"/>
      <c r="F272" s="6"/>
      <c r="G272" s="6"/>
      <c r="H272" s="6"/>
      <c r="I272" s="6"/>
    </row>
    <row r="273" spans="1:9" hidden="1" x14ac:dyDescent="0.2">
      <c r="A273" s="8" t="s">
        <v>3</v>
      </c>
      <c r="B273" s="5"/>
      <c r="C273" s="74"/>
      <c r="D273" s="6"/>
      <c r="E273" s="6"/>
      <c r="F273" s="6"/>
      <c r="G273" s="6"/>
      <c r="H273" s="6"/>
      <c r="I273" s="6"/>
    </row>
    <row r="274" spans="1:9" hidden="1" x14ac:dyDescent="0.2">
      <c r="A274" s="8" t="s">
        <v>4</v>
      </c>
      <c r="B274" s="5"/>
      <c r="C274" s="74"/>
      <c r="D274" s="6"/>
      <c r="E274" s="6"/>
      <c r="F274" s="6"/>
      <c r="G274" s="6"/>
      <c r="H274" s="6"/>
      <c r="I274" s="6"/>
    </row>
    <row r="275" spans="1:9" hidden="1" x14ac:dyDescent="0.2">
      <c r="A275" s="8" t="s">
        <v>5</v>
      </c>
      <c r="B275" s="5"/>
      <c r="C275" s="74"/>
      <c r="D275" s="6"/>
      <c r="E275" s="6"/>
      <c r="F275" s="6"/>
      <c r="G275" s="6"/>
      <c r="H275" s="6"/>
      <c r="I275" s="6"/>
    </row>
    <row r="276" spans="1:9" hidden="1" x14ac:dyDescent="0.2">
      <c r="A276" s="8" t="s">
        <v>6</v>
      </c>
      <c r="B276" s="5"/>
      <c r="C276" s="74"/>
      <c r="D276" s="6"/>
      <c r="E276" s="6"/>
      <c r="F276" s="6"/>
      <c r="G276" s="6"/>
      <c r="H276" s="6"/>
      <c r="I276" s="6"/>
    </row>
    <row r="277" spans="1:9" hidden="1" x14ac:dyDescent="0.2">
      <c r="A277" s="8" t="s">
        <v>7</v>
      </c>
      <c r="B277" s="5"/>
      <c r="C277" s="74"/>
      <c r="D277" s="6"/>
      <c r="E277" s="6"/>
      <c r="F277" s="6"/>
      <c r="G277" s="6"/>
      <c r="H277" s="6"/>
      <c r="I277" s="6"/>
    </row>
    <row r="278" spans="1:9" hidden="1" x14ac:dyDescent="0.2">
      <c r="A278" s="8" t="s">
        <v>8</v>
      </c>
      <c r="B278" s="5"/>
      <c r="C278" s="74"/>
      <c r="D278" s="6"/>
      <c r="E278" s="6"/>
      <c r="F278" s="6"/>
      <c r="G278" s="6"/>
      <c r="H278" s="6"/>
      <c r="I278" s="6"/>
    </row>
    <row r="279" spans="1:9" hidden="1" x14ac:dyDescent="0.2">
      <c r="A279" s="8" t="s">
        <v>9</v>
      </c>
      <c r="B279" s="5"/>
      <c r="C279" s="74"/>
      <c r="D279" s="6"/>
      <c r="E279" s="6"/>
      <c r="F279" s="6"/>
      <c r="G279" s="6"/>
      <c r="H279" s="6"/>
      <c r="I279" s="6"/>
    </row>
    <row r="280" spans="1:9" hidden="1" x14ac:dyDescent="0.2">
      <c r="A280" s="312" t="s">
        <v>10</v>
      </c>
      <c r="B280" s="313"/>
      <c r="C280" s="313"/>
      <c r="D280" s="313"/>
      <c r="E280" s="314"/>
      <c r="F280" s="11">
        <f>SUM(F270:F279)</f>
        <v>0</v>
      </c>
      <c r="G280" s="11">
        <f>SUM(G270:G279)</f>
        <v>0</v>
      </c>
      <c r="H280" s="11">
        <f>SUM(H270:H279)</f>
        <v>0</v>
      </c>
      <c r="I280" s="11"/>
    </row>
    <row r="281" spans="1:9" hidden="1" x14ac:dyDescent="0.2">
      <c r="A281" s="8" t="s">
        <v>0</v>
      </c>
      <c r="B281" s="5">
        <f>B270+1</f>
        <v>46130</v>
      </c>
      <c r="C281" s="74"/>
      <c r="D281" s="6"/>
      <c r="E281" s="6"/>
      <c r="F281" s="6"/>
      <c r="G281" s="6"/>
      <c r="H281" s="6"/>
      <c r="I281" s="6"/>
    </row>
    <row r="282" spans="1:9" hidden="1" x14ac:dyDescent="0.2">
      <c r="A282" s="8" t="s">
        <v>1</v>
      </c>
      <c r="B282" s="5"/>
      <c r="C282" s="74"/>
      <c r="D282" s="6"/>
      <c r="E282" s="6"/>
      <c r="F282" s="6"/>
      <c r="G282" s="6"/>
      <c r="H282" s="6"/>
      <c r="I282" s="6"/>
    </row>
    <row r="283" spans="1:9" hidden="1" x14ac:dyDescent="0.2">
      <c r="A283" s="8" t="s">
        <v>2</v>
      </c>
      <c r="B283" s="5"/>
      <c r="C283" s="74"/>
      <c r="D283" s="6"/>
      <c r="E283" s="6"/>
      <c r="F283" s="6"/>
      <c r="G283" s="6"/>
      <c r="H283" s="6"/>
      <c r="I283" s="6"/>
    </row>
    <row r="284" spans="1:9" hidden="1" x14ac:dyDescent="0.2">
      <c r="A284" s="8" t="s">
        <v>3</v>
      </c>
      <c r="B284" s="5"/>
      <c r="C284" s="74"/>
      <c r="D284" s="6"/>
      <c r="E284" s="6"/>
      <c r="F284" s="6"/>
      <c r="G284" s="6"/>
      <c r="H284" s="6"/>
      <c r="I284" s="6"/>
    </row>
    <row r="285" spans="1:9" hidden="1" x14ac:dyDescent="0.2">
      <c r="A285" s="8" t="s">
        <v>4</v>
      </c>
      <c r="B285" s="5"/>
      <c r="C285" s="74"/>
      <c r="D285" s="6"/>
      <c r="E285" s="6"/>
      <c r="F285" s="6"/>
      <c r="G285" s="6"/>
      <c r="H285" s="6"/>
      <c r="I285" s="6"/>
    </row>
    <row r="286" spans="1:9" hidden="1" x14ac:dyDescent="0.2">
      <c r="A286" s="8" t="s">
        <v>5</v>
      </c>
      <c r="B286" s="5"/>
      <c r="C286" s="74"/>
      <c r="D286" s="6"/>
      <c r="E286" s="6"/>
      <c r="F286" s="6"/>
      <c r="G286" s="6"/>
      <c r="H286" s="6"/>
      <c r="I286" s="6"/>
    </row>
    <row r="287" spans="1:9" hidden="1" x14ac:dyDescent="0.2">
      <c r="A287" s="8" t="s">
        <v>6</v>
      </c>
      <c r="B287" s="5"/>
      <c r="C287" s="74"/>
      <c r="D287" s="6"/>
      <c r="E287" s="6"/>
      <c r="F287" s="6"/>
      <c r="G287" s="6"/>
      <c r="H287" s="6"/>
      <c r="I287" s="6"/>
    </row>
    <row r="288" spans="1:9" hidden="1" x14ac:dyDescent="0.2">
      <c r="A288" s="8" t="s">
        <v>7</v>
      </c>
      <c r="B288" s="5"/>
      <c r="C288" s="74"/>
      <c r="D288" s="6"/>
      <c r="E288" s="6"/>
      <c r="F288" s="6"/>
      <c r="G288" s="6"/>
      <c r="H288" s="6"/>
      <c r="I288" s="6"/>
    </row>
    <row r="289" spans="1:9" hidden="1" x14ac:dyDescent="0.2">
      <c r="A289" s="8" t="s">
        <v>8</v>
      </c>
      <c r="B289" s="5"/>
      <c r="C289" s="74"/>
      <c r="D289" s="6"/>
      <c r="E289" s="6"/>
      <c r="F289" s="6"/>
      <c r="G289" s="6"/>
      <c r="H289" s="6"/>
      <c r="I289" s="6"/>
    </row>
    <row r="290" spans="1:9" hidden="1" x14ac:dyDescent="0.2">
      <c r="A290" s="8" t="s">
        <v>9</v>
      </c>
      <c r="B290" s="5"/>
      <c r="C290" s="74"/>
      <c r="D290" s="6"/>
      <c r="E290" s="6"/>
      <c r="F290" s="6"/>
      <c r="G290" s="6"/>
      <c r="H290" s="6"/>
      <c r="I290" s="6"/>
    </row>
    <row r="291" spans="1:9" hidden="1" x14ac:dyDescent="0.2">
      <c r="A291" s="312" t="s">
        <v>10</v>
      </c>
      <c r="B291" s="313"/>
      <c r="C291" s="313"/>
      <c r="D291" s="313"/>
      <c r="E291" s="314"/>
      <c r="F291" s="11">
        <f>SUM(F281:F290)</f>
        <v>0</v>
      </c>
      <c r="G291" s="11">
        <f>SUM(G281:G290)</f>
        <v>0</v>
      </c>
      <c r="H291" s="11">
        <f>SUM(H281:H290)</f>
        <v>0</v>
      </c>
      <c r="I291" s="11"/>
    </row>
    <row r="292" spans="1:9" x14ac:dyDescent="0.2">
      <c r="A292" s="8" t="s">
        <v>0</v>
      </c>
      <c r="B292" s="5">
        <f>B281+1</f>
        <v>46131</v>
      </c>
      <c r="C292" s="75" t="s">
        <v>1279</v>
      </c>
      <c r="D292" s="6" t="s">
        <v>170</v>
      </c>
      <c r="E292" s="6" t="s">
        <v>165</v>
      </c>
      <c r="F292" s="6">
        <v>1</v>
      </c>
      <c r="G292" s="6"/>
      <c r="H292" s="6">
        <v>4</v>
      </c>
      <c r="I292" s="6"/>
    </row>
    <row r="293" spans="1:9" hidden="1" x14ac:dyDescent="0.2">
      <c r="A293" s="8" t="s">
        <v>1</v>
      </c>
      <c r="B293" s="5"/>
      <c r="C293" s="75"/>
      <c r="D293" s="6"/>
      <c r="E293" s="6"/>
      <c r="F293" s="6"/>
      <c r="G293" s="6"/>
      <c r="H293" s="6"/>
      <c r="I293" s="6"/>
    </row>
    <row r="294" spans="1:9" hidden="1" x14ac:dyDescent="0.2">
      <c r="A294" s="8" t="s">
        <v>2</v>
      </c>
      <c r="B294" s="5"/>
      <c r="C294" s="75"/>
      <c r="D294" s="6"/>
      <c r="E294" s="6"/>
      <c r="F294" s="6"/>
      <c r="G294" s="6"/>
      <c r="H294" s="6"/>
      <c r="I294" s="6"/>
    </row>
    <row r="295" spans="1:9" hidden="1" x14ac:dyDescent="0.2">
      <c r="A295" s="8" t="s">
        <v>3</v>
      </c>
      <c r="B295" s="5"/>
      <c r="C295" s="75"/>
      <c r="D295" s="6"/>
      <c r="E295" s="6"/>
      <c r="F295" s="6"/>
      <c r="G295" s="6"/>
      <c r="H295" s="6"/>
      <c r="I295" s="6"/>
    </row>
    <row r="296" spans="1:9" hidden="1" x14ac:dyDescent="0.2">
      <c r="A296" s="8" t="s">
        <v>4</v>
      </c>
      <c r="B296" s="5"/>
      <c r="C296" s="75"/>
      <c r="D296" s="6"/>
      <c r="E296" s="6"/>
      <c r="F296" s="6"/>
      <c r="G296" s="6"/>
      <c r="H296" s="6"/>
      <c r="I296" s="6"/>
    </row>
    <row r="297" spans="1:9" hidden="1" x14ac:dyDescent="0.2">
      <c r="A297" s="8" t="s">
        <v>5</v>
      </c>
      <c r="B297" s="5"/>
      <c r="C297" s="75"/>
      <c r="D297" s="6"/>
      <c r="E297" s="6"/>
      <c r="F297" s="6"/>
      <c r="G297" s="6"/>
      <c r="H297" s="6"/>
      <c r="I297" s="6"/>
    </row>
    <row r="298" spans="1:9" hidden="1" x14ac:dyDescent="0.2">
      <c r="A298" s="8" t="s">
        <v>6</v>
      </c>
      <c r="B298" s="5"/>
      <c r="C298" s="75"/>
      <c r="D298" s="6"/>
      <c r="E298" s="6"/>
      <c r="F298" s="6"/>
      <c r="G298" s="6"/>
      <c r="H298" s="6"/>
      <c r="I298" s="6"/>
    </row>
    <row r="299" spans="1:9" hidden="1" x14ac:dyDescent="0.2">
      <c r="A299" s="8" t="s">
        <v>7</v>
      </c>
      <c r="B299" s="5"/>
      <c r="C299" s="74"/>
      <c r="D299" s="6"/>
      <c r="E299" s="6"/>
      <c r="F299" s="6"/>
      <c r="G299" s="6"/>
      <c r="H299" s="6"/>
      <c r="I299" s="6"/>
    </row>
    <row r="300" spans="1:9" hidden="1" x14ac:dyDescent="0.2">
      <c r="A300" s="8" t="s">
        <v>8</v>
      </c>
      <c r="B300" s="5"/>
      <c r="C300" s="74"/>
      <c r="D300" s="6"/>
      <c r="E300" s="6"/>
      <c r="F300" s="6"/>
      <c r="G300" s="6"/>
      <c r="H300" s="6"/>
      <c r="I300" s="6"/>
    </row>
    <row r="301" spans="1:9" hidden="1" x14ac:dyDescent="0.2">
      <c r="A301" s="8" t="s">
        <v>9</v>
      </c>
      <c r="B301" s="5"/>
      <c r="C301" s="74"/>
      <c r="D301" s="6"/>
      <c r="E301" s="6"/>
      <c r="F301" s="6"/>
      <c r="G301" s="6"/>
      <c r="H301" s="6"/>
      <c r="I301" s="6"/>
    </row>
    <row r="302" spans="1:9" x14ac:dyDescent="0.2">
      <c r="A302" s="312" t="s">
        <v>10</v>
      </c>
      <c r="B302" s="313"/>
      <c r="C302" s="313"/>
      <c r="D302" s="313"/>
      <c r="E302" s="314"/>
      <c r="F302" s="11">
        <f>SUM(F292:F301)</f>
        <v>1</v>
      </c>
      <c r="G302" s="11">
        <f>SUM(G292:G301)</f>
        <v>0</v>
      </c>
      <c r="H302" s="11">
        <f>SUM(H292:H301)</f>
        <v>4</v>
      </c>
      <c r="I302" s="11"/>
    </row>
    <row r="303" spans="1:9" x14ac:dyDescent="0.2">
      <c r="A303" s="8" t="s">
        <v>0</v>
      </c>
      <c r="B303" s="5">
        <f>B292+1</f>
        <v>46132</v>
      </c>
      <c r="C303" s="75" t="s">
        <v>1312</v>
      </c>
      <c r="D303" s="6" t="s">
        <v>347</v>
      </c>
      <c r="E303" s="6" t="s">
        <v>441</v>
      </c>
      <c r="F303" s="6">
        <v>1</v>
      </c>
      <c r="G303" s="6"/>
      <c r="H303" s="6">
        <v>4</v>
      </c>
      <c r="I303" s="6"/>
    </row>
    <row r="304" spans="1:9" x14ac:dyDescent="0.2">
      <c r="A304" s="8" t="s">
        <v>1</v>
      </c>
      <c r="B304" s="5"/>
      <c r="C304" s="75" t="s">
        <v>1313</v>
      </c>
      <c r="D304" s="6" t="s">
        <v>170</v>
      </c>
      <c r="E304" s="6" t="s">
        <v>165</v>
      </c>
      <c r="F304" s="6">
        <v>1</v>
      </c>
      <c r="G304" s="6"/>
      <c r="H304" s="6">
        <v>6</v>
      </c>
      <c r="I304" s="6"/>
    </row>
    <row r="305" spans="1:9" x14ac:dyDescent="0.2">
      <c r="A305" s="8" t="s">
        <v>2</v>
      </c>
      <c r="B305" s="5"/>
      <c r="C305" s="75" t="s">
        <v>1314</v>
      </c>
      <c r="D305" s="6" t="s">
        <v>188</v>
      </c>
      <c r="E305" s="6" t="s">
        <v>165</v>
      </c>
      <c r="F305" s="6">
        <v>1</v>
      </c>
      <c r="G305" s="6"/>
      <c r="H305" s="6">
        <v>6</v>
      </c>
      <c r="I305" s="6"/>
    </row>
    <row r="306" spans="1:9" x14ac:dyDescent="0.2">
      <c r="A306" s="8" t="s">
        <v>3</v>
      </c>
      <c r="B306" s="5"/>
      <c r="C306" s="75" t="s">
        <v>1315</v>
      </c>
      <c r="D306" s="6" t="s">
        <v>188</v>
      </c>
      <c r="E306" s="6" t="s">
        <v>165</v>
      </c>
      <c r="F306" s="6">
        <v>1</v>
      </c>
      <c r="G306" s="6"/>
      <c r="H306" s="6">
        <v>6</v>
      </c>
      <c r="I306" s="6"/>
    </row>
    <row r="307" spans="1:9" x14ac:dyDescent="0.2">
      <c r="A307" s="8" t="s">
        <v>4</v>
      </c>
      <c r="B307" s="5"/>
      <c r="C307" s="75" t="s">
        <v>1316</v>
      </c>
      <c r="D307" s="6" t="s">
        <v>188</v>
      </c>
      <c r="E307" s="6" t="s">
        <v>165</v>
      </c>
      <c r="F307" s="6">
        <v>1</v>
      </c>
      <c r="G307" s="6"/>
      <c r="H307" s="6">
        <v>6</v>
      </c>
      <c r="I307" s="6"/>
    </row>
    <row r="308" spans="1:9" x14ac:dyDescent="0.2">
      <c r="A308" s="8" t="s">
        <v>5</v>
      </c>
      <c r="B308" s="5"/>
      <c r="C308" s="75" t="s">
        <v>1317</v>
      </c>
      <c r="D308" s="6" t="s">
        <v>347</v>
      </c>
      <c r="E308" s="6" t="s">
        <v>441</v>
      </c>
      <c r="F308" s="6">
        <v>1</v>
      </c>
      <c r="G308" s="6"/>
      <c r="H308" s="6">
        <v>6</v>
      </c>
      <c r="I308" s="6"/>
    </row>
    <row r="309" spans="1:9" x14ac:dyDescent="0.2">
      <c r="A309" s="8" t="s">
        <v>6</v>
      </c>
      <c r="B309" s="5"/>
      <c r="C309" s="74" t="s">
        <v>1318</v>
      </c>
      <c r="D309" s="6" t="s">
        <v>832</v>
      </c>
      <c r="E309" s="6" t="s">
        <v>168</v>
      </c>
      <c r="F309" s="6">
        <v>1</v>
      </c>
      <c r="G309" s="6"/>
      <c r="H309" s="6">
        <v>5</v>
      </c>
      <c r="I309" s="6"/>
    </row>
    <row r="310" spans="1:9" x14ac:dyDescent="0.2">
      <c r="A310" s="8" t="s">
        <v>7</v>
      </c>
      <c r="B310" s="5"/>
      <c r="C310" s="74" t="s">
        <v>1319</v>
      </c>
      <c r="D310" s="6" t="s">
        <v>832</v>
      </c>
      <c r="E310" s="6" t="s">
        <v>168</v>
      </c>
      <c r="F310" s="6">
        <v>1</v>
      </c>
      <c r="G310" s="6"/>
      <c r="H310" s="6">
        <v>5</v>
      </c>
      <c r="I310" s="6"/>
    </row>
    <row r="311" spans="1:9" x14ac:dyDescent="0.2">
      <c r="A311" s="8" t="s">
        <v>8</v>
      </c>
      <c r="B311" s="5"/>
      <c r="C311" s="74" t="s">
        <v>1320</v>
      </c>
      <c r="D311" s="6" t="s">
        <v>364</v>
      </c>
      <c r="E311" s="6" t="s">
        <v>165</v>
      </c>
      <c r="F311" s="6"/>
      <c r="G311" s="6">
        <v>1</v>
      </c>
      <c r="H311" s="6">
        <v>3</v>
      </c>
      <c r="I311" s="6"/>
    </row>
    <row r="312" spans="1:9" hidden="1" x14ac:dyDescent="0.2">
      <c r="A312" s="8" t="s">
        <v>9</v>
      </c>
      <c r="B312" s="5"/>
      <c r="C312" s="74"/>
      <c r="D312" s="6"/>
      <c r="E312" s="6"/>
      <c r="F312" s="6"/>
      <c r="G312" s="6"/>
      <c r="H312" s="6"/>
      <c r="I312" s="6"/>
    </row>
    <row r="313" spans="1:9" hidden="1" x14ac:dyDescent="0.2">
      <c r="A313" s="8" t="s">
        <v>99</v>
      </c>
      <c r="B313" s="5"/>
      <c r="C313" s="74"/>
      <c r="D313" s="6"/>
      <c r="E313" s="6"/>
      <c r="F313" s="6"/>
      <c r="G313" s="6"/>
      <c r="H313" s="6"/>
      <c r="I313" s="6"/>
    </row>
    <row r="314" spans="1:9" x14ac:dyDescent="0.2">
      <c r="A314" s="312" t="s">
        <v>10</v>
      </c>
      <c r="B314" s="313"/>
      <c r="C314" s="313"/>
      <c r="D314" s="313"/>
      <c r="E314" s="314"/>
      <c r="F314" s="11">
        <f>SUM(F303:F313)</f>
        <v>8</v>
      </c>
      <c r="G314" s="11">
        <f>SUM(G303:G313)</f>
        <v>1</v>
      </c>
      <c r="H314" s="11">
        <f>SUM(H303:H313)</f>
        <v>47</v>
      </c>
      <c r="I314" s="11"/>
    </row>
    <row r="315" spans="1:9" x14ac:dyDescent="0.2">
      <c r="A315" s="8" t="s">
        <v>0</v>
      </c>
      <c r="B315" s="5">
        <f>B303+1</f>
        <v>46133</v>
      </c>
      <c r="C315" s="75" t="s">
        <v>1391</v>
      </c>
      <c r="D315" s="6" t="s">
        <v>1393</v>
      </c>
      <c r="E315" s="6" t="s">
        <v>165</v>
      </c>
      <c r="F315" s="6">
        <v>1</v>
      </c>
      <c r="G315" s="6"/>
      <c r="H315" s="6">
        <v>1.5</v>
      </c>
      <c r="I315" s="6"/>
    </row>
    <row r="316" spans="1:9" x14ac:dyDescent="0.2">
      <c r="A316" s="8" t="s">
        <v>1</v>
      </c>
      <c r="B316" s="5"/>
      <c r="C316" s="75" t="s">
        <v>1394</v>
      </c>
      <c r="D316" s="6" t="s">
        <v>342</v>
      </c>
      <c r="E316" s="6" t="s">
        <v>165</v>
      </c>
      <c r="F316" s="6">
        <v>1</v>
      </c>
      <c r="G316" s="6"/>
      <c r="H316" s="6">
        <v>6</v>
      </c>
      <c r="I316" s="6"/>
    </row>
    <row r="317" spans="1:9" x14ac:dyDescent="0.2">
      <c r="A317" s="8" t="s">
        <v>2</v>
      </c>
      <c r="B317" s="5"/>
      <c r="C317" s="75" t="s">
        <v>1395</v>
      </c>
      <c r="D317" s="6" t="s">
        <v>342</v>
      </c>
      <c r="E317" s="6" t="s">
        <v>165</v>
      </c>
      <c r="F317" s="6">
        <v>1</v>
      </c>
      <c r="G317" s="6"/>
      <c r="H317" s="6">
        <v>6</v>
      </c>
      <c r="I317" s="6"/>
    </row>
    <row r="318" spans="1:9" x14ac:dyDescent="0.2">
      <c r="A318" s="8" t="s">
        <v>3</v>
      </c>
      <c r="B318" s="5"/>
      <c r="C318" s="75" t="s">
        <v>1396</v>
      </c>
      <c r="D318" s="6" t="s">
        <v>170</v>
      </c>
      <c r="E318" s="6" t="s">
        <v>171</v>
      </c>
      <c r="F318" s="6">
        <v>1</v>
      </c>
      <c r="G318" s="6"/>
      <c r="H318" s="6">
        <v>6</v>
      </c>
      <c r="I318" s="6"/>
    </row>
    <row r="319" spans="1:9" x14ac:dyDescent="0.2">
      <c r="A319" s="8" t="s">
        <v>4</v>
      </c>
      <c r="B319" s="5"/>
      <c r="C319" s="75" t="s">
        <v>1397</v>
      </c>
      <c r="D319" s="6" t="s">
        <v>170</v>
      </c>
      <c r="E319" s="6" t="s">
        <v>171</v>
      </c>
      <c r="F319" s="6">
        <v>1</v>
      </c>
      <c r="G319" s="6"/>
      <c r="H319" s="6">
        <v>6</v>
      </c>
      <c r="I319" s="6"/>
    </row>
    <row r="320" spans="1:9" x14ac:dyDescent="0.2">
      <c r="A320" s="8" t="s">
        <v>5</v>
      </c>
      <c r="B320" s="5"/>
      <c r="C320" s="75" t="s">
        <v>1398</v>
      </c>
      <c r="D320" s="6" t="s">
        <v>870</v>
      </c>
      <c r="E320" s="6" t="s">
        <v>168</v>
      </c>
      <c r="F320" s="6"/>
      <c r="G320" s="6">
        <v>1</v>
      </c>
      <c r="H320" s="6">
        <v>4</v>
      </c>
      <c r="I320" s="6"/>
    </row>
    <row r="321" spans="1:9" x14ac:dyDescent="0.2">
      <c r="A321" s="8" t="s">
        <v>6</v>
      </c>
      <c r="B321" s="5"/>
      <c r="C321" s="75" t="s">
        <v>1399</v>
      </c>
      <c r="D321" s="6" t="s">
        <v>170</v>
      </c>
      <c r="E321" s="6" t="s">
        <v>171</v>
      </c>
      <c r="F321" s="6"/>
      <c r="G321" s="6">
        <v>1</v>
      </c>
      <c r="H321" s="6">
        <v>6</v>
      </c>
      <c r="I321" s="6"/>
    </row>
    <row r="322" spans="1:9" hidden="1" x14ac:dyDescent="0.2">
      <c r="A322" s="8" t="s">
        <v>7</v>
      </c>
      <c r="B322" s="5"/>
      <c r="C322" s="75"/>
      <c r="D322" s="6"/>
      <c r="E322" s="6"/>
      <c r="F322" s="6"/>
      <c r="G322" s="6"/>
      <c r="H322" s="6"/>
      <c r="I322" s="6"/>
    </row>
    <row r="323" spans="1:9" hidden="1" x14ac:dyDescent="0.2">
      <c r="A323" s="8" t="s">
        <v>8</v>
      </c>
      <c r="B323" s="5"/>
      <c r="C323" s="75"/>
      <c r="D323" s="6"/>
      <c r="E323" s="6"/>
      <c r="F323" s="6"/>
      <c r="G323" s="6"/>
      <c r="H323" s="6"/>
      <c r="I323" s="6"/>
    </row>
    <row r="324" spans="1:9" hidden="1" x14ac:dyDescent="0.2">
      <c r="A324" s="8" t="s">
        <v>9</v>
      </c>
      <c r="B324" s="5"/>
      <c r="C324" s="75"/>
      <c r="D324" s="6"/>
      <c r="E324" s="6"/>
      <c r="F324" s="6"/>
      <c r="G324" s="6"/>
      <c r="H324" s="6"/>
      <c r="I324" s="6"/>
    </row>
    <row r="325" spans="1:9" x14ac:dyDescent="0.2">
      <c r="A325" s="312" t="s">
        <v>10</v>
      </c>
      <c r="B325" s="313"/>
      <c r="C325" s="313"/>
      <c r="D325" s="313"/>
      <c r="E325" s="314"/>
      <c r="F325" s="11">
        <f>SUM(F315:F324)</f>
        <v>5</v>
      </c>
      <c r="G325" s="11">
        <f>SUM(G315:G324)</f>
        <v>2</v>
      </c>
      <c r="H325" s="11">
        <f>SUM(H315:H324)</f>
        <v>35.5</v>
      </c>
      <c r="I325" s="11"/>
    </row>
    <row r="326" spans="1:9" x14ac:dyDescent="0.2">
      <c r="A326" s="8" t="s">
        <v>0</v>
      </c>
      <c r="B326" s="5">
        <f>B315+1</f>
        <v>46134</v>
      </c>
      <c r="C326" s="74" t="s">
        <v>1464</v>
      </c>
      <c r="D326" s="6" t="s">
        <v>188</v>
      </c>
      <c r="E326" s="6" t="s">
        <v>165</v>
      </c>
      <c r="F326" s="6">
        <v>1</v>
      </c>
      <c r="G326" s="6"/>
      <c r="H326" s="6">
        <v>6</v>
      </c>
      <c r="I326" s="6"/>
    </row>
    <row r="327" spans="1:9" x14ac:dyDescent="0.2">
      <c r="A327" s="8" t="s">
        <v>1</v>
      </c>
      <c r="B327" s="5"/>
      <c r="C327" s="74" t="s">
        <v>1458</v>
      </c>
      <c r="D327" s="6" t="s">
        <v>332</v>
      </c>
      <c r="E327" s="6" t="s">
        <v>168</v>
      </c>
      <c r="F327" s="6">
        <v>1</v>
      </c>
      <c r="G327" s="6"/>
      <c r="H327" s="6">
        <v>5</v>
      </c>
      <c r="I327" s="6"/>
    </row>
    <row r="328" spans="1:9" x14ac:dyDescent="0.2">
      <c r="A328" s="8" t="s">
        <v>2</v>
      </c>
      <c r="B328" s="5"/>
      <c r="C328" s="74" t="s">
        <v>1468</v>
      </c>
      <c r="D328" s="6" t="s">
        <v>170</v>
      </c>
      <c r="E328" s="6" t="s">
        <v>171</v>
      </c>
      <c r="F328" s="6">
        <v>1</v>
      </c>
      <c r="G328" s="6"/>
      <c r="H328" s="6">
        <v>6</v>
      </c>
      <c r="I328" s="6"/>
    </row>
    <row r="329" spans="1:9" hidden="1" x14ac:dyDescent="0.2">
      <c r="A329" s="8" t="s">
        <v>3</v>
      </c>
      <c r="B329" s="5"/>
      <c r="C329" s="74"/>
      <c r="D329" s="6"/>
      <c r="E329" s="6"/>
      <c r="F329" s="6"/>
      <c r="G329" s="6"/>
      <c r="H329" s="6"/>
      <c r="I329" s="6"/>
    </row>
    <row r="330" spans="1:9" hidden="1" x14ac:dyDescent="0.2">
      <c r="A330" s="8" t="s">
        <v>4</v>
      </c>
      <c r="B330" s="5"/>
      <c r="C330" s="74"/>
      <c r="D330" s="6"/>
      <c r="E330" s="6"/>
      <c r="F330" s="6"/>
      <c r="G330" s="6"/>
      <c r="H330" s="6"/>
      <c r="I330" s="6"/>
    </row>
    <row r="331" spans="1:9" hidden="1" x14ac:dyDescent="0.2">
      <c r="A331" s="8" t="s">
        <v>5</v>
      </c>
      <c r="B331" s="5"/>
      <c r="C331" s="74"/>
      <c r="D331" s="6"/>
      <c r="E331" s="6"/>
      <c r="F331" s="6"/>
      <c r="G331" s="6"/>
      <c r="H331" s="6"/>
      <c r="I331" s="6"/>
    </row>
    <row r="332" spans="1:9" hidden="1" x14ac:dyDescent="0.2">
      <c r="A332" s="8" t="s">
        <v>6</v>
      </c>
      <c r="B332" s="5"/>
      <c r="C332" s="74"/>
      <c r="D332" s="6"/>
      <c r="E332" s="6"/>
      <c r="F332" s="6"/>
      <c r="G332" s="6"/>
      <c r="H332" s="6"/>
      <c r="I332" s="6"/>
    </row>
    <row r="333" spans="1:9" hidden="1" x14ac:dyDescent="0.2">
      <c r="A333" s="8" t="s">
        <v>7</v>
      </c>
      <c r="B333" s="5"/>
      <c r="C333" s="74"/>
      <c r="D333" s="6"/>
      <c r="E333" s="6"/>
      <c r="F333" s="6"/>
      <c r="G333" s="6"/>
      <c r="H333" s="6"/>
      <c r="I333" s="6"/>
    </row>
    <row r="334" spans="1:9" hidden="1" x14ac:dyDescent="0.2">
      <c r="A334" s="8" t="s">
        <v>8</v>
      </c>
      <c r="B334" s="5"/>
      <c r="C334" s="74"/>
      <c r="D334" s="6"/>
      <c r="E334" s="6"/>
      <c r="F334" s="6"/>
      <c r="G334" s="6"/>
      <c r="H334" s="6"/>
      <c r="I334" s="6"/>
    </row>
    <row r="335" spans="1:9" hidden="1" x14ac:dyDescent="0.2">
      <c r="A335" s="8" t="s">
        <v>9</v>
      </c>
      <c r="B335" s="5"/>
      <c r="C335" s="74"/>
      <c r="D335" s="6"/>
      <c r="E335" s="6"/>
      <c r="F335" s="6"/>
      <c r="G335" s="6"/>
      <c r="H335" s="6"/>
      <c r="I335" s="6"/>
    </row>
    <row r="336" spans="1:9" x14ac:dyDescent="0.2">
      <c r="A336" s="312" t="s">
        <v>10</v>
      </c>
      <c r="B336" s="313"/>
      <c r="C336" s="313"/>
      <c r="D336" s="313"/>
      <c r="E336" s="314"/>
      <c r="F336" s="11">
        <f>SUM(F326:F335)</f>
        <v>3</v>
      </c>
      <c r="G336" s="11">
        <f>SUM(G326:G335)</f>
        <v>0</v>
      </c>
      <c r="H336" s="11">
        <f>SUM(H326:H335)</f>
        <v>17</v>
      </c>
      <c r="I336" s="11"/>
    </row>
    <row r="337" spans="1:12" s="25" customFormat="1" ht="18" x14ac:dyDescent="0.2">
      <c r="A337" s="315" t="s">
        <v>39</v>
      </c>
      <c r="B337" s="316"/>
      <c r="C337" s="316"/>
      <c r="D337" s="316"/>
      <c r="E337" s="317"/>
      <c r="F337" s="22">
        <f>F269+F280+F291+F302+F314+F325+F336+F252</f>
        <v>83</v>
      </c>
      <c r="G337" s="22">
        <f>G269+G280+G291+G302+G314+G325+G336+G252</f>
        <v>15</v>
      </c>
      <c r="H337" s="22">
        <f>H269+H280+H291+H302+H314+H325+H336+H252</f>
        <v>534.5</v>
      </c>
      <c r="I337" s="22"/>
    </row>
    <row r="338" spans="1:12" ht="21.95" customHeight="1" x14ac:dyDescent="0.2">
      <c r="A338" s="319" t="s">
        <v>14</v>
      </c>
      <c r="B338" s="319"/>
      <c r="C338" s="319"/>
      <c r="D338" s="319"/>
      <c r="E338" s="319"/>
      <c r="F338" s="319"/>
      <c r="G338" s="319"/>
      <c r="H338" s="319"/>
      <c r="I338" s="319"/>
    </row>
    <row r="339" spans="1:12" s="53" customFormat="1" ht="20.100000000000001" customHeight="1" x14ac:dyDescent="0.2">
      <c r="A339" s="323" t="s">
        <v>86</v>
      </c>
      <c r="B339" s="323"/>
      <c r="C339" s="323"/>
      <c r="D339" s="323"/>
      <c r="E339" s="323"/>
      <c r="F339" s="50" t="str">
        <f>F254</f>
        <v>เมษายน</v>
      </c>
      <c r="G339" s="50" t="s">
        <v>87</v>
      </c>
      <c r="H339" s="51">
        <f>H254</f>
        <v>2569</v>
      </c>
      <c r="I339" s="52"/>
      <c r="L339" s="55"/>
    </row>
    <row r="340" spans="1:12" s="9" customFormat="1" ht="20.100000000000001" customHeight="1" x14ac:dyDescent="0.35">
      <c r="A340" s="329" t="s">
        <v>34</v>
      </c>
      <c r="B340" s="329"/>
      <c r="C340" s="329"/>
      <c r="D340" s="32"/>
      <c r="E340" s="3"/>
      <c r="F340" s="4"/>
      <c r="G340" s="4"/>
      <c r="H340" s="4" t="s">
        <v>21</v>
      </c>
      <c r="I340" s="40">
        <f>I255+1</f>
        <v>5</v>
      </c>
      <c r="L340" s="1"/>
    </row>
    <row r="341" spans="1:12" s="3" customFormat="1" ht="20.100000000000001" customHeight="1" x14ac:dyDescent="0.35">
      <c r="A341" s="318" t="s">
        <v>64</v>
      </c>
      <c r="B341" s="318"/>
      <c r="C341" s="318"/>
      <c r="D341" s="2"/>
      <c r="E341" s="39" t="s">
        <v>81</v>
      </c>
      <c r="F341" s="308" t="str">
        <f>F257</f>
        <v>จำนวนเที่ยว</v>
      </c>
      <c r="G341" s="308"/>
      <c r="H341" s="39" t="s">
        <v>82</v>
      </c>
      <c r="I341" s="34" t="str">
        <f>I257</f>
        <v>หมายเหตุ</v>
      </c>
      <c r="L341" s="1"/>
    </row>
    <row r="342" spans="1:12" s="3" customFormat="1" ht="20.100000000000001" customHeight="1" x14ac:dyDescent="0.35">
      <c r="A342" s="12" t="s">
        <v>23</v>
      </c>
      <c r="B342" s="13" t="s">
        <v>11</v>
      </c>
      <c r="C342" s="72" t="s">
        <v>26</v>
      </c>
      <c r="D342" s="12" t="s">
        <v>16</v>
      </c>
      <c r="E342" s="12" t="s">
        <v>17</v>
      </c>
      <c r="F342" s="310" t="s">
        <v>46</v>
      </c>
      <c r="G342" s="310"/>
      <c r="H342" s="310"/>
      <c r="I342" s="12" t="s">
        <v>19</v>
      </c>
      <c r="L342" s="1"/>
    </row>
    <row r="343" spans="1:12" x14ac:dyDescent="0.2">
      <c r="A343" s="15"/>
      <c r="B343" s="16"/>
      <c r="C343" s="73"/>
      <c r="D343" s="15"/>
      <c r="E343" s="15"/>
      <c r="F343" s="21" t="s">
        <v>113</v>
      </c>
      <c r="G343" s="21" t="s">
        <v>114</v>
      </c>
      <c r="H343" s="21" t="s">
        <v>20</v>
      </c>
      <c r="I343" s="15"/>
    </row>
    <row r="344" spans="1:12" x14ac:dyDescent="0.2">
      <c r="A344" s="8" t="s">
        <v>0</v>
      </c>
      <c r="B344" s="5">
        <f>B326+1</f>
        <v>46135</v>
      </c>
      <c r="C344" s="74" t="s">
        <v>1526</v>
      </c>
      <c r="D344" s="6" t="s">
        <v>178</v>
      </c>
      <c r="E344" s="6" t="s">
        <v>165</v>
      </c>
      <c r="F344" s="6">
        <v>1</v>
      </c>
      <c r="G344" s="6"/>
      <c r="H344" s="6">
        <v>6</v>
      </c>
      <c r="I344" s="6"/>
    </row>
    <row r="345" spans="1:12" x14ac:dyDescent="0.2">
      <c r="A345" s="8" t="s">
        <v>1</v>
      </c>
      <c r="B345" s="5"/>
      <c r="C345" s="74" t="s">
        <v>1529</v>
      </c>
      <c r="D345" s="6" t="s">
        <v>188</v>
      </c>
      <c r="E345" s="6" t="s">
        <v>165</v>
      </c>
      <c r="F345" s="6">
        <v>1</v>
      </c>
      <c r="G345" s="6"/>
      <c r="H345" s="6">
        <v>6</v>
      </c>
      <c r="I345" s="6"/>
    </row>
    <row r="346" spans="1:12" x14ac:dyDescent="0.2">
      <c r="A346" s="8" t="s">
        <v>2</v>
      </c>
      <c r="B346" s="5"/>
      <c r="C346" s="74" t="s">
        <v>1515</v>
      </c>
      <c r="D346" s="6" t="s">
        <v>211</v>
      </c>
      <c r="E346" s="6" t="s">
        <v>165</v>
      </c>
      <c r="F346" s="6">
        <v>1</v>
      </c>
      <c r="G346" s="6"/>
      <c r="H346" s="6">
        <v>6</v>
      </c>
      <c r="I346" s="6"/>
    </row>
    <row r="347" spans="1:12" x14ac:dyDescent="0.2">
      <c r="A347" s="8" t="s">
        <v>3</v>
      </c>
      <c r="B347" s="5"/>
      <c r="C347" s="74" t="s">
        <v>1530</v>
      </c>
      <c r="D347" s="6" t="s">
        <v>170</v>
      </c>
      <c r="E347" s="6" t="s">
        <v>165</v>
      </c>
      <c r="F347" s="6">
        <v>1</v>
      </c>
      <c r="G347" s="6"/>
      <c r="H347" s="6">
        <v>6</v>
      </c>
      <c r="I347" s="6"/>
    </row>
    <row r="348" spans="1:12" x14ac:dyDescent="0.2">
      <c r="A348" s="8" t="s">
        <v>4</v>
      </c>
      <c r="B348" s="5"/>
      <c r="C348" s="74" t="s">
        <v>1531</v>
      </c>
      <c r="D348" s="6" t="s">
        <v>361</v>
      </c>
      <c r="E348" s="6" t="s">
        <v>168</v>
      </c>
      <c r="F348" s="6">
        <v>1</v>
      </c>
      <c r="G348" s="6"/>
      <c r="H348" s="6">
        <v>4</v>
      </c>
      <c r="I348" s="6"/>
    </row>
    <row r="349" spans="1:12" x14ac:dyDescent="0.2">
      <c r="A349" s="8" t="s">
        <v>5</v>
      </c>
      <c r="B349" s="5"/>
      <c r="C349" s="74" t="s">
        <v>1532</v>
      </c>
      <c r="D349" s="6" t="s">
        <v>170</v>
      </c>
      <c r="E349" s="6" t="s">
        <v>165</v>
      </c>
      <c r="F349" s="6"/>
      <c r="G349" s="6">
        <v>1</v>
      </c>
      <c r="H349" s="6">
        <v>6</v>
      </c>
      <c r="I349" s="6"/>
    </row>
    <row r="350" spans="1:12" hidden="1" x14ac:dyDescent="0.2">
      <c r="A350" s="8" t="s">
        <v>6</v>
      </c>
      <c r="B350" s="5"/>
      <c r="C350" s="74"/>
      <c r="D350" s="6"/>
      <c r="E350" s="6"/>
      <c r="F350" s="6"/>
      <c r="G350" s="6"/>
      <c r="H350" s="6"/>
      <c r="I350" s="6"/>
    </row>
    <row r="351" spans="1:12" hidden="1" x14ac:dyDescent="0.2">
      <c r="A351" s="8" t="s">
        <v>7</v>
      </c>
      <c r="B351" s="5"/>
      <c r="C351" s="74"/>
      <c r="D351" s="6"/>
      <c r="E351" s="6"/>
      <c r="F351" s="6"/>
      <c r="G351" s="6"/>
      <c r="H351" s="6"/>
      <c r="I351" s="6"/>
    </row>
    <row r="352" spans="1:12" hidden="1" x14ac:dyDescent="0.2">
      <c r="A352" s="8" t="s">
        <v>8</v>
      </c>
      <c r="B352" s="5"/>
      <c r="C352" s="74"/>
      <c r="D352" s="6"/>
      <c r="E352" s="6"/>
      <c r="F352" s="6"/>
      <c r="G352" s="6"/>
      <c r="H352" s="6"/>
      <c r="I352" s="6"/>
    </row>
    <row r="353" spans="1:9" hidden="1" x14ac:dyDescent="0.2">
      <c r="A353" s="8" t="s">
        <v>9</v>
      </c>
      <c r="B353" s="5"/>
      <c r="C353" s="74"/>
      <c r="D353" s="6"/>
      <c r="E353" s="6"/>
      <c r="F353" s="6"/>
      <c r="G353" s="6"/>
      <c r="H353" s="6"/>
      <c r="I353" s="6"/>
    </row>
    <row r="354" spans="1:9" x14ac:dyDescent="0.2">
      <c r="A354" s="312" t="s">
        <v>10</v>
      </c>
      <c r="B354" s="313"/>
      <c r="C354" s="313"/>
      <c r="D354" s="313"/>
      <c r="E354" s="314"/>
      <c r="F354" s="11">
        <f>SUM(F344:F353)</f>
        <v>5</v>
      </c>
      <c r="G354" s="11">
        <f>SUM(G344:G353)</f>
        <v>1</v>
      </c>
      <c r="H354" s="11">
        <f>SUM(H344:H353)</f>
        <v>34</v>
      </c>
      <c r="I354" s="11"/>
    </row>
    <row r="355" spans="1:9" x14ac:dyDescent="0.2">
      <c r="A355" s="8" t="s">
        <v>0</v>
      </c>
      <c r="B355" s="5">
        <f>B344+1</f>
        <v>46136</v>
      </c>
      <c r="C355" s="74" t="s">
        <v>1597</v>
      </c>
      <c r="D355" s="6" t="s">
        <v>170</v>
      </c>
      <c r="E355" s="6" t="s">
        <v>184</v>
      </c>
      <c r="F355" s="6">
        <v>1</v>
      </c>
      <c r="G355" s="6"/>
      <c r="H355" s="6">
        <v>1</v>
      </c>
      <c r="I355" s="6"/>
    </row>
    <row r="356" spans="1:9" x14ac:dyDescent="0.2">
      <c r="A356" s="8" t="s">
        <v>1</v>
      </c>
      <c r="B356" s="5"/>
      <c r="C356" s="74" t="s">
        <v>1598</v>
      </c>
      <c r="D356" s="6" t="s">
        <v>170</v>
      </c>
      <c r="E356" s="6" t="s">
        <v>171</v>
      </c>
      <c r="F356" s="6">
        <v>1</v>
      </c>
      <c r="G356" s="6"/>
      <c r="H356" s="6">
        <v>6</v>
      </c>
      <c r="I356" s="6"/>
    </row>
    <row r="357" spans="1:9" x14ac:dyDescent="0.2">
      <c r="A357" s="8" t="s">
        <v>2</v>
      </c>
      <c r="B357" s="5"/>
      <c r="C357" s="74" t="s">
        <v>1599</v>
      </c>
      <c r="D357" s="6" t="s">
        <v>170</v>
      </c>
      <c r="E357" s="6" t="s">
        <v>171</v>
      </c>
      <c r="F357" s="6">
        <v>1</v>
      </c>
      <c r="G357" s="6"/>
      <c r="H357" s="6">
        <v>6</v>
      </c>
      <c r="I357" s="6"/>
    </row>
    <row r="358" spans="1:9" x14ac:dyDescent="0.2">
      <c r="A358" s="8" t="s">
        <v>3</v>
      </c>
      <c r="B358" s="5"/>
      <c r="C358" s="74" t="s">
        <v>1600</v>
      </c>
      <c r="D358" s="6" t="s">
        <v>170</v>
      </c>
      <c r="E358" s="6" t="s">
        <v>171</v>
      </c>
      <c r="F358" s="6">
        <v>1</v>
      </c>
      <c r="G358" s="6"/>
      <c r="H358" s="6">
        <v>6</v>
      </c>
      <c r="I358" s="6"/>
    </row>
    <row r="359" spans="1:9" x14ac:dyDescent="0.2">
      <c r="A359" s="8" t="s">
        <v>4</v>
      </c>
      <c r="B359" s="5"/>
      <c r="C359" s="74" t="s">
        <v>1601</v>
      </c>
      <c r="D359" s="6" t="s">
        <v>1536</v>
      </c>
      <c r="E359" s="6" t="s">
        <v>174</v>
      </c>
      <c r="F359" s="6">
        <v>1</v>
      </c>
      <c r="G359" s="6"/>
      <c r="H359" s="6">
        <v>6</v>
      </c>
      <c r="I359" s="6"/>
    </row>
    <row r="360" spans="1:9" x14ac:dyDescent="0.2">
      <c r="A360" s="8" t="s">
        <v>5</v>
      </c>
      <c r="B360" s="5"/>
      <c r="C360" s="74" t="s">
        <v>1602</v>
      </c>
      <c r="D360" s="6" t="s">
        <v>361</v>
      </c>
      <c r="E360" s="6" t="s">
        <v>463</v>
      </c>
      <c r="F360" s="6">
        <v>1</v>
      </c>
      <c r="G360" s="6"/>
      <c r="H360" s="6">
        <v>4</v>
      </c>
      <c r="I360" s="6"/>
    </row>
    <row r="361" spans="1:9" x14ac:dyDescent="0.2">
      <c r="A361" s="8" t="s">
        <v>6</v>
      </c>
      <c r="B361" s="5"/>
      <c r="C361" s="74" t="s">
        <v>1603</v>
      </c>
      <c r="D361" s="6" t="s">
        <v>253</v>
      </c>
      <c r="E361" s="6" t="s">
        <v>596</v>
      </c>
      <c r="F361" s="6"/>
      <c r="G361" s="6">
        <v>1</v>
      </c>
      <c r="H361" s="6">
        <v>6</v>
      </c>
      <c r="I361" s="6"/>
    </row>
    <row r="362" spans="1:9" x14ac:dyDescent="0.2">
      <c r="A362" s="8" t="s">
        <v>7</v>
      </c>
      <c r="B362" s="5"/>
      <c r="C362" s="74" t="s">
        <v>1604</v>
      </c>
      <c r="D362" s="6" t="s">
        <v>832</v>
      </c>
      <c r="E362" s="6" t="s">
        <v>168</v>
      </c>
      <c r="F362" s="6"/>
      <c r="G362" s="6">
        <v>1</v>
      </c>
      <c r="H362" s="6">
        <v>5.5</v>
      </c>
      <c r="I362" s="6"/>
    </row>
    <row r="363" spans="1:9" hidden="1" x14ac:dyDescent="0.2">
      <c r="A363" s="8" t="s">
        <v>8</v>
      </c>
      <c r="B363" s="5"/>
      <c r="C363" s="74"/>
      <c r="D363" s="6"/>
      <c r="E363" s="6"/>
      <c r="F363" s="6"/>
      <c r="G363" s="6"/>
      <c r="H363" s="6"/>
      <c r="I363" s="6"/>
    </row>
    <row r="364" spans="1:9" hidden="1" x14ac:dyDescent="0.2">
      <c r="A364" s="8" t="s">
        <v>9</v>
      </c>
      <c r="B364" s="5"/>
      <c r="C364" s="74"/>
      <c r="D364" s="6"/>
      <c r="E364" s="6"/>
      <c r="F364" s="6"/>
      <c r="G364" s="6"/>
      <c r="H364" s="6"/>
      <c r="I364" s="6"/>
    </row>
    <row r="365" spans="1:9" x14ac:dyDescent="0.2">
      <c r="A365" s="312" t="s">
        <v>10</v>
      </c>
      <c r="B365" s="313"/>
      <c r="C365" s="313"/>
      <c r="D365" s="313"/>
      <c r="E365" s="314"/>
      <c r="F365" s="11">
        <f>SUM(F355:F364)</f>
        <v>6</v>
      </c>
      <c r="G365" s="11">
        <f>SUM(G355:G364)</f>
        <v>2</v>
      </c>
      <c r="H365" s="11">
        <f>SUM(H355:H364)</f>
        <v>40.5</v>
      </c>
      <c r="I365" s="11"/>
    </row>
    <row r="366" spans="1:9" hidden="1" x14ac:dyDescent="0.2">
      <c r="A366" s="8" t="s">
        <v>0</v>
      </c>
      <c r="B366" s="5">
        <f>B355+1</f>
        <v>46137</v>
      </c>
      <c r="C366" s="74"/>
      <c r="D366" s="6"/>
      <c r="E366" s="6"/>
      <c r="F366" s="6"/>
      <c r="G366" s="6"/>
      <c r="H366" s="6"/>
      <c r="I366" s="6"/>
    </row>
    <row r="367" spans="1:9" hidden="1" x14ac:dyDescent="0.2">
      <c r="A367" s="8" t="s">
        <v>1</v>
      </c>
      <c r="B367" s="5"/>
      <c r="C367" s="74"/>
      <c r="D367" s="6"/>
      <c r="E367" s="6"/>
      <c r="F367" s="6"/>
      <c r="G367" s="6"/>
      <c r="H367" s="6"/>
      <c r="I367" s="6"/>
    </row>
    <row r="368" spans="1:9" hidden="1" x14ac:dyDescent="0.2">
      <c r="A368" s="8" t="s">
        <v>2</v>
      </c>
      <c r="B368" s="5"/>
      <c r="C368" s="74"/>
      <c r="D368" s="6"/>
      <c r="E368" s="6"/>
      <c r="F368" s="6"/>
      <c r="G368" s="6"/>
      <c r="H368" s="6"/>
      <c r="I368" s="6"/>
    </row>
    <row r="369" spans="1:9" hidden="1" x14ac:dyDescent="0.2">
      <c r="A369" s="8" t="s">
        <v>3</v>
      </c>
      <c r="B369" s="5"/>
      <c r="C369" s="74"/>
      <c r="D369" s="6"/>
      <c r="E369" s="6"/>
      <c r="F369" s="6"/>
      <c r="G369" s="6"/>
      <c r="H369" s="6"/>
      <c r="I369" s="6"/>
    </row>
    <row r="370" spans="1:9" hidden="1" x14ac:dyDescent="0.2">
      <c r="A370" s="8" t="s">
        <v>4</v>
      </c>
      <c r="B370" s="5"/>
      <c r="C370" s="74"/>
      <c r="D370" s="6"/>
      <c r="E370" s="6"/>
      <c r="F370" s="6"/>
      <c r="G370" s="6"/>
      <c r="H370" s="6"/>
      <c r="I370" s="6"/>
    </row>
    <row r="371" spans="1:9" hidden="1" x14ac:dyDescent="0.2">
      <c r="A371" s="8" t="s">
        <v>5</v>
      </c>
      <c r="B371" s="5"/>
      <c r="C371" s="74"/>
      <c r="D371" s="6"/>
      <c r="E371" s="6"/>
      <c r="F371" s="6"/>
      <c r="G371" s="6"/>
      <c r="H371" s="6"/>
      <c r="I371" s="6"/>
    </row>
    <row r="372" spans="1:9" hidden="1" x14ac:dyDescent="0.2">
      <c r="A372" s="8" t="s">
        <v>6</v>
      </c>
      <c r="B372" s="5"/>
      <c r="C372" s="74"/>
      <c r="D372" s="6"/>
      <c r="E372" s="6"/>
      <c r="F372" s="6"/>
      <c r="G372" s="6"/>
      <c r="H372" s="6"/>
      <c r="I372" s="6"/>
    </row>
    <row r="373" spans="1:9" hidden="1" x14ac:dyDescent="0.2">
      <c r="A373" s="8" t="s">
        <v>7</v>
      </c>
      <c r="B373" s="5"/>
      <c r="C373" s="74"/>
      <c r="D373" s="6"/>
      <c r="E373" s="6"/>
      <c r="F373" s="6"/>
      <c r="G373" s="6"/>
      <c r="H373" s="6"/>
      <c r="I373" s="6"/>
    </row>
    <row r="374" spans="1:9" hidden="1" x14ac:dyDescent="0.2">
      <c r="A374" s="8" t="s">
        <v>8</v>
      </c>
      <c r="B374" s="5"/>
      <c r="C374" s="74"/>
      <c r="D374" s="6"/>
      <c r="E374" s="6"/>
      <c r="F374" s="6"/>
      <c r="G374" s="6"/>
      <c r="H374" s="6"/>
      <c r="I374" s="6"/>
    </row>
    <row r="375" spans="1:9" hidden="1" x14ac:dyDescent="0.2">
      <c r="A375" s="8" t="s">
        <v>9</v>
      </c>
      <c r="B375" s="5"/>
      <c r="C375" s="74"/>
      <c r="D375" s="6"/>
      <c r="E375" s="6"/>
      <c r="F375" s="6"/>
      <c r="G375" s="6"/>
      <c r="H375" s="6"/>
      <c r="I375" s="6"/>
    </row>
    <row r="376" spans="1:9" hidden="1" x14ac:dyDescent="0.2">
      <c r="A376" s="312" t="s">
        <v>10</v>
      </c>
      <c r="B376" s="313"/>
      <c r="C376" s="313"/>
      <c r="D376" s="313"/>
      <c r="E376" s="314"/>
      <c r="F376" s="11">
        <f>SUM(F366:F375)</f>
        <v>0</v>
      </c>
      <c r="G376" s="11">
        <f>SUM(G366:G375)</f>
        <v>0</v>
      </c>
      <c r="H376" s="11">
        <f>SUM(H366:H375)</f>
        <v>0</v>
      </c>
      <c r="I376" s="11"/>
    </row>
    <row r="377" spans="1:9" hidden="1" x14ac:dyDescent="0.2">
      <c r="A377" s="8" t="s">
        <v>0</v>
      </c>
      <c r="B377" s="5">
        <f>B366+1</f>
        <v>46138</v>
      </c>
      <c r="C377" s="75"/>
      <c r="D377" s="6"/>
      <c r="E377" s="6"/>
      <c r="F377" s="6"/>
      <c r="G377" s="6"/>
      <c r="H377" s="6"/>
      <c r="I377" s="6"/>
    </row>
    <row r="378" spans="1:9" hidden="1" x14ac:dyDescent="0.2">
      <c r="A378" s="8" t="s">
        <v>1</v>
      </c>
      <c r="B378" s="5"/>
      <c r="C378" s="75"/>
      <c r="D378" s="6"/>
      <c r="E378" s="6"/>
      <c r="F378" s="6"/>
      <c r="G378" s="6"/>
      <c r="H378" s="6"/>
      <c r="I378" s="6"/>
    </row>
    <row r="379" spans="1:9" hidden="1" x14ac:dyDescent="0.2">
      <c r="A379" s="8" t="s">
        <v>2</v>
      </c>
      <c r="B379" s="5"/>
      <c r="C379" s="75"/>
      <c r="D379" s="6"/>
      <c r="E379" s="6"/>
      <c r="F379" s="6"/>
      <c r="G379" s="6"/>
      <c r="H379" s="6"/>
      <c r="I379" s="6"/>
    </row>
    <row r="380" spans="1:9" hidden="1" x14ac:dyDescent="0.2">
      <c r="A380" s="8" t="s">
        <v>3</v>
      </c>
      <c r="B380" s="5"/>
      <c r="C380" s="75"/>
      <c r="D380" s="6"/>
      <c r="E380" s="6"/>
      <c r="F380" s="6"/>
      <c r="G380" s="6"/>
      <c r="H380" s="6"/>
      <c r="I380" s="6"/>
    </row>
    <row r="381" spans="1:9" hidden="1" x14ac:dyDescent="0.2">
      <c r="A381" s="8" t="s">
        <v>4</v>
      </c>
      <c r="B381" s="5"/>
      <c r="C381" s="75"/>
      <c r="D381" s="6"/>
      <c r="E381" s="6"/>
      <c r="F381" s="6"/>
      <c r="G381" s="6"/>
      <c r="H381" s="6"/>
      <c r="I381" s="6"/>
    </row>
    <row r="382" spans="1:9" hidden="1" x14ac:dyDescent="0.2">
      <c r="A382" s="8" t="s">
        <v>5</v>
      </c>
      <c r="B382" s="5"/>
      <c r="C382" s="75"/>
      <c r="D382" s="6"/>
      <c r="E382" s="6"/>
      <c r="F382" s="6"/>
      <c r="G382" s="6"/>
      <c r="H382" s="6"/>
      <c r="I382" s="6"/>
    </row>
    <row r="383" spans="1:9" hidden="1" x14ac:dyDescent="0.2">
      <c r="A383" s="8" t="s">
        <v>6</v>
      </c>
      <c r="B383" s="5"/>
      <c r="C383" s="75"/>
      <c r="D383" s="6"/>
      <c r="E383" s="6"/>
      <c r="F383" s="6"/>
      <c r="G383" s="6"/>
      <c r="H383" s="6"/>
      <c r="I383" s="6"/>
    </row>
    <row r="384" spans="1:9" hidden="1" x14ac:dyDescent="0.2">
      <c r="A384" s="8" t="s">
        <v>7</v>
      </c>
      <c r="B384" s="5"/>
      <c r="C384" s="74"/>
      <c r="D384" s="6"/>
      <c r="E384" s="6"/>
      <c r="F384" s="6"/>
      <c r="G384" s="6"/>
      <c r="H384" s="6"/>
      <c r="I384" s="6"/>
    </row>
    <row r="385" spans="1:9" hidden="1" x14ac:dyDescent="0.2">
      <c r="A385" s="8" t="s">
        <v>8</v>
      </c>
      <c r="B385" s="5"/>
      <c r="C385" s="74"/>
      <c r="D385" s="6"/>
      <c r="E385" s="6"/>
      <c r="F385" s="6"/>
      <c r="G385" s="6"/>
      <c r="H385" s="6"/>
      <c r="I385" s="6"/>
    </row>
    <row r="386" spans="1:9" hidden="1" x14ac:dyDescent="0.2">
      <c r="A386" s="8" t="s">
        <v>9</v>
      </c>
      <c r="B386" s="5"/>
      <c r="C386" s="74"/>
      <c r="D386" s="6"/>
      <c r="E386" s="6"/>
      <c r="F386" s="6"/>
      <c r="G386" s="6"/>
      <c r="H386" s="6"/>
      <c r="I386" s="6"/>
    </row>
    <row r="387" spans="1:9" hidden="1" x14ac:dyDescent="0.2">
      <c r="A387" s="312" t="s">
        <v>10</v>
      </c>
      <c r="B387" s="313"/>
      <c r="C387" s="313"/>
      <c r="D387" s="313"/>
      <c r="E387" s="314"/>
      <c r="F387" s="11">
        <f>SUM(F377:F386)</f>
        <v>0</v>
      </c>
      <c r="G387" s="11">
        <f>SUM(G377:G386)</f>
        <v>0</v>
      </c>
      <c r="H387" s="11">
        <f>SUM(H377:H386)</f>
        <v>0</v>
      </c>
      <c r="I387" s="11"/>
    </row>
    <row r="388" spans="1:9" hidden="1" x14ac:dyDescent="0.2">
      <c r="A388" s="8" t="s">
        <v>0</v>
      </c>
      <c r="B388" s="5">
        <f>B377+1</f>
        <v>46139</v>
      </c>
      <c r="C388" s="75"/>
      <c r="D388" s="6"/>
      <c r="E388" s="6"/>
      <c r="F388" s="6"/>
      <c r="G388" s="6"/>
      <c r="H388" s="6"/>
      <c r="I388" s="6"/>
    </row>
    <row r="389" spans="1:9" hidden="1" x14ac:dyDescent="0.2">
      <c r="A389" s="8" t="s">
        <v>1</v>
      </c>
      <c r="B389" s="5"/>
      <c r="C389" s="75"/>
      <c r="D389" s="6"/>
      <c r="E389" s="6"/>
      <c r="F389" s="6"/>
      <c r="G389" s="6"/>
      <c r="H389" s="6"/>
      <c r="I389" s="6"/>
    </row>
    <row r="390" spans="1:9" hidden="1" x14ac:dyDescent="0.2">
      <c r="A390" s="8" t="s">
        <v>2</v>
      </c>
      <c r="B390" s="5"/>
      <c r="C390" s="75"/>
      <c r="D390" s="6"/>
      <c r="E390" s="6"/>
      <c r="F390" s="6"/>
      <c r="G390" s="6"/>
      <c r="H390" s="6"/>
      <c r="I390" s="6"/>
    </row>
    <row r="391" spans="1:9" hidden="1" x14ac:dyDescent="0.2">
      <c r="A391" s="8" t="s">
        <v>3</v>
      </c>
      <c r="B391" s="5"/>
      <c r="C391" s="75"/>
      <c r="D391" s="6"/>
      <c r="E391" s="6"/>
      <c r="F391" s="6"/>
      <c r="G391" s="6"/>
      <c r="H391" s="6"/>
      <c r="I391" s="6"/>
    </row>
    <row r="392" spans="1:9" hidden="1" x14ac:dyDescent="0.2">
      <c r="A392" s="8" t="s">
        <v>4</v>
      </c>
      <c r="B392" s="5"/>
      <c r="C392" s="75"/>
      <c r="D392" s="6"/>
      <c r="E392" s="6"/>
      <c r="F392" s="6"/>
      <c r="G392" s="6"/>
      <c r="H392" s="6"/>
      <c r="I392" s="6"/>
    </row>
    <row r="393" spans="1:9" hidden="1" x14ac:dyDescent="0.2">
      <c r="A393" s="8" t="s">
        <v>5</v>
      </c>
      <c r="B393" s="5"/>
      <c r="C393" s="75"/>
      <c r="D393" s="6"/>
      <c r="E393" s="6"/>
      <c r="F393" s="6"/>
      <c r="G393" s="6"/>
      <c r="H393" s="6"/>
      <c r="I393" s="6"/>
    </row>
    <row r="394" spans="1:9" hidden="1" x14ac:dyDescent="0.2">
      <c r="A394" s="8" t="s">
        <v>6</v>
      </c>
      <c r="B394" s="5"/>
      <c r="C394" s="74"/>
      <c r="D394" s="6"/>
      <c r="E394" s="6"/>
      <c r="F394" s="6"/>
      <c r="G394" s="6"/>
      <c r="H394" s="6"/>
      <c r="I394" s="6"/>
    </row>
    <row r="395" spans="1:9" hidden="1" x14ac:dyDescent="0.2">
      <c r="A395" s="8" t="s">
        <v>7</v>
      </c>
      <c r="B395" s="5"/>
      <c r="C395" s="74"/>
      <c r="D395" s="6"/>
      <c r="E395" s="6"/>
      <c r="F395" s="6"/>
      <c r="G395" s="6"/>
      <c r="H395" s="6"/>
      <c r="I395" s="6"/>
    </row>
    <row r="396" spans="1:9" hidden="1" x14ac:dyDescent="0.2">
      <c r="A396" s="8" t="s">
        <v>8</v>
      </c>
      <c r="B396" s="5"/>
      <c r="C396" s="74"/>
      <c r="D396" s="6"/>
      <c r="E396" s="6"/>
      <c r="F396" s="6"/>
      <c r="G396" s="6"/>
      <c r="H396" s="6"/>
      <c r="I396" s="6"/>
    </row>
    <row r="397" spans="1:9" hidden="1" x14ac:dyDescent="0.2">
      <c r="A397" s="8" t="s">
        <v>9</v>
      </c>
      <c r="B397" s="5"/>
      <c r="C397" s="74"/>
      <c r="D397" s="6"/>
      <c r="E397" s="6"/>
      <c r="F397" s="6"/>
      <c r="G397" s="6"/>
      <c r="H397" s="6"/>
      <c r="I397" s="6"/>
    </row>
    <row r="398" spans="1:9" hidden="1" x14ac:dyDescent="0.2">
      <c r="A398" s="312" t="s">
        <v>10</v>
      </c>
      <c r="B398" s="313"/>
      <c r="C398" s="313"/>
      <c r="D398" s="313"/>
      <c r="E398" s="314"/>
      <c r="F398" s="11">
        <f>SUM(F388:F397)</f>
        <v>0</v>
      </c>
      <c r="G398" s="11">
        <f>SUM(G388:G397)</f>
        <v>0</v>
      </c>
      <c r="H398" s="11">
        <f>SUM(H388:H397)</f>
        <v>0</v>
      </c>
      <c r="I398" s="11"/>
    </row>
    <row r="399" spans="1:9" hidden="1" x14ac:dyDescent="0.2">
      <c r="A399" s="8" t="s">
        <v>0</v>
      </c>
      <c r="B399" s="5"/>
      <c r="C399" s="75"/>
      <c r="D399" s="6"/>
      <c r="E399" s="6"/>
      <c r="F399" s="6"/>
      <c r="G399" s="6"/>
      <c r="H399" s="6"/>
      <c r="I399" s="6"/>
    </row>
    <row r="400" spans="1:9" hidden="1" x14ac:dyDescent="0.2">
      <c r="A400" s="8" t="s">
        <v>1</v>
      </c>
      <c r="B400" s="5"/>
      <c r="C400" s="75"/>
      <c r="D400" s="6"/>
      <c r="E400" s="6"/>
      <c r="F400" s="6"/>
      <c r="G400" s="6"/>
      <c r="H400" s="6"/>
      <c r="I400" s="6"/>
    </row>
    <row r="401" spans="1:9" hidden="1" x14ac:dyDescent="0.2">
      <c r="A401" s="8" t="s">
        <v>2</v>
      </c>
      <c r="B401" s="5"/>
      <c r="C401" s="75"/>
      <c r="D401" s="6"/>
      <c r="E401" s="6"/>
      <c r="F401" s="6"/>
      <c r="G401" s="6"/>
      <c r="H401" s="6"/>
      <c r="I401" s="6"/>
    </row>
    <row r="402" spans="1:9" hidden="1" x14ac:dyDescent="0.2">
      <c r="A402" s="8" t="s">
        <v>3</v>
      </c>
      <c r="B402" s="5"/>
      <c r="C402" s="75"/>
      <c r="D402" s="6"/>
      <c r="E402" s="6"/>
      <c r="F402" s="6"/>
      <c r="G402" s="6"/>
      <c r="H402" s="6"/>
      <c r="I402" s="6"/>
    </row>
    <row r="403" spans="1:9" hidden="1" x14ac:dyDescent="0.2">
      <c r="A403" s="8" t="s">
        <v>4</v>
      </c>
      <c r="B403" s="5"/>
      <c r="C403" s="75"/>
      <c r="D403" s="6"/>
      <c r="E403" s="6"/>
      <c r="F403" s="6"/>
      <c r="G403" s="6"/>
      <c r="H403" s="6"/>
      <c r="I403" s="6"/>
    </row>
    <row r="404" spans="1:9" hidden="1" x14ac:dyDescent="0.2">
      <c r="A404" s="8" t="s">
        <v>5</v>
      </c>
      <c r="B404" s="5"/>
      <c r="C404" s="75"/>
      <c r="D404" s="6"/>
      <c r="E404" s="6"/>
      <c r="F404" s="6"/>
      <c r="G404" s="6"/>
      <c r="H404" s="6"/>
      <c r="I404" s="6"/>
    </row>
    <row r="405" spans="1:9" hidden="1" x14ac:dyDescent="0.2">
      <c r="A405" s="8" t="s">
        <v>6</v>
      </c>
      <c r="B405" s="5"/>
      <c r="C405" s="75"/>
      <c r="D405" s="6"/>
      <c r="E405" s="6"/>
      <c r="F405" s="6"/>
      <c r="G405" s="6"/>
      <c r="H405" s="6"/>
      <c r="I405" s="6"/>
    </row>
    <row r="406" spans="1:9" hidden="1" x14ac:dyDescent="0.2">
      <c r="A406" s="8" t="s">
        <v>7</v>
      </c>
      <c r="B406" s="5"/>
      <c r="C406" s="75"/>
      <c r="D406" s="6"/>
      <c r="E406" s="6"/>
      <c r="F406" s="6"/>
      <c r="G406" s="6"/>
      <c r="H406" s="6"/>
      <c r="I406" s="6"/>
    </row>
    <row r="407" spans="1:9" hidden="1" x14ac:dyDescent="0.2">
      <c r="A407" s="8" t="s">
        <v>8</v>
      </c>
      <c r="B407" s="5"/>
      <c r="C407" s="75"/>
      <c r="D407" s="6"/>
      <c r="E407" s="6"/>
      <c r="F407" s="6"/>
      <c r="G407" s="6"/>
      <c r="H407" s="6"/>
      <c r="I407" s="6"/>
    </row>
    <row r="408" spans="1:9" hidden="1" x14ac:dyDescent="0.2">
      <c r="A408" s="8" t="s">
        <v>9</v>
      </c>
      <c r="B408" s="5"/>
      <c r="C408" s="75"/>
      <c r="D408" s="6"/>
      <c r="E408" s="6"/>
      <c r="F408" s="6"/>
      <c r="G408" s="6"/>
      <c r="H408" s="6"/>
      <c r="I408" s="6"/>
    </row>
    <row r="409" spans="1:9" hidden="1" x14ac:dyDescent="0.2">
      <c r="A409" s="312" t="s">
        <v>10</v>
      </c>
      <c r="B409" s="313"/>
      <c r="C409" s="313"/>
      <c r="D409" s="313"/>
      <c r="E409" s="314"/>
      <c r="F409" s="11">
        <f>SUM(F399:F408)</f>
        <v>0</v>
      </c>
      <c r="G409" s="11">
        <f>SUM(G399:G408)</f>
        <v>0</v>
      </c>
      <c r="H409" s="11">
        <f>SUM(H399:H408)</f>
        <v>0</v>
      </c>
      <c r="I409" s="11"/>
    </row>
    <row r="410" spans="1:9" hidden="1" x14ac:dyDescent="0.2">
      <c r="A410" s="8" t="s">
        <v>0</v>
      </c>
      <c r="B410" s="5"/>
      <c r="C410" s="74"/>
      <c r="D410" s="6"/>
      <c r="E410" s="6"/>
      <c r="F410" s="6"/>
      <c r="G410" s="6"/>
      <c r="H410" s="6"/>
      <c r="I410" s="6"/>
    </row>
    <row r="411" spans="1:9" hidden="1" x14ac:dyDescent="0.2">
      <c r="A411" s="8" t="s">
        <v>1</v>
      </c>
      <c r="B411" s="5"/>
      <c r="C411" s="74"/>
      <c r="D411" s="6"/>
      <c r="E411" s="6"/>
      <c r="F411" s="6"/>
      <c r="G411" s="6"/>
      <c r="H411" s="6"/>
      <c r="I411" s="6"/>
    </row>
    <row r="412" spans="1:9" hidden="1" x14ac:dyDescent="0.2">
      <c r="A412" s="8" t="s">
        <v>2</v>
      </c>
      <c r="B412" s="5"/>
      <c r="C412" s="74"/>
      <c r="D412" s="6"/>
      <c r="E412" s="6"/>
      <c r="F412" s="6"/>
      <c r="G412" s="6"/>
      <c r="H412" s="6"/>
      <c r="I412" s="6"/>
    </row>
    <row r="413" spans="1:9" hidden="1" x14ac:dyDescent="0.2">
      <c r="A413" s="8" t="s">
        <v>3</v>
      </c>
      <c r="B413" s="5"/>
      <c r="C413" s="74"/>
      <c r="D413" s="6"/>
      <c r="E413" s="6"/>
      <c r="F413" s="6"/>
      <c r="G413" s="6"/>
      <c r="H413" s="6"/>
      <c r="I413" s="6"/>
    </row>
    <row r="414" spans="1:9" hidden="1" x14ac:dyDescent="0.2">
      <c r="A414" s="8" t="s">
        <v>4</v>
      </c>
      <c r="B414" s="5"/>
      <c r="C414" s="74"/>
      <c r="D414" s="6"/>
      <c r="E414" s="6"/>
      <c r="F414" s="6"/>
      <c r="G414" s="6"/>
      <c r="H414" s="6"/>
      <c r="I414" s="6"/>
    </row>
    <row r="415" spans="1:9" hidden="1" x14ac:dyDescent="0.2">
      <c r="A415" s="8" t="s">
        <v>5</v>
      </c>
      <c r="B415" s="5"/>
      <c r="C415" s="74"/>
      <c r="D415" s="6"/>
      <c r="E415" s="6"/>
      <c r="F415" s="6"/>
      <c r="G415" s="6"/>
      <c r="H415" s="6"/>
      <c r="I415" s="6"/>
    </row>
    <row r="416" spans="1:9" hidden="1" x14ac:dyDescent="0.2">
      <c r="A416" s="8" t="s">
        <v>6</v>
      </c>
      <c r="B416" s="5"/>
      <c r="C416" s="74"/>
      <c r="D416" s="6"/>
      <c r="E416" s="6"/>
      <c r="F416" s="6"/>
      <c r="G416" s="6"/>
      <c r="H416" s="6"/>
      <c r="I416" s="6"/>
    </row>
    <row r="417" spans="1:9" hidden="1" x14ac:dyDescent="0.2">
      <c r="A417" s="8" t="s">
        <v>7</v>
      </c>
      <c r="B417" s="5"/>
      <c r="C417" s="74"/>
      <c r="D417" s="6"/>
      <c r="E417" s="6"/>
      <c r="F417" s="6"/>
      <c r="G417" s="6"/>
      <c r="H417" s="6"/>
      <c r="I417" s="6"/>
    </row>
    <row r="418" spans="1:9" hidden="1" x14ac:dyDescent="0.2">
      <c r="A418" s="8" t="s">
        <v>8</v>
      </c>
      <c r="B418" s="5"/>
      <c r="C418" s="74"/>
      <c r="D418" s="6"/>
      <c r="E418" s="6"/>
      <c r="F418" s="6"/>
      <c r="G418" s="6"/>
      <c r="H418" s="6"/>
      <c r="I418" s="6"/>
    </row>
    <row r="419" spans="1:9" hidden="1" x14ac:dyDescent="0.2">
      <c r="A419" s="8" t="s">
        <v>9</v>
      </c>
      <c r="B419" s="5"/>
      <c r="C419" s="74"/>
      <c r="D419" s="6"/>
      <c r="E419" s="6"/>
      <c r="F419" s="6"/>
      <c r="G419" s="6"/>
      <c r="H419" s="6"/>
      <c r="I419" s="6"/>
    </row>
    <row r="420" spans="1:9" hidden="1" x14ac:dyDescent="0.2">
      <c r="A420" s="312" t="s">
        <v>10</v>
      </c>
      <c r="B420" s="313"/>
      <c r="C420" s="313"/>
      <c r="D420" s="313"/>
      <c r="E420" s="314"/>
      <c r="F420" s="11">
        <f>SUM(F410:F419)</f>
        <v>0</v>
      </c>
      <c r="G420" s="11">
        <f>SUM(G410:G419)</f>
        <v>0</v>
      </c>
      <c r="H420" s="11">
        <f>SUM(H410:H419)</f>
        <v>0</v>
      </c>
      <c r="I420" s="11"/>
    </row>
    <row r="421" spans="1:9" s="25" customFormat="1" ht="18" x14ac:dyDescent="0.2">
      <c r="A421" s="315" t="s">
        <v>39</v>
      </c>
      <c r="B421" s="316"/>
      <c r="C421" s="316"/>
      <c r="D421" s="316"/>
      <c r="E421" s="317"/>
      <c r="F421" s="22">
        <f>F354+F365+F376+F387+F398+F409+F420+F337</f>
        <v>94</v>
      </c>
      <c r="G421" s="22">
        <f>G354+G365+G376+G387+G398+G409+G420+G337</f>
        <v>18</v>
      </c>
      <c r="H421" s="22">
        <f>H354+H365+H376+H387+H398+H409+H420+H337</f>
        <v>609</v>
      </c>
      <c r="I421" s="22"/>
    </row>
  </sheetData>
  <mergeCells count="70">
    <mergeCell ref="A17:E17"/>
    <mergeCell ref="A28:E28"/>
    <mergeCell ref="A39:E39"/>
    <mergeCell ref="A50:E50"/>
    <mergeCell ref="A61:E61"/>
    <mergeCell ref="A83:E83"/>
    <mergeCell ref="A85:I85"/>
    <mergeCell ref="A72:E72"/>
    <mergeCell ref="A218:E218"/>
    <mergeCell ref="A145:E145"/>
    <mergeCell ref="A87:C87"/>
    <mergeCell ref="F89:H89"/>
    <mergeCell ref="A101:E101"/>
    <mergeCell ref="A88:C88"/>
    <mergeCell ref="A112:E112"/>
    <mergeCell ref="A123:E123"/>
    <mergeCell ref="A134:E134"/>
    <mergeCell ref="A86:E86"/>
    <mergeCell ref="A156:E156"/>
    <mergeCell ref="A167:E167"/>
    <mergeCell ref="A169:I169"/>
    <mergeCell ref="A1:I1"/>
    <mergeCell ref="A3:C3"/>
    <mergeCell ref="A4:C4"/>
    <mergeCell ref="F5:H5"/>
    <mergeCell ref="A2:E2"/>
    <mergeCell ref="F4:G4"/>
    <mergeCell ref="A421:E421"/>
    <mergeCell ref="A420:E420"/>
    <mergeCell ref="A84:E84"/>
    <mergeCell ref="A168:E168"/>
    <mergeCell ref="A252:E252"/>
    <mergeCell ref="A337:E337"/>
    <mergeCell ref="A365:E365"/>
    <mergeCell ref="A376:E376"/>
    <mergeCell ref="A387:E387"/>
    <mergeCell ref="A398:E398"/>
    <mergeCell ref="A409:E409"/>
    <mergeCell ref="A325:E325"/>
    <mergeCell ref="A336:E336"/>
    <mergeCell ref="A340:C340"/>
    <mergeCell ref="A341:C341"/>
    <mergeCell ref="A251:E251"/>
    <mergeCell ref="F342:H342"/>
    <mergeCell ref="A354:E354"/>
    <mergeCell ref="A339:E339"/>
    <mergeCell ref="F341:G341"/>
    <mergeCell ref="F256:G256"/>
    <mergeCell ref="A256:C256"/>
    <mergeCell ref="A314:E314"/>
    <mergeCell ref="A338:I338"/>
    <mergeCell ref="F257:H257"/>
    <mergeCell ref="A269:E269"/>
    <mergeCell ref="A280:E280"/>
    <mergeCell ref="A291:E291"/>
    <mergeCell ref="F172:G172"/>
    <mergeCell ref="F88:G88"/>
    <mergeCell ref="A302:E302"/>
    <mergeCell ref="A240:E240"/>
    <mergeCell ref="A171:C171"/>
    <mergeCell ref="A172:C172"/>
    <mergeCell ref="F173:H173"/>
    <mergeCell ref="A185:E185"/>
    <mergeCell ref="A196:E196"/>
    <mergeCell ref="A207:E207"/>
    <mergeCell ref="A229:E229"/>
    <mergeCell ref="A170:E170"/>
    <mergeCell ref="A254:E254"/>
    <mergeCell ref="A253:I253"/>
    <mergeCell ref="A255:C255"/>
  </mergeCells>
  <phoneticPr fontId="1" type="noConversion"/>
  <pageMargins left="0.59055118110236227" right="0.39370078740157483" top="0.59055118110236227" bottom="0.39370078740157483" header="0.31496062992125984" footer="0.31496062992125984"/>
  <pageSetup paperSize="9" fitToHeight="5" orientation="portrait" r:id="rId1"/>
  <headerFooter>
    <oddFooter>&amp;C&amp;N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0"/>
  <sheetViews>
    <sheetView topLeftCell="A348" zoomScale="150" zoomScaleNormal="150" workbookViewId="0">
      <selection activeCell="A365" sqref="A365:XFD419"/>
    </sheetView>
  </sheetViews>
  <sheetFormatPr defaultColWidth="9" defaultRowHeight="17.25" x14ac:dyDescent="0.2"/>
  <cols>
    <col min="1" max="1" width="4" style="1" bestFit="1" customWidth="1"/>
    <col min="2" max="2" width="10.625" style="7" customWidth="1"/>
    <col min="3" max="3" width="11.25" style="76" customWidth="1"/>
    <col min="4" max="4" width="15.625" style="1" customWidth="1"/>
    <col min="5" max="5" width="10.625" style="1" customWidth="1"/>
    <col min="6" max="8" width="7.625" style="1" customWidth="1"/>
    <col min="9" max="9" width="18" style="1" customWidth="1"/>
    <col min="10" max="16384" width="9" style="1"/>
  </cols>
  <sheetData>
    <row r="1" spans="1:9" ht="21.95" customHeight="1" x14ac:dyDescent="0.2">
      <c r="A1" s="319" t="s">
        <v>14</v>
      </c>
      <c r="B1" s="319"/>
      <c r="C1" s="319"/>
      <c r="D1" s="319"/>
      <c r="E1" s="319"/>
      <c r="F1" s="319"/>
      <c r="G1" s="319"/>
      <c r="H1" s="319"/>
      <c r="I1" s="319"/>
    </row>
    <row r="2" spans="1:9" s="53" customFormat="1" ht="20.100000000000001" customHeight="1" x14ac:dyDescent="0.2">
      <c r="A2" s="323" t="s">
        <v>86</v>
      </c>
      <c r="B2" s="323"/>
      <c r="C2" s="323"/>
      <c r="D2" s="323"/>
      <c r="E2" s="323"/>
      <c r="F2" s="104" t="str">
        <f>'1'!$F$2</f>
        <v>เมษายน</v>
      </c>
      <c r="G2" s="50" t="s">
        <v>87</v>
      </c>
      <c r="H2" s="51">
        <f>'1'!$H$2</f>
        <v>2569</v>
      </c>
      <c r="I2" s="52"/>
    </row>
    <row r="3" spans="1:9" s="3" customFormat="1" ht="20.100000000000001" customHeight="1" x14ac:dyDescent="0.4">
      <c r="A3" s="318" t="s">
        <v>35</v>
      </c>
      <c r="B3" s="318"/>
      <c r="C3" s="318"/>
      <c r="D3" s="2"/>
      <c r="F3" s="4"/>
      <c r="G3" s="4"/>
      <c r="H3" s="4" t="s">
        <v>21</v>
      </c>
      <c r="I3" s="41">
        <v>1</v>
      </c>
    </row>
    <row r="4" spans="1:9" s="49" customFormat="1" ht="20.100000000000001" customHeight="1" x14ac:dyDescent="0.35">
      <c r="A4" s="327" t="s">
        <v>65</v>
      </c>
      <c r="B4" s="327"/>
      <c r="C4" s="327"/>
      <c r="D4" s="46"/>
      <c r="E4" s="47" t="s">
        <v>81</v>
      </c>
      <c r="F4" s="328">
        <f>'1'!$F$4</f>
        <v>46107</v>
      </c>
      <c r="G4" s="328"/>
      <c r="H4" s="47" t="s">
        <v>82</v>
      </c>
      <c r="I4" s="48">
        <f>'1'!$I$4</f>
        <v>46136</v>
      </c>
    </row>
    <row r="5" spans="1:9" x14ac:dyDescent="0.2">
      <c r="A5" s="12" t="s">
        <v>23</v>
      </c>
      <c r="B5" s="13" t="s">
        <v>11</v>
      </c>
      <c r="C5" s="72" t="s">
        <v>26</v>
      </c>
      <c r="D5" s="12" t="s">
        <v>16</v>
      </c>
      <c r="E5" s="12" t="s">
        <v>17</v>
      </c>
      <c r="F5" s="310" t="s">
        <v>46</v>
      </c>
      <c r="G5" s="310"/>
      <c r="H5" s="310"/>
      <c r="I5" s="12" t="s">
        <v>19</v>
      </c>
    </row>
    <row r="6" spans="1:9" x14ac:dyDescent="0.2">
      <c r="A6" s="15"/>
      <c r="B6" s="16"/>
      <c r="C6" s="73"/>
      <c r="D6" s="15"/>
      <c r="E6" s="15"/>
      <c r="F6" s="21" t="s">
        <v>113</v>
      </c>
      <c r="G6" s="21" t="s">
        <v>114</v>
      </c>
      <c r="H6" s="21" t="s">
        <v>20</v>
      </c>
      <c r="I6" s="15"/>
    </row>
    <row r="7" spans="1:9" x14ac:dyDescent="0.2">
      <c r="A7" s="8" t="s">
        <v>0</v>
      </c>
      <c r="B7" s="5">
        <f>'6'!B7</f>
        <v>46107</v>
      </c>
      <c r="C7" s="75" t="s">
        <v>200</v>
      </c>
      <c r="D7" s="6" t="s">
        <v>178</v>
      </c>
      <c r="E7" s="6" t="s">
        <v>165</v>
      </c>
      <c r="F7" s="6">
        <v>1</v>
      </c>
      <c r="G7" s="6"/>
      <c r="H7" s="6">
        <v>6</v>
      </c>
      <c r="I7" s="6"/>
    </row>
    <row r="8" spans="1:9" x14ac:dyDescent="0.2">
      <c r="A8" s="8" t="s">
        <v>1</v>
      </c>
      <c r="B8" s="5"/>
      <c r="C8" s="75" t="s">
        <v>201</v>
      </c>
      <c r="D8" s="6" t="s">
        <v>202</v>
      </c>
      <c r="E8" s="6" t="s">
        <v>165</v>
      </c>
      <c r="F8" s="6">
        <v>1</v>
      </c>
      <c r="G8" s="6"/>
      <c r="H8" s="6">
        <v>5</v>
      </c>
      <c r="I8" s="6"/>
    </row>
    <row r="9" spans="1:9" x14ac:dyDescent="0.2">
      <c r="A9" s="8" t="s">
        <v>2</v>
      </c>
      <c r="B9" s="5"/>
      <c r="C9" s="75" t="s">
        <v>203</v>
      </c>
      <c r="D9" s="6" t="s">
        <v>173</v>
      </c>
      <c r="E9" s="6" t="s">
        <v>174</v>
      </c>
      <c r="F9" s="6">
        <v>1</v>
      </c>
      <c r="G9" s="6"/>
      <c r="H9" s="6">
        <v>5</v>
      </c>
      <c r="I9" s="6"/>
    </row>
    <row r="10" spans="1:9" x14ac:dyDescent="0.2">
      <c r="A10" s="8" t="s">
        <v>3</v>
      </c>
      <c r="B10" s="5"/>
      <c r="C10" s="75" t="s">
        <v>204</v>
      </c>
      <c r="D10" s="6" t="s">
        <v>170</v>
      </c>
      <c r="E10" s="6" t="s">
        <v>171</v>
      </c>
      <c r="F10" s="6">
        <v>1</v>
      </c>
      <c r="G10" s="6"/>
      <c r="H10" s="6">
        <v>6</v>
      </c>
      <c r="I10" s="6"/>
    </row>
    <row r="11" spans="1:9" x14ac:dyDescent="0.2">
      <c r="A11" s="8" t="s">
        <v>4</v>
      </c>
      <c r="B11" s="5"/>
      <c r="C11" s="75" t="s">
        <v>205</v>
      </c>
      <c r="D11" s="6" t="s">
        <v>206</v>
      </c>
      <c r="E11" s="6" t="s">
        <v>171</v>
      </c>
      <c r="F11" s="6">
        <v>1</v>
      </c>
      <c r="G11" s="6"/>
      <c r="H11" s="6">
        <v>5</v>
      </c>
      <c r="I11" s="6"/>
    </row>
    <row r="12" spans="1:9" hidden="1" x14ac:dyDescent="0.2">
      <c r="A12" s="8" t="s">
        <v>5</v>
      </c>
      <c r="B12" s="5"/>
      <c r="C12" s="74"/>
      <c r="D12" s="6"/>
      <c r="E12" s="6"/>
      <c r="F12" s="6"/>
      <c r="G12" s="6"/>
      <c r="H12" s="6"/>
      <c r="I12" s="6"/>
    </row>
    <row r="13" spans="1:9" hidden="1" x14ac:dyDescent="0.2">
      <c r="A13" s="8" t="s">
        <v>6</v>
      </c>
      <c r="B13" s="5"/>
      <c r="C13" s="74"/>
      <c r="D13" s="6"/>
      <c r="E13" s="6"/>
      <c r="F13" s="6"/>
      <c r="G13" s="6"/>
      <c r="H13" s="6"/>
      <c r="I13" s="6"/>
    </row>
    <row r="14" spans="1:9" hidden="1" x14ac:dyDescent="0.2">
      <c r="A14" s="8" t="s">
        <v>7</v>
      </c>
      <c r="B14" s="5"/>
      <c r="C14" s="74"/>
      <c r="D14" s="6"/>
      <c r="E14" s="6"/>
      <c r="F14" s="6"/>
      <c r="G14" s="6"/>
      <c r="H14" s="6"/>
      <c r="I14" s="6"/>
    </row>
    <row r="15" spans="1:9" hidden="1" x14ac:dyDescent="0.2">
      <c r="A15" s="8" t="s">
        <v>8</v>
      </c>
      <c r="B15" s="5"/>
      <c r="C15" s="74"/>
      <c r="D15" s="6"/>
      <c r="E15" s="6"/>
      <c r="F15" s="6"/>
      <c r="G15" s="6"/>
      <c r="H15" s="6"/>
      <c r="I15" s="6"/>
    </row>
    <row r="16" spans="1:9" hidden="1" x14ac:dyDescent="0.2">
      <c r="A16" s="8" t="s">
        <v>9</v>
      </c>
      <c r="B16" s="5"/>
      <c r="C16" s="74"/>
      <c r="D16" s="6"/>
      <c r="E16" s="6"/>
      <c r="F16" s="6"/>
      <c r="G16" s="6"/>
      <c r="H16" s="6"/>
      <c r="I16" s="6"/>
    </row>
    <row r="17" spans="1:9" x14ac:dyDescent="0.2">
      <c r="A17" s="312" t="s">
        <v>10</v>
      </c>
      <c r="B17" s="313"/>
      <c r="C17" s="313"/>
      <c r="D17" s="313"/>
      <c r="E17" s="314"/>
      <c r="F17" s="11">
        <f>SUM(F7:F16)</f>
        <v>5</v>
      </c>
      <c r="G17" s="11">
        <f>SUM(G7:G16)</f>
        <v>0</v>
      </c>
      <c r="H17" s="11">
        <f>SUM(H7:H16)</f>
        <v>27</v>
      </c>
      <c r="I17" s="11"/>
    </row>
    <row r="18" spans="1:9" x14ac:dyDescent="0.2">
      <c r="A18" s="8" t="s">
        <v>0</v>
      </c>
      <c r="B18" s="5">
        <f>B7+1</f>
        <v>46108</v>
      </c>
      <c r="C18" s="75" t="s">
        <v>281</v>
      </c>
      <c r="D18" s="6" t="s">
        <v>282</v>
      </c>
      <c r="E18" s="6" t="s">
        <v>168</v>
      </c>
      <c r="F18" s="6">
        <v>1</v>
      </c>
      <c r="G18" s="6"/>
      <c r="H18" s="6">
        <v>5</v>
      </c>
      <c r="I18" s="6"/>
    </row>
    <row r="19" spans="1:9" x14ac:dyDescent="0.2">
      <c r="A19" s="8" t="s">
        <v>1</v>
      </c>
      <c r="B19" s="5"/>
      <c r="C19" s="75" t="s">
        <v>283</v>
      </c>
      <c r="D19" s="6" t="s">
        <v>242</v>
      </c>
      <c r="E19" s="6" t="s">
        <v>184</v>
      </c>
      <c r="F19" s="6">
        <v>1</v>
      </c>
      <c r="G19" s="6"/>
      <c r="H19" s="6">
        <v>1</v>
      </c>
      <c r="I19" s="6"/>
    </row>
    <row r="20" spans="1:9" x14ac:dyDescent="0.2">
      <c r="A20" s="8" t="s">
        <v>2</v>
      </c>
      <c r="B20" s="5"/>
      <c r="C20" s="75" t="s">
        <v>284</v>
      </c>
      <c r="D20" s="6" t="s">
        <v>170</v>
      </c>
      <c r="E20" s="6" t="s">
        <v>171</v>
      </c>
      <c r="F20" s="6">
        <v>1</v>
      </c>
      <c r="G20" s="6"/>
      <c r="H20" s="6">
        <v>6</v>
      </c>
      <c r="I20" s="6"/>
    </row>
    <row r="21" spans="1:9" x14ac:dyDescent="0.2">
      <c r="A21" s="8" t="s">
        <v>3</v>
      </c>
      <c r="B21" s="5"/>
      <c r="C21" s="75" t="s">
        <v>285</v>
      </c>
      <c r="D21" s="6" t="s">
        <v>242</v>
      </c>
      <c r="E21" s="6" t="s">
        <v>171</v>
      </c>
      <c r="F21" s="6">
        <v>1</v>
      </c>
      <c r="G21" s="6"/>
      <c r="H21" s="6">
        <v>5</v>
      </c>
      <c r="I21" s="6"/>
    </row>
    <row r="22" spans="1:9" x14ac:dyDescent="0.2">
      <c r="A22" s="8" t="s">
        <v>4</v>
      </c>
      <c r="B22" s="5"/>
      <c r="C22" s="75" t="s">
        <v>286</v>
      </c>
      <c r="D22" s="6" t="s">
        <v>170</v>
      </c>
      <c r="E22" s="6" t="s">
        <v>171</v>
      </c>
      <c r="F22" s="6">
        <v>1</v>
      </c>
      <c r="G22" s="6"/>
      <c r="H22" s="6">
        <v>6</v>
      </c>
      <c r="I22" s="6"/>
    </row>
    <row r="23" spans="1:9" x14ac:dyDescent="0.2">
      <c r="A23" s="8" t="s">
        <v>5</v>
      </c>
      <c r="B23" s="5"/>
      <c r="C23" s="75" t="s">
        <v>287</v>
      </c>
      <c r="D23" s="6" t="s">
        <v>242</v>
      </c>
      <c r="E23" s="6" t="s">
        <v>171</v>
      </c>
      <c r="F23" s="6"/>
      <c r="G23" s="6">
        <v>1</v>
      </c>
      <c r="H23" s="6">
        <v>6</v>
      </c>
      <c r="I23" s="6"/>
    </row>
    <row r="24" spans="1:9" x14ac:dyDescent="0.2">
      <c r="A24" s="8" t="s">
        <v>6</v>
      </c>
      <c r="B24" s="5"/>
      <c r="C24" s="75" t="s">
        <v>288</v>
      </c>
      <c r="D24" s="6" t="s">
        <v>170</v>
      </c>
      <c r="E24" s="6" t="s">
        <v>171</v>
      </c>
      <c r="F24" s="6"/>
      <c r="G24" s="6">
        <v>1</v>
      </c>
      <c r="H24" s="6">
        <v>6</v>
      </c>
      <c r="I24" s="6"/>
    </row>
    <row r="25" spans="1:9" x14ac:dyDescent="0.2">
      <c r="A25" s="8" t="s">
        <v>7</v>
      </c>
      <c r="B25" s="5"/>
      <c r="C25" s="75" t="s">
        <v>289</v>
      </c>
      <c r="D25" s="6" t="s">
        <v>170</v>
      </c>
      <c r="E25" s="6" t="s">
        <v>171</v>
      </c>
      <c r="F25" s="6"/>
      <c r="G25" s="6">
        <v>1</v>
      </c>
      <c r="H25" s="6">
        <v>6</v>
      </c>
      <c r="I25" s="6"/>
    </row>
    <row r="26" spans="1:9" hidden="1" x14ac:dyDescent="0.2">
      <c r="A26" s="8" t="s">
        <v>8</v>
      </c>
      <c r="B26" s="5"/>
      <c r="C26" s="74"/>
      <c r="D26" s="6"/>
      <c r="E26" s="6"/>
      <c r="F26" s="6"/>
      <c r="G26" s="6"/>
      <c r="H26" s="6"/>
      <c r="I26" s="6"/>
    </row>
    <row r="27" spans="1:9" hidden="1" x14ac:dyDescent="0.2">
      <c r="A27" s="8" t="s">
        <v>9</v>
      </c>
      <c r="B27" s="5"/>
      <c r="C27" s="74"/>
      <c r="D27" s="6"/>
      <c r="E27" s="6"/>
      <c r="F27" s="6"/>
      <c r="G27" s="6"/>
      <c r="H27" s="6"/>
      <c r="I27" s="6"/>
    </row>
    <row r="28" spans="1:9" x14ac:dyDescent="0.2">
      <c r="A28" s="312" t="s">
        <v>10</v>
      </c>
      <c r="B28" s="313"/>
      <c r="C28" s="313"/>
      <c r="D28" s="313"/>
      <c r="E28" s="314"/>
      <c r="F28" s="11">
        <f>SUM(F18:F27)</f>
        <v>5</v>
      </c>
      <c r="G28" s="11">
        <f>SUM(G18:G27)</f>
        <v>3</v>
      </c>
      <c r="H28" s="11">
        <f>SUM(H18:H27)</f>
        <v>41</v>
      </c>
      <c r="I28" s="11"/>
    </row>
    <row r="29" spans="1:9" hidden="1" x14ac:dyDescent="0.2">
      <c r="A29" s="8" t="s">
        <v>0</v>
      </c>
      <c r="B29" s="5">
        <f>B18+1</f>
        <v>46109</v>
      </c>
      <c r="C29" s="74"/>
      <c r="D29" s="6"/>
      <c r="E29" s="6"/>
      <c r="F29" s="6"/>
      <c r="G29" s="6"/>
      <c r="H29" s="6"/>
      <c r="I29" s="6"/>
    </row>
    <row r="30" spans="1:9" hidden="1" x14ac:dyDescent="0.2">
      <c r="A30" s="8" t="s">
        <v>1</v>
      </c>
      <c r="B30" s="5"/>
      <c r="C30" s="74"/>
      <c r="D30" s="6"/>
      <c r="E30" s="6"/>
      <c r="F30" s="6"/>
      <c r="G30" s="6"/>
      <c r="H30" s="6"/>
      <c r="I30" s="6"/>
    </row>
    <row r="31" spans="1:9" hidden="1" x14ac:dyDescent="0.2">
      <c r="A31" s="8" t="s">
        <v>2</v>
      </c>
      <c r="B31" s="5"/>
      <c r="C31" s="74"/>
      <c r="D31" s="6"/>
      <c r="E31" s="6"/>
      <c r="F31" s="6"/>
      <c r="G31" s="6"/>
      <c r="H31" s="6"/>
      <c r="I31" s="6"/>
    </row>
    <row r="32" spans="1:9" hidden="1" x14ac:dyDescent="0.2">
      <c r="A32" s="8" t="s">
        <v>3</v>
      </c>
      <c r="B32" s="5"/>
      <c r="C32" s="74"/>
      <c r="D32" s="6"/>
      <c r="E32" s="6"/>
      <c r="F32" s="6"/>
      <c r="G32" s="6"/>
      <c r="H32" s="6"/>
      <c r="I32" s="6"/>
    </row>
    <row r="33" spans="1:9" hidden="1" x14ac:dyDescent="0.2">
      <c r="A33" s="8" t="s">
        <v>4</v>
      </c>
      <c r="B33" s="5"/>
      <c r="C33" s="74"/>
      <c r="D33" s="6"/>
      <c r="E33" s="6"/>
      <c r="F33" s="6"/>
      <c r="G33" s="6"/>
      <c r="H33" s="6"/>
      <c r="I33" s="6"/>
    </row>
    <row r="34" spans="1:9" hidden="1" x14ac:dyDescent="0.2">
      <c r="A34" s="8" t="s">
        <v>5</v>
      </c>
      <c r="B34" s="5"/>
      <c r="C34" s="74"/>
      <c r="D34" s="6"/>
      <c r="E34" s="6"/>
      <c r="F34" s="6"/>
      <c r="G34" s="6"/>
      <c r="H34" s="6"/>
      <c r="I34" s="6"/>
    </row>
    <row r="35" spans="1:9" hidden="1" x14ac:dyDescent="0.2">
      <c r="A35" s="8" t="s">
        <v>6</v>
      </c>
      <c r="B35" s="5"/>
      <c r="C35" s="74"/>
      <c r="D35" s="6"/>
      <c r="E35" s="6"/>
      <c r="F35" s="6"/>
      <c r="G35" s="6"/>
      <c r="H35" s="6"/>
      <c r="I35" s="6"/>
    </row>
    <row r="36" spans="1:9" hidden="1" x14ac:dyDescent="0.2">
      <c r="A36" s="8" t="s">
        <v>7</v>
      </c>
      <c r="B36" s="5"/>
      <c r="C36" s="74"/>
      <c r="D36" s="6"/>
      <c r="E36" s="6"/>
      <c r="F36" s="6"/>
      <c r="G36" s="6"/>
      <c r="H36" s="6"/>
      <c r="I36" s="6"/>
    </row>
    <row r="37" spans="1:9" hidden="1" x14ac:dyDescent="0.2">
      <c r="A37" s="8" t="s">
        <v>8</v>
      </c>
      <c r="B37" s="5"/>
      <c r="C37" s="74"/>
      <c r="D37" s="6"/>
      <c r="E37" s="6"/>
      <c r="F37" s="6"/>
      <c r="G37" s="6"/>
      <c r="H37" s="6"/>
      <c r="I37" s="6"/>
    </row>
    <row r="38" spans="1:9" hidden="1" x14ac:dyDescent="0.2">
      <c r="A38" s="8" t="s">
        <v>9</v>
      </c>
      <c r="B38" s="5"/>
      <c r="C38" s="74"/>
      <c r="D38" s="6"/>
      <c r="E38" s="6"/>
      <c r="F38" s="6"/>
      <c r="G38" s="6"/>
      <c r="H38" s="6"/>
      <c r="I38" s="6"/>
    </row>
    <row r="39" spans="1:9" hidden="1" x14ac:dyDescent="0.2">
      <c r="A39" s="312" t="s">
        <v>10</v>
      </c>
      <c r="B39" s="313"/>
      <c r="C39" s="313"/>
      <c r="D39" s="313"/>
      <c r="E39" s="314"/>
      <c r="F39" s="11">
        <f>SUM(F29:F38)</f>
        <v>0</v>
      </c>
      <c r="G39" s="11">
        <f>SUM(G29:G38)</f>
        <v>0</v>
      </c>
      <c r="H39" s="11">
        <f>SUM(H29:H38)</f>
        <v>0</v>
      </c>
      <c r="I39" s="11"/>
    </row>
    <row r="40" spans="1:9" hidden="1" x14ac:dyDescent="0.2">
      <c r="A40" s="8" t="s">
        <v>0</v>
      </c>
      <c r="B40" s="5">
        <f>B29+1</f>
        <v>46110</v>
      </c>
      <c r="C40" s="75"/>
      <c r="D40" s="6"/>
      <c r="E40" s="6"/>
      <c r="F40" s="6"/>
      <c r="G40" s="6"/>
      <c r="H40" s="6"/>
      <c r="I40" s="6"/>
    </row>
    <row r="41" spans="1:9" hidden="1" x14ac:dyDescent="0.2">
      <c r="A41" s="8" t="s">
        <v>1</v>
      </c>
      <c r="B41" s="5"/>
      <c r="C41" s="75"/>
      <c r="D41" s="6"/>
      <c r="E41" s="6"/>
      <c r="F41" s="6"/>
      <c r="G41" s="6"/>
      <c r="H41" s="6"/>
      <c r="I41" s="6"/>
    </row>
    <row r="42" spans="1:9" hidden="1" x14ac:dyDescent="0.2">
      <c r="A42" s="8" t="s">
        <v>2</v>
      </c>
      <c r="B42" s="5"/>
      <c r="C42" s="75"/>
      <c r="D42" s="6"/>
      <c r="E42" s="6"/>
      <c r="F42" s="6"/>
      <c r="G42" s="6"/>
      <c r="H42" s="6"/>
      <c r="I42" s="6"/>
    </row>
    <row r="43" spans="1:9" hidden="1" x14ac:dyDescent="0.2">
      <c r="A43" s="8" t="s">
        <v>3</v>
      </c>
      <c r="B43" s="5"/>
      <c r="C43" s="75"/>
      <c r="D43" s="6"/>
      <c r="E43" s="6"/>
      <c r="F43" s="6"/>
      <c r="G43" s="6"/>
      <c r="H43" s="6"/>
      <c r="I43" s="6"/>
    </row>
    <row r="44" spans="1:9" hidden="1" x14ac:dyDescent="0.2">
      <c r="A44" s="8" t="s">
        <v>4</v>
      </c>
      <c r="B44" s="5"/>
      <c r="C44" s="75"/>
      <c r="D44" s="6"/>
      <c r="E44" s="6"/>
      <c r="F44" s="6"/>
      <c r="G44" s="6"/>
      <c r="H44" s="6"/>
      <c r="I44" s="6"/>
    </row>
    <row r="45" spans="1:9" hidden="1" x14ac:dyDescent="0.2">
      <c r="A45" s="8" t="s">
        <v>5</v>
      </c>
      <c r="B45" s="5"/>
      <c r="C45" s="75"/>
      <c r="D45" s="6"/>
      <c r="E45" s="6"/>
      <c r="F45" s="6"/>
      <c r="G45" s="6"/>
      <c r="H45" s="6"/>
      <c r="I45" s="6"/>
    </row>
    <row r="46" spans="1:9" hidden="1" x14ac:dyDescent="0.2">
      <c r="A46" s="8" t="s">
        <v>6</v>
      </c>
      <c r="B46" s="5"/>
      <c r="C46" s="75"/>
      <c r="D46" s="6"/>
      <c r="E46" s="6"/>
      <c r="F46" s="6"/>
      <c r="G46" s="6"/>
      <c r="H46" s="6"/>
      <c r="I46" s="6"/>
    </row>
    <row r="47" spans="1:9" hidden="1" x14ac:dyDescent="0.2">
      <c r="A47" s="8" t="s">
        <v>7</v>
      </c>
      <c r="B47" s="5"/>
      <c r="C47" s="74"/>
      <c r="D47" s="6"/>
      <c r="E47" s="6"/>
      <c r="F47" s="6"/>
      <c r="G47" s="6"/>
      <c r="H47" s="6"/>
      <c r="I47" s="6"/>
    </row>
    <row r="48" spans="1:9" hidden="1" x14ac:dyDescent="0.2">
      <c r="A48" s="8" t="s">
        <v>8</v>
      </c>
      <c r="B48" s="5"/>
      <c r="C48" s="74"/>
      <c r="D48" s="6"/>
      <c r="E48" s="6"/>
      <c r="F48" s="6"/>
      <c r="G48" s="6"/>
      <c r="H48" s="6"/>
      <c r="I48" s="6"/>
    </row>
    <row r="49" spans="1:9" hidden="1" x14ac:dyDescent="0.2">
      <c r="A49" s="8" t="s">
        <v>9</v>
      </c>
      <c r="B49" s="5"/>
      <c r="C49" s="74"/>
      <c r="D49" s="6"/>
      <c r="E49" s="6"/>
      <c r="F49" s="6"/>
      <c r="G49" s="6"/>
      <c r="H49" s="6"/>
      <c r="I49" s="6"/>
    </row>
    <row r="50" spans="1:9" hidden="1" x14ac:dyDescent="0.2">
      <c r="A50" s="312" t="s">
        <v>10</v>
      </c>
      <c r="B50" s="313"/>
      <c r="C50" s="313"/>
      <c r="D50" s="313"/>
      <c r="E50" s="314"/>
      <c r="F50" s="11">
        <f>SUM(F40:F49)</f>
        <v>0</v>
      </c>
      <c r="G50" s="11">
        <f>SUM(G40:G49)</f>
        <v>0</v>
      </c>
      <c r="H50" s="11">
        <f>SUM(H40:H49)</f>
        <v>0</v>
      </c>
      <c r="I50" s="11"/>
    </row>
    <row r="51" spans="1:9" x14ac:dyDescent="0.2">
      <c r="A51" s="8" t="s">
        <v>0</v>
      </c>
      <c r="B51" s="5">
        <f>B40+1</f>
        <v>46111</v>
      </c>
      <c r="C51" s="75" t="s">
        <v>477</v>
      </c>
      <c r="D51" s="6" t="s">
        <v>347</v>
      </c>
      <c r="E51" s="6" t="s">
        <v>441</v>
      </c>
      <c r="F51" s="6">
        <v>1</v>
      </c>
      <c r="G51" s="6"/>
      <c r="H51" s="6">
        <v>6</v>
      </c>
      <c r="I51" s="6"/>
    </row>
    <row r="52" spans="1:9" x14ac:dyDescent="0.2">
      <c r="A52" s="8" t="s">
        <v>1</v>
      </c>
      <c r="B52" s="5"/>
      <c r="C52" s="75" t="s">
        <v>478</v>
      </c>
      <c r="D52" s="6" t="s">
        <v>170</v>
      </c>
      <c r="E52" s="6" t="s">
        <v>171</v>
      </c>
      <c r="F52" s="6">
        <v>1</v>
      </c>
      <c r="G52" s="6"/>
      <c r="H52" s="6">
        <v>6</v>
      </c>
      <c r="I52" s="6"/>
    </row>
    <row r="53" spans="1:9" x14ac:dyDescent="0.2">
      <c r="A53" s="8" t="s">
        <v>2</v>
      </c>
      <c r="B53" s="5"/>
      <c r="C53" s="75" t="s">
        <v>481</v>
      </c>
      <c r="D53" s="6" t="s">
        <v>170</v>
      </c>
      <c r="E53" s="6" t="s">
        <v>171</v>
      </c>
      <c r="F53" s="6">
        <v>1</v>
      </c>
      <c r="G53" s="6"/>
      <c r="H53" s="6">
        <v>6</v>
      </c>
      <c r="I53" s="6"/>
    </row>
    <row r="54" spans="1:9" x14ac:dyDescent="0.2">
      <c r="A54" s="8" t="s">
        <v>3</v>
      </c>
      <c r="B54" s="5"/>
      <c r="C54" s="75" t="s">
        <v>483</v>
      </c>
      <c r="D54" s="6" t="s">
        <v>334</v>
      </c>
      <c r="E54" s="6" t="s">
        <v>168</v>
      </c>
      <c r="F54" s="6">
        <v>1</v>
      </c>
      <c r="G54" s="6"/>
      <c r="H54" s="6">
        <v>4</v>
      </c>
      <c r="I54" s="6"/>
    </row>
    <row r="55" spans="1:9" x14ac:dyDescent="0.2">
      <c r="A55" s="8" t="s">
        <v>4</v>
      </c>
      <c r="B55" s="5"/>
      <c r="C55" s="75" t="s">
        <v>484</v>
      </c>
      <c r="D55" s="6" t="s">
        <v>170</v>
      </c>
      <c r="E55" s="6" t="s">
        <v>174</v>
      </c>
      <c r="F55" s="6">
        <v>1</v>
      </c>
      <c r="G55" s="6"/>
      <c r="H55" s="6">
        <v>6</v>
      </c>
      <c r="I55" s="6"/>
    </row>
    <row r="56" spans="1:9" x14ac:dyDescent="0.2">
      <c r="A56" s="8" t="s">
        <v>5</v>
      </c>
      <c r="B56" s="5"/>
      <c r="C56" s="75" t="s">
        <v>485</v>
      </c>
      <c r="D56" s="6" t="s">
        <v>361</v>
      </c>
      <c r="E56" s="6" t="s">
        <v>463</v>
      </c>
      <c r="F56" s="6">
        <v>1</v>
      </c>
      <c r="G56" s="6"/>
      <c r="H56" s="6">
        <v>4.5</v>
      </c>
      <c r="I56" s="6"/>
    </row>
    <row r="57" spans="1:9" x14ac:dyDescent="0.2">
      <c r="A57" s="8" t="s">
        <v>6</v>
      </c>
      <c r="B57" s="5"/>
      <c r="C57" s="74" t="s">
        <v>486</v>
      </c>
      <c r="D57" s="6" t="s">
        <v>188</v>
      </c>
      <c r="E57" s="6" t="s">
        <v>165</v>
      </c>
      <c r="F57" s="6"/>
      <c r="G57" s="6">
        <v>1</v>
      </c>
      <c r="H57" s="6">
        <v>6</v>
      </c>
      <c r="I57" s="6"/>
    </row>
    <row r="58" spans="1:9" hidden="1" x14ac:dyDescent="0.2">
      <c r="A58" s="8" t="s">
        <v>7</v>
      </c>
      <c r="B58" s="5"/>
      <c r="C58" s="74"/>
      <c r="D58" s="6"/>
      <c r="E58" s="6"/>
      <c r="F58" s="6"/>
      <c r="G58" s="6"/>
      <c r="H58" s="6"/>
      <c r="I58" s="6"/>
    </row>
    <row r="59" spans="1:9" hidden="1" x14ac:dyDescent="0.2">
      <c r="A59" s="8" t="s">
        <v>8</v>
      </c>
      <c r="B59" s="5"/>
      <c r="C59" s="74"/>
      <c r="D59" s="6"/>
      <c r="E59" s="6"/>
      <c r="F59" s="6"/>
      <c r="G59" s="6"/>
      <c r="H59" s="6"/>
      <c r="I59" s="6"/>
    </row>
    <row r="60" spans="1:9" hidden="1" x14ac:dyDescent="0.2">
      <c r="A60" s="8" t="s">
        <v>9</v>
      </c>
      <c r="B60" s="5"/>
      <c r="C60" s="74"/>
      <c r="D60" s="6"/>
      <c r="E60" s="6"/>
      <c r="F60" s="6"/>
      <c r="G60" s="6"/>
      <c r="H60" s="6"/>
      <c r="I60" s="6"/>
    </row>
    <row r="61" spans="1:9" x14ac:dyDescent="0.2">
      <c r="A61" s="312" t="s">
        <v>10</v>
      </c>
      <c r="B61" s="313"/>
      <c r="C61" s="313"/>
      <c r="D61" s="313"/>
      <c r="E61" s="314"/>
      <c r="F61" s="11">
        <f>SUM(F51:F60)</f>
        <v>6</v>
      </c>
      <c r="G61" s="11">
        <f>SUM(G51:G60)</f>
        <v>1</v>
      </c>
      <c r="H61" s="11">
        <f>SUM(H51:H60)</f>
        <v>38.5</v>
      </c>
      <c r="I61" s="11"/>
    </row>
    <row r="62" spans="1:9" x14ac:dyDescent="0.2">
      <c r="A62" s="8" t="s">
        <v>0</v>
      </c>
      <c r="B62" s="5">
        <f>B51+1</f>
        <v>46112</v>
      </c>
      <c r="C62" s="75" t="s">
        <v>547</v>
      </c>
      <c r="D62" s="6" t="s">
        <v>342</v>
      </c>
      <c r="E62" s="6" t="s">
        <v>165</v>
      </c>
      <c r="F62" s="6">
        <v>1</v>
      </c>
      <c r="G62" s="6"/>
      <c r="H62" s="6">
        <v>6</v>
      </c>
      <c r="I62" s="6"/>
    </row>
    <row r="63" spans="1:9" x14ac:dyDescent="0.2">
      <c r="A63" s="8" t="s">
        <v>1</v>
      </c>
      <c r="B63" s="5"/>
      <c r="C63" s="75" t="s">
        <v>548</v>
      </c>
      <c r="D63" s="6" t="s">
        <v>202</v>
      </c>
      <c r="E63" s="6" t="s">
        <v>165</v>
      </c>
      <c r="F63" s="6">
        <v>1</v>
      </c>
      <c r="G63" s="6"/>
      <c r="H63" s="6">
        <v>1.5</v>
      </c>
      <c r="I63" s="6"/>
    </row>
    <row r="64" spans="1:9" x14ac:dyDescent="0.2">
      <c r="A64" s="8" t="s">
        <v>2</v>
      </c>
      <c r="B64" s="5"/>
      <c r="C64" s="75" t="s">
        <v>549</v>
      </c>
      <c r="D64" s="6" t="s">
        <v>170</v>
      </c>
      <c r="E64" s="6" t="s">
        <v>171</v>
      </c>
      <c r="F64" s="6">
        <v>1</v>
      </c>
      <c r="G64" s="6"/>
      <c r="H64" s="6">
        <v>6</v>
      </c>
      <c r="I64" s="6"/>
    </row>
    <row r="65" spans="1:9" x14ac:dyDescent="0.2">
      <c r="A65" s="8" t="s">
        <v>3</v>
      </c>
      <c r="B65" s="5"/>
      <c r="C65" s="75" t="s">
        <v>552</v>
      </c>
      <c r="D65" s="6" t="s">
        <v>173</v>
      </c>
      <c r="E65" s="6" t="s">
        <v>441</v>
      </c>
      <c r="F65" s="6">
        <v>1</v>
      </c>
      <c r="G65" s="6"/>
      <c r="H65" s="6">
        <v>6</v>
      </c>
      <c r="I65" s="6"/>
    </row>
    <row r="66" spans="1:9" x14ac:dyDescent="0.2">
      <c r="A66" s="8" t="s">
        <v>4</v>
      </c>
      <c r="B66" s="5"/>
      <c r="C66" s="75" t="s">
        <v>550</v>
      </c>
      <c r="D66" s="6" t="s">
        <v>170</v>
      </c>
      <c r="E66" s="6" t="s">
        <v>171</v>
      </c>
      <c r="F66" s="6">
        <v>1</v>
      </c>
      <c r="G66" s="6"/>
      <c r="H66" s="6">
        <v>6</v>
      </c>
      <c r="I66" s="6"/>
    </row>
    <row r="67" spans="1:9" x14ac:dyDescent="0.2">
      <c r="A67" s="8" t="s">
        <v>5</v>
      </c>
      <c r="B67" s="5"/>
      <c r="C67" s="75" t="s">
        <v>553</v>
      </c>
      <c r="D67" s="6" t="s">
        <v>170</v>
      </c>
      <c r="E67" s="6" t="s">
        <v>171</v>
      </c>
      <c r="F67" s="6">
        <v>1</v>
      </c>
      <c r="G67" s="6"/>
      <c r="H67" s="6">
        <v>6</v>
      </c>
      <c r="I67" s="6"/>
    </row>
    <row r="68" spans="1:9" x14ac:dyDescent="0.2">
      <c r="A68" s="8" t="s">
        <v>6</v>
      </c>
      <c r="B68" s="5"/>
      <c r="C68" s="75" t="s">
        <v>551</v>
      </c>
      <c r="D68" s="6" t="s">
        <v>170</v>
      </c>
      <c r="E68" s="6" t="s">
        <v>171</v>
      </c>
      <c r="F68" s="6"/>
      <c r="G68" s="6">
        <v>1</v>
      </c>
      <c r="H68" s="6">
        <v>6</v>
      </c>
      <c r="I68" s="6"/>
    </row>
    <row r="69" spans="1:9" hidden="1" x14ac:dyDescent="0.2">
      <c r="A69" s="8" t="s">
        <v>7</v>
      </c>
      <c r="B69" s="5"/>
      <c r="C69" s="75"/>
      <c r="D69" s="6"/>
      <c r="E69" s="6"/>
      <c r="F69" s="6"/>
      <c r="G69" s="6"/>
      <c r="H69" s="6"/>
      <c r="I69" s="6"/>
    </row>
    <row r="70" spans="1:9" hidden="1" x14ac:dyDescent="0.2">
      <c r="A70" s="8" t="s">
        <v>8</v>
      </c>
      <c r="B70" s="5"/>
      <c r="C70" s="75"/>
      <c r="D70" s="6"/>
      <c r="E70" s="6"/>
      <c r="F70" s="6"/>
      <c r="G70" s="6"/>
      <c r="H70" s="6"/>
      <c r="I70" s="6"/>
    </row>
    <row r="71" spans="1:9" hidden="1" x14ac:dyDescent="0.2">
      <c r="A71" s="8" t="s">
        <v>9</v>
      </c>
      <c r="B71" s="5"/>
      <c r="C71" s="75"/>
      <c r="D71" s="6"/>
      <c r="E71" s="6"/>
      <c r="F71" s="6"/>
      <c r="G71" s="6"/>
      <c r="H71" s="6"/>
      <c r="I71" s="6"/>
    </row>
    <row r="72" spans="1:9" x14ac:dyDescent="0.2">
      <c r="A72" s="312" t="s">
        <v>10</v>
      </c>
      <c r="B72" s="313"/>
      <c r="C72" s="313"/>
      <c r="D72" s="313"/>
      <c r="E72" s="314"/>
      <c r="F72" s="11">
        <f>SUM(F62:F71)</f>
        <v>6</v>
      </c>
      <c r="G72" s="11">
        <f>SUM(G62:G71)</f>
        <v>1</v>
      </c>
      <c r="H72" s="11">
        <f>SUM(H62:H71)</f>
        <v>37.5</v>
      </c>
      <c r="I72" s="11"/>
    </row>
    <row r="73" spans="1:9" x14ac:dyDescent="0.2">
      <c r="A73" s="8" t="s">
        <v>0</v>
      </c>
      <c r="B73" s="5">
        <f>B62+1</f>
        <v>46113</v>
      </c>
      <c r="C73" s="74" t="s">
        <v>617</v>
      </c>
      <c r="D73" s="6" t="s">
        <v>188</v>
      </c>
      <c r="E73" s="6" t="s">
        <v>165</v>
      </c>
      <c r="F73" s="6">
        <v>1</v>
      </c>
      <c r="G73" s="6"/>
      <c r="H73" s="6">
        <v>6</v>
      </c>
      <c r="I73" s="6"/>
    </row>
    <row r="74" spans="1:9" x14ac:dyDescent="0.2">
      <c r="A74" s="8" t="s">
        <v>1</v>
      </c>
      <c r="B74" s="5"/>
      <c r="C74" s="74" t="s">
        <v>618</v>
      </c>
      <c r="D74" s="6" t="s">
        <v>347</v>
      </c>
      <c r="E74" s="6" t="s">
        <v>165</v>
      </c>
      <c r="F74" s="6">
        <v>1</v>
      </c>
      <c r="G74" s="6"/>
      <c r="H74" s="6">
        <v>2</v>
      </c>
      <c r="I74" s="6"/>
    </row>
    <row r="75" spans="1:9" x14ac:dyDescent="0.2">
      <c r="A75" s="8" t="s">
        <v>2</v>
      </c>
      <c r="B75" s="5"/>
      <c r="C75" s="74" t="s">
        <v>605</v>
      </c>
      <c r="D75" s="6" t="s">
        <v>173</v>
      </c>
      <c r="E75" s="6" t="s">
        <v>441</v>
      </c>
      <c r="F75" s="6">
        <v>1</v>
      </c>
      <c r="G75" s="6"/>
      <c r="H75" s="6">
        <v>6</v>
      </c>
      <c r="I75" s="6"/>
    </row>
    <row r="76" spans="1:9" x14ac:dyDescent="0.2">
      <c r="A76" s="8" t="s">
        <v>3</v>
      </c>
      <c r="B76" s="5"/>
      <c r="C76" s="74" t="s">
        <v>619</v>
      </c>
      <c r="D76" s="6" t="s">
        <v>364</v>
      </c>
      <c r="E76" s="6" t="s">
        <v>165</v>
      </c>
      <c r="F76" s="6">
        <v>1</v>
      </c>
      <c r="G76" s="6"/>
      <c r="H76" s="6">
        <v>5</v>
      </c>
      <c r="I76" s="6"/>
    </row>
    <row r="77" spans="1:9" hidden="1" x14ac:dyDescent="0.2">
      <c r="A77" s="8" t="s">
        <v>4</v>
      </c>
      <c r="B77" s="5"/>
      <c r="C77" s="74"/>
      <c r="D77" s="6"/>
      <c r="E77" s="6"/>
      <c r="F77" s="6"/>
      <c r="G77" s="6"/>
      <c r="H77" s="6"/>
      <c r="I77" s="6"/>
    </row>
    <row r="78" spans="1:9" hidden="1" x14ac:dyDescent="0.2">
      <c r="A78" s="8" t="s">
        <v>5</v>
      </c>
      <c r="B78" s="5"/>
      <c r="C78" s="74"/>
      <c r="D78" s="6"/>
      <c r="E78" s="6"/>
      <c r="F78" s="6"/>
      <c r="G78" s="6"/>
      <c r="H78" s="6"/>
      <c r="I78" s="6"/>
    </row>
    <row r="79" spans="1:9" hidden="1" x14ac:dyDescent="0.2">
      <c r="A79" s="8" t="s">
        <v>6</v>
      </c>
      <c r="B79" s="5"/>
      <c r="C79" s="74"/>
      <c r="D79" s="6"/>
      <c r="E79" s="6"/>
      <c r="F79" s="6"/>
      <c r="G79" s="6"/>
      <c r="H79" s="6"/>
      <c r="I79" s="6"/>
    </row>
    <row r="80" spans="1:9" hidden="1" x14ac:dyDescent="0.2">
      <c r="A80" s="8" t="s">
        <v>7</v>
      </c>
      <c r="B80" s="5"/>
      <c r="C80" s="74"/>
      <c r="D80" s="6"/>
      <c r="E80" s="6"/>
      <c r="F80" s="6"/>
      <c r="G80" s="6"/>
      <c r="H80" s="6"/>
      <c r="I80" s="6"/>
    </row>
    <row r="81" spans="1:9" hidden="1" x14ac:dyDescent="0.2">
      <c r="A81" s="8" t="s">
        <v>8</v>
      </c>
      <c r="B81" s="5"/>
      <c r="C81" s="74"/>
      <c r="D81" s="6"/>
      <c r="E81" s="6"/>
      <c r="F81" s="6"/>
      <c r="G81" s="6"/>
      <c r="H81" s="6"/>
      <c r="I81" s="6"/>
    </row>
    <row r="82" spans="1:9" hidden="1" x14ac:dyDescent="0.2">
      <c r="A82" s="8" t="s">
        <v>9</v>
      </c>
      <c r="B82" s="5"/>
      <c r="C82" s="74"/>
      <c r="D82" s="6"/>
      <c r="E82" s="6"/>
      <c r="F82" s="6"/>
      <c r="G82" s="6"/>
      <c r="H82" s="6"/>
      <c r="I82" s="6"/>
    </row>
    <row r="83" spans="1:9" x14ac:dyDescent="0.2">
      <c r="A83" s="312" t="s">
        <v>10</v>
      </c>
      <c r="B83" s="313"/>
      <c r="C83" s="313"/>
      <c r="D83" s="313"/>
      <c r="E83" s="314"/>
      <c r="F83" s="11">
        <f>SUM(F73:F82)</f>
        <v>4</v>
      </c>
      <c r="G83" s="11">
        <f>SUM(G73:G82)</f>
        <v>0</v>
      </c>
      <c r="H83" s="11">
        <f>SUM(H73:H82)</f>
        <v>19</v>
      </c>
      <c r="I83" s="11"/>
    </row>
    <row r="84" spans="1:9" s="25" customFormat="1" ht="18" x14ac:dyDescent="0.2">
      <c r="A84" s="324" t="s">
        <v>39</v>
      </c>
      <c r="B84" s="325"/>
      <c r="C84" s="325"/>
      <c r="D84" s="325"/>
      <c r="E84" s="326"/>
      <c r="F84" s="24">
        <f>F17+F28+F39+F50+F61+F72+F83</f>
        <v>26</v>
      </c>
      <c r="G84" s="24">
        <f>G17+G28+G39+G50+G61+G72+G83</f>
        <v>5</v>
      </c>
      <c r="H84" s="24">
        <f>H17+H28+H39+H50+H61+H72+H83</f>
        <v>163</v>
      </c>
      <c r="I84" s="24"/>
    </row>
    <row r="85" spans="1:9" ht="21.95" customHeight="1" x14ac:dyDescent="0.2">
      <c r="A85" s="319" t="s">
        <v>14</v>
      </c>
      <c r="B85" s="319"/>
      <c r="C85" s="319"/>
      <c r="D85" s="319"/>
      <c r="E85" s="319"/>
      <c r="F85" s="319"/>
      <c r="G85" s="319"/>
      <c r="H85" s="319"/>
      <c r="I85" s="319"/>
    </row>
    <row r="86" spans="1:9" s="53" customFormat="1" ht="20.100000000000001" customHeight="1" x14ac:dyDescent="0.2">
      <c r="A86" s="323" t="s">
        <v>86</v>
      </c>
      <c r="B86" s="323"/>
      <c r="C86" s="323"/>
      <c r="D86" s="323"/>
      <c r="E86" s="323"/>
      <c r="F86" s="50" t="str">
        <f>F2</f>
        <v>เมษายน</v>
      </c>
      <c r="G86" s="50" t="s">
        <v>87</v>
      </c>
      <c r="H86" s="51">
        <f>H2</f>
        <v>2569</v>
      </c>
      <c r="I86" s="52"/>
    </row>
    <row r="87" spans="1:9" s="3" customFormat="1" ht="20.100000000000001" customHeight="1" x14ac:dyDescent="0.35">
      <c r="A87" s="318" t="s">
        <v>35</v>
      </c>
      <c r="B87" s="318"/>
      <c r="C87" s="318"/>
      <c r="D87" s="2"/>
      <c r="F87" s="4"/>
      <c r="G87" s="4"/>
      <c r="H87" s="4" t="s">
        <v>21</v>
      </c>
      <c r="I87" s="40">
        <f>I3+1</f>
        <v>2</v>
      </c>
    </row>
    <row r="88" spans="1:9" s="3" customFormat="1" ht="20.100000000000001" customHeight="1" x14ac:dyDescent="0.35">
      <c r="A88" s="311" t="s">
        <v>78</v>
      </c>
      <c r="B88" s="311"/>
      <c r="C88" s="311"/>
      <c r="D88" s="2"/>
      <c r="E88" s="39" t="s">
        <v>81</v>
      </c>
      <c r="F88" s="308">
        <f>F4</f>
        <v>46107</v>
      </c>
      <c r="G88" s="308"/>
      <c r="H88" s="39" t="s">
        <v>82</v>
      </c>
      <c r="I88" s="34">
        <f>I4</f>
        <v>46136</v>
      </c>
    </row>
    <row r="89" spans="1:9" x14ac:dyDescent="0.2">
      <c r="A89" s="12" t="s">
        <v>23</v>
      </c>
      <c r="B89" s="13" t="s">
        <v>11</v>
      </c>
      <c r="C89" s="72" t="s">
        <v>26</v>
      </c>
      <c r="D89" s="12" t="s">
        <v>16</v>
      </c>
      <c r="E89" s="12" t="s">
        <v>17</v>
      </c>
      <c r="F89" s="310" t="s">
        <v>46</v>
      </c>
      <c r="G89" s="310"/>
      <c r="H89" s="310"/>
      <c r="I89" s="12" t="s">
        <v>19</v>
      </c>
    </row>
    <row r="90" spans="1:9" x14ac:dyDescent="0.2">
      <c r="A90" s="15"/>
      <c r="B90" s="16"/>
      <c r="C90" s="73"/>
      <c r="D90" s="15"/>
      <c r="E90" s="15"/>
      <c r="F90" s="21" t="s">
        <v>113</v>
      </c>
      <c r="G90" s="21" t="s">
        <v>114</v>
      </c>
      <c r="H90" s="21" t="s">
        <v>20</v>
      </c>
      <c r="I90" s="15"/>
    </row>
    <row r="91" spans="1:9" x14ac:dyDescent="0.2">
      <c r="A91" s="8" t="s">
        <v>0</v>
      </c>
      <c r="B91" s="5">
        <f>B73+1</f>
        <v>46114</v>
      </c>
      <c r="C91" s="74" t="s">
        <v>673</v>
      </c>
      <c r="D91" s="6" t="s">
        <v>206</v>
      </c>
      <c r="E91" s="6" t="s">
        <v>632</v>
      </c>
      <c r="F91" s="6">
        <v>1</v>
      </c>
      <c r="G91" s="6"/>
      <c r="H91" s="6">
        <v>6</v>
      </c>
      <c r="I91" s="6"/>
    </row>
    <row r="92" spans="1:9" x14ac:dyDescent="0.2">
      <c r="A92" s="8" t="s">
        <v>1</v>
      </c>
      <c r="B92" s="5"/>
      <c r="C92" s="74" t="s">
        <v>674</v>
      </c>
      <c r="D92" s="6" t="s">
        <v>361</v>
      </c>
      <c r="E92" s="6" t="s">
        <v>168</v>
      </c>
      <c r="F92" s="6">
        <v>1</v>
      </c>
      <c r="G92" s="6"/>
      <c r="H92" s="6">
        <v>3</v>
      </c>
      <c r="I92" s="6"/>
    </row>
    <row r="93" spans="1:9" x14ac:dyDescent="0.2">
      <c r="A93" s="8" t="s">
        <v>2</v>
      </c>
      <c r="B93" s="5"/>
      <c r="C93" s="74" t="s">
        <v>675</v>
      </c>
      <c r="D93" s="6" t="s">
        <v>170</v>
      </c>
      <c r="E93" s="6" t="s">
        <v>171</v>
      </c>
      <c r="F93" s="6">
        <v>1</v>
      </c>
      <c r="G93" s="6"/>
      <c r="H93" s="6">
        <v>6</v>
      </c>
      <c r="I93" s="6"/>
    </row>
    <row r="94" spans="1:9" x14ac:dyDescent="0.2">
      <c r="A94" s="8" t="s">
        <v>3</v>
      </c>
      <c r="B94" s="5"/>
      <c r="C94" s="74" t="s">
        <v>676</v>
      </c>
      <c r="D94" s="6" t="s">
        <v>170</v>
      </c>
      <c r="E94" s="6" t="s">
        <v>171</v>
      </c>
      <c r="F94" s="6">
        <v>1</v>
      </c>
      <c r="G94" s="6"/>
      <c r="H94" s="6">
        <v>6</v>
      </c>
      <c r="I94" s="6"/>
    </row>
    <row r="95" spans="1:9" x14ac:dyDescent="0.2">
      <c r="A95" s="8" t="s">
        <v>4</v>
      </c>
      <c r="B95" s="5"/>
      <c r="C95" s="74" t="s">
        <v>677</v>
      </c>
      <c r="D95" s="6" t="s">
        <v>170</v>
      </c>
      <c r="E95" s="6" t="s">
        <v>171</v>
      </c>
      <c r="F95" s="6">
        <v>1</v>
      </c>
      <c r="G95" s="6"/>
      <c r="H95" s="6">
        <v>6</v>
      </c>
      <c r="I95" s="6"/>
    </row>
    <row r="96" spans="1:9" x14ac:dyDescent="0.2">
      <c r="A96" s="8" t="s">
        <v>5</v>
      </c>
      <c r="B96" s="5"/>
      <c r="C96" s="74" t="s">
        <v>678</v>
      </c>
      <c r="D96" s="6" t="s">
        <v>170</v>
      </c>
      <c r="E96" s="6" t="s">
        <v>171</v>
      </c>
      <c r="F96" s="6">
        <v>1</v>
      </c>
      <c r="G96" s="6"/>
      <c r="H96" s="6">
        <v>6</v>
      </c>
      <c r="I96" s="6"/>
    </row>
    <row r="97" spans="1:9" x14ac:dyDescent="0.2">
      <c r="A97" s="8" t="s">
        <v>6</v>
      </c>
      <c r="B97" s="5"/>
      <c r="C97" s="74" t="s">
        <v>679</v>
      </c>
      <c r="D97" s="6" t="s">
        <v>170</v>
      </c>
      <c r="E97" s="6" t="s">
        <v>171</v>
      </c>
      <c r="F97" s="6"/>
      <c r="G97" s="6">
        <v>1</v>
      </c>
      <c r="H97" s="6">
        <v>6</v>
      </c>
      <c r="I97" s="6"/>
    </row>
    <row r="98" spans="1:9" x14ac:dyDescent="0.2">
      <c r="A98" s="8" t="s">
        <v>7</v>
      </c>
      <c r="B98" s="5"/>
      <c r="C98" s="74" t="s">
        <v>680</v>
      </c>
      <c r="D98" s="6" t="s">
        <v>170</v>
      </c>
      <c r="E98" s="6" t="s">
        <v>171</v>
      </c>
      <c r="F98" s="6"/>
      <c r="G98" s="6">
        <v>1</v>
      </c>
      <c r="H98" s="6">
        <v>6</v>
      </c>
      <c r="I98" s="6"/>
    </row>
    <row r="99" spans="1:9" hidden="1" x14ac:dyDescent="0.2">
      <c r="A99" s="8" t="s">
        <v>8</v>
      </c>
      <c r="B99" s="5"/>
      <c r="C99" s="74"/>
      <c r="D99" s="6"/>
      <c r="E99" s="6"/>
      <c r="F99" s="6"/>
      <c r="G99" s="6"/>
      <c r="H99" s="6"/>
      <c r="I99" s="6"/>
    </row>
    <row r="100" spans="1:9" hidden="1" x14ac:dyDescent="0.2">
      <c r="A100" s="8" t="s">
        <v>9</v>
      </c>
      <c r="B100" s="5"/>
      <c r="C100" s="74"/>
      <c r="D100" s="6"/>
      <c r="E100" s="6"/>
      <c r="F100" s="6"/>
      <c r="G100" s="6"/>
      <c r="H100" s="6"/>
      <c r="I100" s="6"/>
    </row>
    <row r="101" spans="1:9" x14ac:dyDescent="0.2">
      <c r="A101" s="312" t="s">
        <v>10</v>
      </c>
      <c r="B101" s="313"/>
      <c r="C101" s="313"/>
      <c r="D101" s="313"/>
      <c r="E101" s="314"/>
      <c r="F101" s="11">
        <f>SUM(F91:F100)</f>
        <v>6</v>
      </c>
      <c r="G101" s="11">
        <f>SUM(G91:G100)</f>
        <v>2</v>
      </c>
      <c r="H101" s="11">
        <f>SUM(H91:H100)</f>
        <v>45</v>
      </c>
      <c r="I101" s="11"/>
    </row>
    <row r="102" spans="1:9" x14ac:dyDescent="0.2">
      <c r="A102" s="8" t="s">
        <v>0</v>
      </c>
      <c r="B102" s="5">
        <f>B91+1</f>
        <v>46115</v>
      </c>
      <c r="C102" s="74" t="s">
        <v>764</v>
      </c>
      <c r="D102" s="6" t="s">
        <v>342</v>
      </c>
      <c r="E102" s="6" t="s">
        <v>165</v>
      </c>
      <c r="F102" s="6">
        <v>1</v>
      </c>
      <c r="G102" s="6"/>
      <c r="H102" s="6">
        <v>6</v>
      </c>
      <c r="I102" s="6"/>
    </row>
    <row r="103" spans="1:9" x14ac:dyDescent="0.2">
      <c r="A103" s="8" t="s">
        <v>1</v>
      </c>
      <c r="B103" s="5"/>
      <c r="C103" s="74" t="s">
        <v>765</v>
      </c>
      <c r="D103" s="6" t="s">
        <v>178</v>
      </c>
      <c r="E103" s="6" t="s">
        <v>165</v>
      </c>
      <c r="F103" s="6">
        <v>1</v>
      </c>
      <c r="G103" s="6"/>
      <c r="H103" s="6">
        <v>4</v>
      </c>
      <c r="I103" s="6"/>
    </row>
    <row r="104" spans="1:9" x14ac:dyDescent="0.2">
      <c r="A104" s="8" t="s">
        <v>2</v>
      </c>
      <c r="B104" s="5"/>
      <c r="C104" s="74" t="s">
        <v>766</v>
      </c>
      <c r="D104" s="6" t="s">
        <v>173</v>
      </c>
      <c r="E104" s="6" t="s">
        <v>544</v>
      </c>
      <c r="F104" s="6">
        <v>1</v>
      </c>
      <c r="G104" s="6"/>
      <c r="H104" s="6">
        <v>5</v>
      </c>
      <c r="I104" s="6"/>
    </row>
    <row r="105" spans="1:9" x14ac:dyDescent="0.2">
      <c r="A105" s="8" t="s">
        <v>3</v>
      </c>
      <c r="B105" s="5"/>
      <c r="C105" s="74" t="s">
        <v>767</v>
      </c>
      <c r="D105" s="6" t="s">
        <v>170</v>
      </c>
      <c r="E105" s="6" t="s">
        <v>171</v>
      </c>
      <c r="F105" s="6">
        <v>1</v>
      </c>
      <c r="G105" s="6"/>
      <c r="H105" s="6">
        <v>6</v>
      </c>
      <c r="I105" s="6"/>
    </row>
    <row r="106" spans="1:9" x14ac:dyDescent="0.2">
      <c r="A106" s="8" t="s">
        <v>4</v>
      </c>
      <c r="B106" s="5"/>
      <c r="C106" s="74" t="s">
        <v>770</v>
      </c>
      <c r="D106" s="6" t="s">
        <v>170</v>
      </c>
      <c r="E106" s="6" t="s">
        <v>171</v>
      </c>
      <c r="F106" s="6">
        <v>1</v>
      </c>
      <c r="G106" s="6"/>
      <c r="H106" s="6">
        <v>6</v>
      </c>
      <c r="I106" s="6"/>
    </row>
    <row r="107" spans="1:9" x14ac:dyDescent="0.2">
      <c r="A107" s="8" t="s">
        <v>5</v>
      </c>
      <c r="B107" s="5"/>
      <c r="C107" s="74" t="s">
        <v>771</v>
      </c>
      <c r="D107" s="6" t="s">
        <v>170</v>
      </c>
      <c r="E107" s="6" t="s">
        <v>171</v>
      </c>
      <c r="F107" s="6">
        <v>1</v>
      </c>
      <c r="G107" s="6"/>
      <c r="H107" s="6">
        <v>6</v>
      </c>
      <c r="I107" s="6"/>
    </row>
    <row r="108" spans="1:9" x14ac:dyDescent="0.2">
      <c r="A108" s="8" t="s">
        <v>6</v>
      </c>
      <c r="B108" s="5"/>
      <c r="C108" s="74" t="s">
        <v>772</v>
      </c>
      <c r="D108" s="6" t="s">
        <v>170</v>
      </c>
      <c r="E108" s="6" t="s">
        <v>171</v>
      </c>
      <c r="F108" s="6"/>
      <c r="G108" s="6">
        <v>1</v>
      </c>
      <c r="H108" s="6">
        <v>6</v>
      </c>
      <c r="I108" s="6"/>
    </row>
    <row r="109" spans="1:9" x14ac:dyDescent="0.2">
      <c r="A109" s="8" t="s">
        <v>7</v>
      </c>
      <c r="B109" s="5"/>
      <c r="C109" s="74" t="s">
        <v>773</v>
      </c>
      <c r="D109" s="6" t="s">
        <v>170</v>
      </c>
      <c r="E109" s="6" t="s">
        <v>171</v>
      </c>
      <c r="F109" s="6"/>
      <c r="G109" s="6">
        <v>1</v>
      </c>
      <c r="H109" s="6">
        <v>6</v>
      </c>
      <c r="I109" s="6"/>
    </row>
    <row r="110" spans="1:9" x14ac:dyDescent="0.2">
      <c r="A110" s="8" t="s">
        <v>8</v>
      </c>
      <c r="B110" s="5"/>
      <c r="C110" s="74" t="s">
        <v>774</v>
      </c>
      <c r="D110" s="6" t="s">
        <v>170</v>
      </c>
      <c r="E110" s="6" t="s">
        <v>171</v>
      </c>
      <c r="F110" s="6"/>
      <c r="G110" s="6">
        <v>1</v>
      </c>
      <c r="H110" s="6">
        <v>6</v>
      </c>
      <c r="I110" s="6"/>
    </row>
    <row r="111" spans="1:9" hidden="1" x14ac:dyDescent="0.2">
      <c r="A111" s="8" t="s">
        <v>9</v>
      </c>
      <c r="B111" s="5"/>
      <c r="C111" s="74"/>
      <c r="D111" s="6"/>
      <c r="E111" s="6"/>
      <c r="F111" s="6"/>
      <c r="G111" s="6"/>
      <c r="H111" s="6"/>
      <c r="I111" s="6"/>
    </row>
    <row r="112" spans="1:9" x14ac:dyDescent="0.2">
      <c r="A112" s="312" t="s">
        <v>10</v>
      </c>
      <c r="B112" s="313"/>
      <c r="C112" s="313"/>
      <c r="D112" s="313"/>
      <c r="E112" s="314"/>
      <c r="F112" s="11">
        <f>SUM(F102:F111)</f>
        <v>6</v>
      </c>
      <c r="G112" s="11">
        <f>SUM(G102:G111)</f>
        <v>3</v>
      </c>
      <c r="H112" s="11">
        <f>SUM(H102:H111)</f>
        <v>51</v>
      </c>
      <c r="I112" s="11"/>
    </row>
    <row r="113" spans="1:9" x14ac:dyDescent="0.2">
      <c r="A113" s="8" t="s">
        <v>0</v>
      </c>
      <c r="B113" s="5">
        <f>B102+1</f>
        <v>46116</v>
      </c>
      <c r="C113" s="74" t="s">
        <v>836</v>
      </c>
      <c r="D113" s="6" t="s">
        <v>188</v>
      </c>
      <c r="E113" s="6" t="s">
        <v>190</v>
      </c>
      <c r="F113" s="6">
        <v>1</v>
      </c>
      <c r="G113" s="6"/>
      <c r="H113" s="6">
        <v>6</v>
      </c>
      <c r="I113" s="6"/>
    </row>
    <row r="114" spans="1:9" x14ac:dyDescent="0.2">
      <c r="A114" s="8" t="s">
        <v>1</v>
      </c>
      <c r="B114" s="5"/>
      <c r="C114" s="74" t="s">
        <v>837</v>
      </c>
      <c r="D114" s="6" t="s">
        <v>188</v>
      </c>
      <c r="E114" s="6" t="s">
        <v>165</v>
      </c>
      <c r="F114" s="6">
        <v>1</v>
      </c>
      <c r="G114" s="6"/>
      <c r="H114" s="6">
        <v>6</v>
      </c>
      <c r="I114" s="6"/>
    </row>
    <row r="115" spans="1:9" x14ac:dyDescent="0.2">
      <c r="A115" s="8" t="s">
        <v>2</v>
      </c>
      <c r="B115" s="5"/>
      <c r="C115" s="74" t="s">
        <v>838</v>
      </c>
      <c r="D115" s="6" t="s">
        <v>170</v>
      </c>
      <c r="E115" s="6" t="s">
        <v>174</v>
      </c>
      <c r="F115" s="6">
        <v>1</v>
      </c>
      <c r="G115" s="6"/>
      <c r="H115" s="6">
        <v>5</v>
      </c>
      <c r="I115" s="6"/>
    </row>
    <row r="116" spans="1:9" x14ac:dyDescent="0.2">
      <c r="A116" s="8" t="s">
        <v>3</v>
      </c>
      <c r="B116" s="5"/>
      <c r="C116" s="74" t="s">
        <v>815</v>
      </c>
      <c r="D116" s="6" t="s">
        <v>839</v>
      </c>
      <c r="E116" s="6" t="s">
        <v>190</v>
      </c>
      <c r="F116" s="6">
        <v>1</v>
      </c>
      <c r="G116" s="6"/>
      <c r="H116" s="6">
        <v>4</v>
      </c>
      <c r="I116" s="6"/>
    </row>
    <row r="117" spans="1:9" hidden="1" x14ac:dyDescent="0.2">
      <c r="A117" s="8" t="s">
        <v>4</v>
      </c>
      <c r="B117" s="5"/>
      <c r="C117" s="74"/>
      <c r="D117" s="6"/>
      <c r="E117" s="6"/>
      <c r="F117" s="6"/>
      <c r="G117" s="6"/>
      <c r="H117" s="6"/>
      <c r="I117" s="6"/>
    </row>
    <row r="118" spans="1:9" hidden="1" x14ac:dyDescent="0.2">
      <c r="A118" s="8" t="s">
        <v>5</v>
      </c>
      <c r="B118" s="5"/>
      <c r="C118" s="74"/>
      <c r="D118" s="6"/>
      <c r="E118" s="6"/>
      <c r="F118" s="6"/>
      <c r="G118" s="6"/>
      <c r="H118" s="6"/>
      <c r="I118" s="6"/>
    </row>
    <row r="119" spans="1:9" hidden="1" x14ac:dyDescent="0.2">
      <c r="A119" s="8" t="s">
        <v>6</v>
      </c>
      <c r="B119" s="5"/>
      <c r="C119" s="74"/>
      <c r="D119" s="6"/>
      <c r="E119" s="6"/>
      <c r="F119" s="6"/>
      <c r="G119" s="6"/>
      <c r="H119" s="6"/>
      <c r="I119" s="6"/>
    </row>
    <row r="120" spans="1:9" hidden="1" x14ac:dyDescent="0.2">
      <c r="A120" s="8" t="s">
        <v>7</v>
      </c>
      <c r="B120" s="5"/>
      <c r="C120" s="74"/>
      <c r="D120" s="6"/>
      <c r="E120" s="6"/>
      <c r="F120" s="6"/>
      <c r="G120" s="6"/>
      <c r="H120" s="6"/>
      <c r="I120" s="6"/>
    </row>
    <row r="121" spans="1:9" hidden="1" x14ac:dyDescent="0.2">
      <c r="A121" s="8" t="s">
        <v>8</v>
      </c>
      <c r="B121" s="5"/>
      <c r="C121" s="74"/>
      <c r="D121" s="6"/>
      <c r="E121" s="6"/>
      <c r="F121" s="6"/>
      <c r="G121" s="6"/>
      <c r="H121" s="6"/>
      <c r="I121" s="6"/>
    </row>
    <row r="122" spans="1:9" hidden="1" x14ac:dyDescent="0.2">
      <c r="A122" s="8" t="s">
        <v>9</v>
      </c>
      <c r="B122" s="5"/>
      <c r="C122" s="74"/>
      <c r="D122" s="6"/>
      <c r="E122" s="6"/>
      <c r="F122" s="6"/>
      <c r="G122" s="6"/>
      <c r="H122" s="6"/>
      <c r="I122" s="6"/>
    </row>
    <row r="123" spans="1:9" x14ac:dyDescent="0.2">
      <c r="A123" s="312" t="s">
        <v>10</v>
      </c>
      <c r="B123" s="313"/>
      <c r="C123" s="313"/>
      <c r="D123" s="313"/>
      <c r="E123" s="314"/>
      <c r="F123" s="11">
        <f>SUM(F113:F122)</f>
        <v>4</v>
      </c>
      <c r="G123" s="11">
        <f>SUM(G113:G122)</f>
        <v>0</v>
      </c>
      <c r="H123" s="11">
        <f>SUM(H113:H122)</f>
        <v>21</v>
      </c>
      <c r="I123" s="11"/>
    </row>
    <row r="124" spans="1:9" x14ac:dyDescent="0.2">
      <c r="A124" s="8" t="s">
        <v>0</v>
      </c>
      <c r="B124" s="5">
        <f>B113+1</f>
        <v>46117</v>
      </c>
      <c r="C124" s="75" t="s">
        <v>886</v>
      </c>
      <c r="D124" s="6" t="s">
        <v>342</v>
      </c>
      <c r="E124" s="6" t="s">
        <v>165</v>
      </c>
      <c r="F124" s="6">
        <v>1</v>
      </c>
      <c r="G124" s="6"/>
      <c r="H124" s="6">
        <v>6</v>
      </c>
      <c r="I124" s="6"/>
    </row>
    <row r="125" spans="1:9" x14ac:dyDescent="0.2">
      <c r="A125" s="8" t="s">
        <v>1</v>
      </c>
      <c r="B125" s="5"/>
      <c r="C125" s="75" t="s">
        <v>867</v>
      </c>
      <c r="D125" s="6" t="s">
        <v>887</v>
      </c>
      <c r="E125" s="6" t="s">
        <v>165</v>
      </c>
      <c r="F125" s="6">
        <v>1</v>
      </c>
      <c r="G125" s="6"/>
      <c r="H125" s="6">
        <v>5</v>
      </c>
      <c r="I125" s="6"/>
    </row>
    <row r="126" spans="1:9" x14ac:dyDescent="0.2">
      <c r="A126" s="8" t="s">
        <v>2</v>
      </c>
      <c r="B126" s="5"/>
      <c r="C126" s="75" t="s">
        <v>888</v>
      </c>
      <c r="D126" s="6" t="s">
        <v>170</v>
      </c>
      <c r="E126" s="6" t="s">
        <v>171</v>
      </c>
      <c r="F126" s="6">
        <v>1</v>
      </c>
      <c r="G126" s="6"/>
      <c r="H126" s="6">
        <v>6</v>
      </c>
      <c r="I126" s="6"/>
    </row>
    <row r="127" spans="1:9" x14ac:dyDescent="0.2">
      <c r="A127" s="8" t="s">
        <v>3</v>
      </c>
      <c r="B127" s="5"/>
      <c r="C127" s="75" t="s">
        <v>877</v>
      </c>
      <c r="D127" s="6" t="s">
        <v>170</v>
      </c>
      <c r="E127" s="6" t="s">
        <v>171</v>
      </c>
      <c r="F127" s="6">
        <v>1</v>
      </c>
      <c r="G127" s="6"/>
      <c r="H127" s="6">
        <v>6</v>
      </c>
      <c r="I127" s="6"/>
    </row>
    <row r="128" spans="1:9" x14ac:dyDescent="0.2">
      <c r="A128" s="8" t="s">
        <v>4</v>
      </c>
      <c r="B128" s="5"/>
      <c r="C128" s="75" t="s">
        <v>889</v>
      </c>
      <c r="D128" s="6" t="s">
        <v>823</v>
      </c>
      <c r="E128" s="6" t="s">
        <v>890</v>
      </c>
      <c r="F128" s="6"/>
      <c r="G128" s="6"/>
      <c r="H128" s="6">
        <v>2</v>
      </c>
      <c r="I128" s="6"/>
    </row>
    <row r="129" spans="1:9" x14ac:dyDescent="0.2">
      <c r="A129" s="8" t="s">
        <v>5</v>
      </c>
      <c r="B129" s="5"/>
      <c r="C129" s="75" t="s">
        <v>891</v>
      </c>
      <c r="D129" s="6" t="s">
        <v>173</v>
      </c>
      <c r="E129" s="6" t="s">
        <v>174</v>
      </c>
      <c r="F129" s="6"/>
      <c r="G129" s="6">
        <v>1</v>
      </c>
      <c r="H129" s="6">
        <v>5</v>
      </c>
      <c r="I129" s="6"/>
    </row>
    <row r="130" spans="1:9" x14ac:dyDescent="0.2">
      <c r="A130" s="8" t="s">
        <v>6</v>
      </c>
      <c r="B130" s="5"/>
      <c r="C130" s="75" t="s">
        <v>892</v>
      </c>
      <c r="D130" s="6" t="s">
        <v>170</v>
      </c>
      <c r="E130" s="6" t="s">
        <v>171</v>
      </c>
      <c r="F130" s="6"/>
      <c r="G130" s="6">
        <v>1</v>
      </c>
      <c r="H130" s="6">
        <v>6</v>
      </c>
      <c r="I130" s="6"/>
    </row>
    <row r="131" spans="1:9" hidden="1" x14ac:dyDescent="0.2">
      <c r="A131" s="8" t="s">
        <v>7</v>
      </c>
      <c r="B131" s="5"/>
      <c r="C131" s="74"/>
      <c r="D131" s="6"/>
      <c r="E131" s="6"/>
      <c r="F131" s="6"/>
      <c r="G131" s="6"/>
      <c r="H131" s="6"/>
      <c r="I131" s="6"/>
    </row>
    <row r="132" spans="1:9" hidden="1" x14ac:dyDescent="0.2">
      <c r="A132" s="8" t="s">
        <v>8</v>
      </c>
      <c r="B132" s="5"/>
      <c r="C132" s="74"/>
      <c r="D132" s="6"/>
      <c r="E132" s="6"/>
      <c r="F132" s="6"/>
      <c r="G132" s="6"/>
      <c r="H132" s="6"/>
      <c r="I132" s="6"/>
    </row>
    <row r="133" spans="1:9" hidden="1" x14ac:dyDescent="0.2">
      <c r="A133" s="8" t="s">
        <v>9</v>
      </c>
      <c r="B133" s="5"/>
      <c r="C133" s="74"/>
      <c r="D133" s="6"/>
      <c r="E133" s="6"/>
      <c r="F133" s="6"/>
      <c r="G133" s="6"/>
      <c r="H133" s="6"/>
      <c r="I133" s="6"/>
    </row>
    <row r="134" spans="1:9" x14ac:dyDescent="0.2">
      <c r="A134" s="312" t="s">
        <v>10</v>
      </c>
      <c r="B134" s="313"/>
      <c r="C134" s="313"/>
      <c r="D134" s="313"/>
      <c r="E134" s="314"/>
      <c r="F134" s="11">
        <f>SUM(F124:F133)</f>
        <v>4</v>
      </c>
      <c r="G134" s="11">
        <f>SUM(G124:G133)</f>
        <v>2</v>
      </c>
      <c r="H134" s="11">
        <f>SUM(H124:H133)</f>
        <v>36</v>
      </c>
      <c r="I134" s="11"/>
    </row>
    <row r="135" spans="1:9" hidden="1" x14ac:dyDescent="0.2">
      <c r="A135" s="8" t="s">
        <v>0</v>
      </c>
      <c r="B135" s="5">
        <f>B124+1</f>
        <v>46118</v>
      </c>
      <c r="C135" s="75"/>
      <c r="D135" s="6"/>
      <c r="E135" s="6"/>
      <c r="F135" s="6"/>
      <c r="G135" s="6"/>
      <c r="H135" s="6"/>
      <c r="I135" s="6"/>
    </row>
    <row r="136" spans="1:9" hidden="1" x14ac:dyDescent="0.2">
      <c r="A136" s="8" t="s">
        <v>1</v>
      </c>
      <c r="B136" s="5"/>
      <c r="C136" s="75"/>
      <c r="D136" s="6"/>
      <c r="E136" s="6"/>
      <c r="F136" s="6"/>
      <c r="G136" s="6"/>
      <c r="H136" s="6"/>
      <c r="I136" s="6"/>
    </row>
    <row r="137" spans="1:9" hidden="1" x14ac:dyDescent="0.2">
      <c r="A137" s="8" t="s">
        <v>2</v>
      </c>
      <c r="B137" s="5"/>
      <c r="C137" s="75"/>
      <c r="D137" s="6"/>
      <c r="E137" s="6"/>
      <c r="F137" s="6"/>
      <c r="G137" s="6"/>
      <c r="H137" s="6"/>
      <c r="I137" s="6"/>
    </row>
    <row r="138" spans="1:9" hidden="1" x14ac:dyDescent="0.2">
      <c r="A138" s="8" t="s">
        <v>3</v>
      </c>
      <c r="B138" s="5"/>
      <c r="C138" s="75"/>
      <c r="D138" s="6"/>
      <c r="E138" s="6"/>
      <c r="F138" s="6"/>
      <c r="G138" s="6"/>
      <c r="H138" s="6"/>
      <c r="I138" s="6"/>
    </row>
    <row r="139" spans="1:9" hidden="1" x14ac:dyDescent="0.2">
      <c r="A139" s="8" t="s">
        <v>4</v>
      </c>
      <c r="B139" s="5"/>
      <c r="C139" s="75"/>
      <c r="D139" s="6"/>
      <c r="E139" s="6"/>
      <c r="F139" s="6"/>
      <c r="G139" s="6"/>
      <c r="H139" s="6"/>
      <c r="I139" s="6"/>
    </row>
    <row r="140" spans="1:9" hidden="1" x14ac:dyDescent="0.2">
      <c r="A140" s="8" t="s">
        <v>5</v>
      </c>
      <c r="B140" s="5"/>
      <c r="C140" s="75"/>
      <c r="D140" s="6"/>
      <c r="E140" s="6"/>
      <c r="F140" s="6"/>
      <c r="G140" s="6"/>
      <c r="H140" s="6"/>
      <c r="I140" s="6"/>
    </row>
    <row r="141" spans="1:9" hidden="1" x14ac:dyDescent="0.2">
      <c r="A141" s="8" t="s">
        <v>6</v>
      </c>
      <c r="B141" s="5"/>
      <c r="C141" s="74"/>
      <c r="D141" s="6"/>
      <c r="E141" s="6"/>
      <c r="F141" s="6"/>
      <c r="G141" s="6"/>
      <c r="H141" s="6"/>
      <c r="I141" s="6"/>
    </row>
    <row r="142" spans="1:9" hidden="1" x14ac:dyDescent="0.2">
      <c r="A142" s="8" t="s">
        <v>7</v>
      </c>
      <c r="B142" s="5"/>
      <c r="C142" s="74"/>
      <c r="D142" s="6"/>
      <c r="E142" s="6"/>
      <c r="F142" s="6"/>
      <c r="G142" s="6"/>
      <c r="H142" s="6"/>
      <c r="I142" s="6"/>
    </row>
    <row r="143" spans="1:9" hidden="1" x14ac:dyDescent="0.2">
      <c r="A143" s="8" t="s">
        <v>8</v>
      </c>
      <c r="B143" s="5"/>
      <c r="C143" s="74"/>
      <c r="D143" s="6"/>
      <c r="E143" s="6"/>
      <c r="F143" s="6"/>
      <c r="G143" s="6"/>
      <c r="H143" s="6"/>
      <c r="I143" s="6"/>
    </row>
    <row r="144" spans="1:9" hidden="1" x14ac:dyDescent="0.2">
      <c r="A144" s="8" t="s">
        <v>9</v>
      </c>
      <c r="B144" s="5"/>
      <c r="C144" s="74"/>
      <c r="D144" s="6"/>
      <c r="E144" s="6"/>
      <c r="F144" s="6"/>
      <c r="G144" s="6"/>
      <c r="H144" s="6"/>
      <c r="I144" s="6"/>
    </row>
    <row r="145" spans="1:9" hidden="1" x14ac:dyDescent="0.2">
      <c r="A145" s="312" t="s">
        <v>10</v>
      </c>
      <c r="B145" s="313"/>
      <c r="C145" s="313"/>
      <c r="D145" s="313"/>
      <c r="E145" s="314"/>
      <c r="F145" s="11">
        <f>SUM(F135:F144)</f>
        <v>0</v>
      </c>
      <c r="G145" s="11">
        <f>SUM(G135:G144)</f>
        <v>0</v>
      </c>
      <c r="H145" s="11">
        <f>SUM(H135:H144)</f>
        <v>0</v>
      </c>
      <c r="I145" s="11"/>
    </row>
    <row r="146" spans="1:9" x14ac:dyDescent="0.2">
      <c r="A146" s="8" t="s">
        <v>0</v>
      </c>
      <c r="B146" s="5">
        <f>B135+1</f>
        <v>46119</v>
      </c>
      <c r="C146" s="75" t="s">
        <v>1033</v>
      </c>
      <c r="D146" s="6" t="s">
        <v>173</v>
      </c>
      <c r="E146" s="6" t="s">
        <v>441</v>
      </c>
      <c r="F146" s="6">
        <v>1</v>
      </c>
      <c r="G146" s="6"/>
      <c r="H146" s="6">
        <v>6</v>
      </c>
      <c r="I146" s="6"/>
    </row>
    <row r="147" spans="1:9" x14ac:dyDescent="0.2">
      <c r="A147" s="8" t="s">
        <v>1</v>
      </c>
      <c r="B147" s="5"/>
      <c r="C147" s="75" t="s">
        <v>1034</v>
      </c>
      <c r="D147" s="6" t="s">
        <v>211</v>
      </c>
      <c r="E147" s="6" t="s">
        <v>165</v>
      </c>
      <c r="F147" s="6">
        <v>1</v>
      </c>
      <c r="G147" s="6"/>
      <c r="H147" s="6">
        <v>6</v>
      </c>
      <c r="I147" s="6"/>
    </row>
    <row r="148" spans="1:9" x14ac:dyDescent="0.2">
      <c r="A148" s="8" t="s">
        <v>2</v>
      </c>
      <c r="B148" s="5"/>
      <c r="C148" s="75" t="s">
        <v>1035</v>
      </c>
      <c r="D148" s="6" t="s">
        <v>211</v>
      </c>
      <c r="E148" s="6" t="s">
        <v>171</v>
      </c>
      <c r="F148" s="6">
        <v>1</v>
      </c>
      <c r="G148" s="6"/>
      <c r="H148" s="6">
        <v>6</v>
      </c>
      <c r="I148" s="6"/>
    </row>
    <row r="149" spans="1:9" x14ac:dyDescent="0.2">
      <c r="A149" s="8" t="s">
        <v>3</v>
      </c>
      <c r="B149" s="5"/>
      <c r="C149" s="75" t="s">
        <v>1036</v>
      </c>
      <c r="D149" s="6" t="s">
        <v>839</v>
      </c>
      <c r="E149" s="6" t="s">
        <v>190</v>
      </c>
      <c r="F149" s="6">
        <v>1</v>
      </c>
      <c r="G149" s="6"/>
      <c r="H149" s="6">
        <v>4</v>
      </c>
      <c r="I149" s="6"/>
    </row>
    <row r="150" spans="1:9" hidden="1" x14ac:dyDescent="0.2">
      <c r="A150" s="8" t="s">
        <v>4</v>
      </c>
      <c r="B150" s="5"/>
      <c r="C150" s="75"/>
      <c r="D150" s="6"/>
      <c r="E150" s="6"/>
      <c r="F150" s="6"/>
      <c r="G150" s="6"/>
      <c r="H150" s="6"/>
      <c r="I150" s="6"/>
    </row>
    <row r="151" spans="1:9" hidden="1" x14ac:dyDescent="0.2">
      <c r="A151" s="8" t="s">
        <v>5</v>
      </c>
      <c r="B151" s="5"/>
      <c r="C151" s="75"/>
      <c r="D151" s="6"/>
      <c r="E151" s="6"/>
      <c r="F151" s="6"/>
      <c r="G151" s="6"/>
      <c r="H151" s="6"/>
      <c r="I151" s="6"/>
    </row>
    <row r="152" spans="1:9" hidden="1" x14ac:dyDescent="0.2">
      <c r="A152" s="8" t="s">
        <v>6</v>
      </c>
      <c r="B152" s="5"/>
      <c r="C152" s="75"/>
      <c r="D152" s="6"/>
      <c r="E152" s="6"/>
      <c r="F152" s="6"/>
      <c r="G152" s="6"/>
      <c r="H152" s="6"/>
      <c r="I152" s="6"/>
    </row>
    <row r="153" spans="1:9" hidden="1" x14ac:dyDescent="0.2">
      <c r="A153" s="8" t="s">
        <v>7</v>
      </c>
      <c r="B153" s="5"/>
      <c r="C153" s="75"/>
      <c r="D153" s="6"/>
      <c r="E153" s="6"/>
      <c r="F153" s="6"/>
      <c r="G153" s="6"/>
      <c r="H153" s="6"/>
      <c r="I153" s="6"/>
    </row>
    <row r="154" spans="1:9" hidden="1" x14ac:dyDescent="0.2">
      <c r="A154" s="8" t="s">
        <v>8</v>
      </c>
      <c r="B154" s="5"/>
      <c r="C154" s="75"/>
      <c r="D154" s="6"/>
      <c r="E154" s="6"/>
      <c r="F154" s="6"/>
      <c r="G154" s="6"/>
      <c r="H154" s="6"/>
      <c r="I154" s="6"/>
    </row>
    <row r="155" spans="1:9" hidden="1" x14ac:dyDescent="0.2">
      <c r="A155" s="8" t="s">
        <v>9</v>
      </c>
      <c r="B155" s="5"/>
      <c r="C155" s="75"/>
      <c r="D155" s="6"/>
      <c r="E155" s="6"/>
      <c r="F155" s="6"/>
      <c r="G155" s="6"/>
      <c r="H155" s="6"/>
      <c r="I155" s="6"/>
    </row>
    <row r="156" spans="1:9" x14ac:dyDescent="0.2">
      <c r="A156" s="312" t="s">
        <v>10</v>
      </c>
      <c r="B156" s="313"/>
      <c r="C156" s="313"/>
      <c r="D156" s="313"/>
      <c r="E156" s="314"/>
      <c r="F156" s="11">
        <f>SUM(F146:F155)</f>
        <v>4</v>
      </c>
      <c r="G156" s="11">
        <f>SUM(G146:G155)</f>
        <v>0</v>
      </c>
      <c r="H156" s="11">
        <f>SUM(H146:H155)</f>
        <v>22</v>
      </c>
      <c r="I156" s="11"/>
    </row>
    <row r="157" spans="1:9" x14ac:dyDescent="0.2">
      <c r="A157" s="8" t="s">
        <v>0</v>
      </c>
      <c r="B157" s="5">
        <f>B146+1</f>
        <v>46120</v>
      </c>
      <c r="C157" s="74" t="s">
        <v>1092</v>
      </c>
      <c r="D157" s="6" t="s">
        <v>170</v>
      </c>
      <c r="E157" s="6" t="s">
        <v>165</v>
      </c>
      <c r="F157" s="6">
        <v>1</v>
      </c>
      <c r="G157" s="6"/>
      <c r="H157" s="6">
        <v>6</v>
      </c>
      <c r="I157" s="6"/>
    </row>
    <row r="158" spans="1:9" x14ac:dyDescent="0.2">
      <c r="A158" s="8" t="s">
        <v>1</v>
      </c>
      <c r="B158" s="5"/>
      <c r="C158" s="74" t="s">
        <v>1093</v>
      </c>
      <c r="D158" s="6" t="s">
        <v>170</v>
      </c>
      <c r="E158" s="6" t="s">
        <v>165</v>
      </c>
      <c r="F158" s="6">
        <v>1</v>
      </c>
      <c r="G158" s="6"/>
      <c r="H158" s="6">
        <v>6</v>
      </c>
      <c r="I158" s="6"/>
    </row>
    <row r="159" spans="1:9" x14ac:dyDescent="0.2">
      <c r="A159" s="8" t="s">
        <v>2</v>
      </c>
      <c r="B159" s="5"/>
      <c r="C159" s="74" t="s">
        <v>1094</v>
      </c>
      <c r="D159" s="6" t="s">
        <v>170</v>
      </c>
      <c r="E159" s="6" t="s">
        <v>165</v>
      </c>
      <c r="F159" s="6">
        <v>1</v>
      </c>
      <c r="G159" s="6"/>
      <c r="H159" s="6">
        <v>6</v>
      </c>
      <c r="I159" s="6"/>
    </row>
    <row r="160" spans="1:9" x14ac:dyDescent="0.2">
      <c r="A160" s="8" t="s">
        <v>3</v>
      </c>
      <c r="B160" s="5"/>
      <c r="C160" s="74" t="s">
        <v>1095</v>
      </c>
      <c r="D160" s="6" t="s">
        <v>832</v>
      </c>
      <c r="E160" s="6" t="s">
        <v>168</v>
      </c>
      <c r="F160" s="6">
        <v>1</v>
      </c>
      <c r="G160" s="6"/>
      <c r="H160" s="6">
        <v>4</v>
      </c>
      <c r="I160" s="6"/>
    </row>
    <row r="161" spans="1:9" hidden="1" x14ac:dyDescent="0.2">
      <c r="A161" s="8" t="s">
        <v>4</v>
      </c>
      <c r="B161" s="5"/>
      <c r="C161" s="74"/>
      <c r="D161" s="6"/>
      <c r="E161" s="6"/>
      <c r="F161" s="6"/>
      <c r="G161" s="6"/>
      <c r="H161" s="6"/>
      <c r="I161" s="6"/>
    </row>
    <row r="162" spans="1:9" hidden="1" x14ac:dyDescent="0.2">
      <c r="A162" s="8" t="s">
        <v>5</v>
      </c>
      <c r="B162" s="5"/>
      <c r="C162" s="74"/>
      <c r="D162" s="6"/>
      <c r="E162" s="6"/>
      <c r="F162" s="6"/>
      <c r="G162" s="6"/>
      <c r="H162" s="6"/>
      <c r="I162" s="6"/>
    </row>
    <row r="163" spans="1:9" hidden="1" x14ac:dyDescent="0.2">
      <c r="A163" s="8" t="s">
        <v>6</v>
      </c>
      <c r="B163" s="5"/>
      <c r="C163" s="74"/>
      <c r="D163" s="6"/>
      <c r="E163" s="6"/>
      <c r="F163" s="6"/>
      <c r="G163" s="6"/>
      <c r="H163" s="6"/>
      <c r="I163" s="6"/>
    </row>
    <row r="164" spans="1:9" hidden="1" x14ac:dyDescent="0.2">
      <c r="A164" s="8" t="s">
        <v>7</v>
      </c>
      <c r="B164" s="5"/>
      <c r="C164" s="74"/>
      <c r="D164" s="6"/>
      <c r="E164" s="6"/>
      <c r="F164" s="6"/>
      <c r="G164" s="6"/>
      <c r="H164" s="6"/>
      <c r="I164" s="6"/>
    </row>
    <row r="165" spans="1:9" hidden="1" x14ac:dyDescent="0.2">
      <c r="A165" s="8" t="s">
        <v>8</v>
      </c>
      <c r="B165" s="5"/>
      <c r="C165" s="74"/>
      <c r="D165" s="6"/>
      <c r="E165" s="6"/>
      <c r="F165" s="6"/>
      <c r="G165" s="6"/>
      <c r="H165" s="6"/>
      <c r="I165" s="6"/>
    </row>
    <row r="166" spans="1:9" hidden="1" x14ac:dyDescent="0.2">
      <c r="A166" s="8" t="s">
        <v>9</v>
      </c>
      <c r="B166" s="5"/>
      <c r="C166" s="74"/>
      <c r="D166" s="6"/>
      <c r="E166" s="6"/>
      <c r="F166" s="6"/>
      <c r="G166" s="6"/>
      <c r="H166" s="6"/>
      <c r="I166" s="6"/>
    </row>
    <row r="167" spans="1:9" x14ac:dyDescent="0.2">
      <c r="A167" s="312" t="s">
        <v>10</v>
      </c>
      <c r="B167" s="313"/>
      <c r="C167" s="313"/>
      <c r="D167" s="313"/>
      <c r="E167" s="314"/>
      <c r="F167" s="11">
        <f>SUM(F157:F166)</f>
        <v>4</v>
      </c>
      <c r="G167" s="11">
        <f>SUM(G157:G166)</f>
        <v>0</v>
      </c>
      <c r="H167" s="11">
        <f>SUM(H157:H166)</f>
        <v>22</v>
      </c>
      <c r="I167" s="11"/>
    </row>
    <row r="168" spans="1:9" s="25" customFormat="1" ht="18" x14ac:dyDescent="0.2">
      <c r="A168" s="315" t="s">
        <v>39</v>
      </c>
      <c r="B168" s="316"/>
      <c r="C168" s="316"/>
      <c r="D168" s="316"/>
      <c r="E168" s="317"/>
      <c r="F168" s="22">
        <f>F101+F112+F123+F134+F145+F156+F167+F84</f>
        <v>54</v>
      </c>
      <c r="G168" s="22">
        <f>G101+G112+G123+G134+G145+G156+G167+G84</f>
        <v>12</v>
      </c>
      <c r="H168" s="22">
        <f>H101+H112+H123+H134+H145+H156+H167+H84</f>
        <v>360</v>
      </c>
      <c r="I168" s="22"/>
    </row>
    <row r="169" spans="1:9" ht="21.95" customHeight="1" x14ac:dyDescent="0.2">
      <c r="A169" s="319" t="s">
        <v>14</v>
      </c>
      <c r="B169" s="319"/>
      <c r="C169" s="319"/>
      <c r="D169" s="319"/>
      <c r="E169" s="319"/>
      <c r="F169" s="319"/>
      <c r="G169" s="319"/>
      <c r="H169" s="319"/>
      <c r="I169" s="319"/>
    </row>
    <row r="170" spans="1:9" s="53" customFormat="1" ht="20.100000000000001" customHeight="1" x14ac:dyDescent="0.2">
      <c r="A170" s="323" t="s">
        <v>86</v>
      </c>
      <c r="B170" s="323"/>
      <c r="C170" s="323"/>
      <c r="D170" s="323"/>
      <c r="E170" s="323"/>
      <c r="F170" s="50" t="str">
        <f>F86</f>
        <v>เมษายน</v>
      </c>
      <c r="G170" s="50" t="s">
        <v>87</v>
      </c>
      <c r="H170" s="51">
        <f>H86</f>
        <v>2569</v>
      </c>
      <c r="I170" s="52"/>
    </row>
    <row r="171" spans="1:9" s="3" customFormat="1" ht="20.100000000000001" customHeight="1" x14ac:dyDescent="0.35">
      <c r="A171" s="318" t="s">
        <v>35</v>
      </c>
      <c r="B171" s="318"/>
      <c r="C171" s="318"/>
      <c r="D171" s="2"/>
      <c r="F171" s="4"/>
      <c r="G171" s="4"/>
      <c r="H171" s="4" t="s">
        <v>21</v>
      </c>
      <c r="I171" s="40">
        <f>I87+1</f>
        <v>3</v>
      </c>
    </row>
    <row r="172" spans="1:9" s="3" customFormat="1" ht="20.100000000000001" customHeight="1" x14ac:dyDescent="0.35">
      <c r="A172" s="311" t="s">
        <v>65</v>
      </c>
      <c r="B172" s="311"/>
      <c r="C172" s="311"/>
      <c r="D172" s="2"/>
      <c r="E172" s="39" t="s">
        <v>81</v>
      </c>
      <c r="F172" s="308">
        <f>F88</f>
        <v>46107</v>
      </c>
      <c r="G172" s="308"/>
      <c r="H172" s="39" t="s">
        <v>82</v>
      </c>
      <c r="I172" s="34">
        <f>I88</f>
        <v>46136</v>
      </c>
    </row>
    <row r="173" spans="1:9" x14ac:dyDescent="0.2">
      <c r="A173" s="12" t="s">
        <v>23</v>
      </c>
      <c r="B173" s="13" t="s">
        <v>11</v>
      </c>
      <c r="C173" s="72" t="s">
        <v>26</v>
      </c>
      <c r="D173" s="12" t="s">
        <v>16</v>
      </c>
      <c r="E173" s="12" t="s">
        <v>17</v>
      </c>
      <c r="F173" s="310" t="s">
        <v>46</v>
      </c>
      <c r="G173" s="310"/>
      <c r="H173" s="310"/>
      <c r="I173" s="12" t="s">
        <v>19</v>
      </c>
    </row>
    <row r="174" spans="1:9" x14ac:dyDescent="0.2">
      <c r="A174" s="15"/>
      <c r="B174" s="16"/>
      <c r="C174" s="73"/>
      <c r="D174" s="15"/>
      <c r="E174" s="15"/>
      <c r="F174" s="21" t="s">
        <v>113</v>
      </c>
      <c r="G174" s="21" t="s">
        <v>114</v>
      </c>
      <c r="H174" s="21" t="s">
        <v>20</v>
      </c>
      <c r="I174" s="15"/>
    </row>
    <row r="175" spans="1:9" x14ac:dyDescent="0.2">
      <c r="A175" s="8" t="s">
        <v>0</v>
      </c>
      <c r="B175" s="5">
        <f>B157+1</f>
        <v>46121</v>
      </c>
      <c r="C175" s="74" t="s">
        <v>1143</v>
      </c>
      <c r="D175" s="6" t="s">
        <v>342</v>
      </c>
      <c r="E175" s="6" t="s">
        <v>165</v>
      </c>
      <c r="F175" s="6">
        <v>1</v>
      </c>
      <c r="G175" s="6"/>
      <c r="H175" s="6">
        <v>6</v>
      </c>
      <c r="I175" s="6"/>
    </row>
    <row r="176" spans="1:9" x14ac:dyDescent="0.2">
      <c r="A176" s="8" t="s">
        <v>1</v>
      </c>
      <c r="B176" s="5"/>
      <c r="C176" s="74" t="s">
        <v>1144</v>
      </c>
      <c r="D176" s="6" t="s">
        <v>342</v>
      </c>
      <c r="E176" s="6" t="s">
        <v>165</v>
      </c>
      <c r="F176" s="6">
        <v>1</v>
      </c>
      <c r="G176" s="6"/>
      <c r="H176" s="6">
        <v>6</v>
      </c>
      <c r="I176" s="6"/>
    </row>
    <row r="177" spans="1:9" x14ac:dyDescent="0.2">
      <c r="A177" s="8" t="s">
        <v>2</v>
      </c>
      <c r="B177" s="5"/>
      <c r="C177" s="74" t="s">
        <v>1145</v>
      </c>
      <c r="D177" s="6" t="s">
        <v>206</v>
      </c>
      <c r="E177" s="6" t="s">
        <v>632</v>
      </c>
      <c r="F177" s="6">
        <v>1</v>
      </c>
      <c r="G177" s="6"/>
      <c r="H177" s="6">
        <v>6</v>
      </c>
      <c r="I177" s="6"/>
    </row>
    <row r="178" spans="1:9" x14ac:dyDescent="0.2">
      <c r="A178" s="8" t="s">
        <v>3</v>
      </c>
      <c r="B178" s="5"/>
      <c r="C178" s="74" t="s">
        <v>1146</v>
      </c>
      <c r="D178" s="6" t="s">
        <v>206</v>
      </c>
      <c r="E178" s="6" t="s">
        <v>632</v>
      </c>
      <c r="F178" s="6">
        <v>1</v>
      </c>
      <c r="G178" s="6"/>
      <c r="H178" s="6">
        <v>6</v>
      </c>
      <c r="I178" s="6"/>
    </row>
    <row r="179" spans="1:9" x14ac:dyDescent="0.2">
      <c r="A179" s="8" t="s">
        <v>4</v>
      </c>
      <c r="B179" s="5"/>
      <c r="C179" s="74" t="s">
        <v>1147</v>
      </c>
      <c r="D179" s="6" t="s">
        <v>211</v>
      </c>
      <c r="E179" s="6" t="s">
        <v>165</v>
      </c>
      <c r="F179" s="6">
        <v>1</v>
      </c>
      <c r="G179" s="6"/>
      <c r="H179" s="6">
        <v>4</v>
      </c>
      <c r="I179" s="6"/>
    </row>
    <row r="180" spans="1:9" hidden="1" x14ac:dyDescent="0.2">
      <c r="A180" s="8" t="s">
        <v>5</v>
      </c>
      <c r="B180" s="5"/>
      <c r="C180" s="74"/>
      <c r="D180" s="6"/>
      <c r="E180" s="6"/>
      <c r="F180" s="6"/>
      <c r="G180" s="6"/>
      <c r="H180" s="6"/>
      <c r="I180" s="6"/>
    </row>
    <row r="181" spans="1:9" hidden="1" x14ac:dyDescent="0.2">
      <c r="A181" s="8" t="s">
        <v>6</v>
      </c>
      <c r="B181" s="5"/>
      <c r="C181" s="74"/>
      <c r="D181" s="6"/>
      <c r="E181" s="6"/>
      <c r="F181" s="6"/>
      <c r="G181" s="6"/>
      <c r="H181" s="6"/>
      <c r="I181" s="6"/>
    </row>
    <row r="182" spans="1:9" hidden="1" x14ac:dyDescent="0.2">
      <c r="A182" s="8" t="s">
        <v>7</v>
      </c>
      <c r="B182" s="5"/>
      <c r="C182" s="74"/>
      <c r="D182" s="6"/>
      <c r="E182" s="6"/>
      <c r="F182" s="6"/>
      <c r="G182" s="6"/>
      <c r="H182" s="6"/>
      <c r="I182" s="6"/>
    </row>
    <row r="183" spans="1:9" hidden="1" x14ac:dyDescent="0.2">
      <c r="A183" s="8" t="s">
        <v>8</v>
      </c>
      <c r="B183" s="5"/>
      <c r="C183" s="74"/>
      <c r="D183" s="6"/>
      <c r="E183" s="6"/>
      <c r="F183" s="6"/>
      <c r="G183" s="6"/>
      <c r="H183" s="6"/>
      <c r="I183" s="6"/>
    </row>
    <row r="184" spans="1:9" hidden="1" x14ac:dyDescent="0.2">
      <c r="A184" s="8" t="s">
        <v>9</v>
      </c>
      <c r="B184" s="5"/>
      <c r="C184" s="74"/>
      <c r="D184" s="6"/>
      <c r="E184" s="6"/>
      <c r="F184" s="6"/>
      <c r="G184" s="6"/>
      <c r="H184" s="6"/>
      <c r="I184" s="6"/>
    </row>
    <row r="185" spans="1:9" x14ac:dyDescent="0.2">
      <c r="A185" s="312" t="s">
        <v>10</v>
      </c>
      <c r="B185" s="313"/>
      <c r="C185" s="313"/>
      <c r="D185" s="313"/>
      <c r="E185" s="314"/>
      <c r="F185" s="11">
        <f>SUM(F175:F184)</f>
        <v>5</v>
      </c>
      <c r="G185" s="11">
        <f>SUM(G175:G184)</f>
        <v>0</v>
      </c>
      <c r="H185" s="11">
        <f>SUM(H175:H184)</f>
        <v>28</v>
      </c>
      <c r="I185" s="11"/>
    </row>
    <row r="186" spans="1:9" x14ac:dyDescent="0.2">
      <c r="A186" s="8" t="s">
        <v>0</v>
      </c>
      <c r="B186" s="5">
        <f>B175+1</f>
        <v>46122</v>
      </c>
      <c r="C186" s="74" t="s">
        <v>1200</v>
      </c>
      <c r="D186" s="6" t="s">
        <v>823</v>
      </c>
      <c r="E186" s="6" t="s">
        <v>168</v>
      </c>
      <c r="F186" s="6"/>
      <c r="G186" s="6"/>
      <c r="H186" s="6">
        <v>2.5</v>
      </c>
      <c r="I186" s="6"/>
    </row>
    <row r="187" spans="1:9" x14ac:dyDescent="0.2">
      <c r="A187" s="8" t="s">
        <v>1</v>
      </c>
      <c r="B187" s="5"/>
      <c r="C187" s="74" t="s">
        <v>1190</v>
      </c>
      <c r="D187" s="6" t="s">
        <v>347</v>
      </c>
      <c r="E187" s="6" t="s">
        <v>441</v>
      </c>
      <c r="F187" s="6">
        <v>1</v>
      </c>
      <c r="G187" s="6"/>
      <c r="H187" s="6">
        <v>5</v>
      </c>
      <c r="I187" s="6"/>
    </row>
    <row r="188" spans="1:9" x14ac:dyDescent="0.2">
      <c r="A188" s="8" t="s">
        <v>2</v>
      </c>
      <c r="B188" s="5"/>
      <c r="C188" s="74" t="s">
        <v>1201</v>
      </c>
      <c r="D188" s="6" t="s">
        <v>188</v>
      </c>
      <c r="E188" s="6" t="s">
        <v>165</v>
      </c>
      <c r="F188" s="6">
        <v>1</v>
      </c>
      <c r="G188" s="6"/>
      <c r="H188" s="6">
        <v>6</v>
      </c>
      <c r="I188" s="6"/>
    </row>
    <row r="189" spans="1:9" x14ac:dyDescent="0.2">
      <c r="A189" s="8" t="s">
        <v>3</v>
      </c>
      <c r="B189" s="5"/>
      <c r="C189" s="74" t="s">
        <v>1202</v>
      </c>
      <c r="D189" s="6" t="s">
        <v>832</v>
      </c>
      <c r="E189" s="6" t="s">
        <v>168</v>
      </c>
      <c r="F189" s="6">
        <v>1</v>
      </c>
      <c r="G189" s="6"/>
      <c r="H189" s="6">
        <v>5</v>
      </c>
      <c r="I189" s="6"/>
    </row>
    <row r="190" spans="1:9" x14ac:dyDescent="0.2">
      <c r="A190" s="8" t="s">
        <v>4</v>
      </c>
      <c r="B190" s="5"/>
      <c r="C190" s="74" t="s">
        <v>1203</v>
      </c>
      <c r="D190" s="6" t="s">
        <v>206</v>
      </c>
      <c r="E190" s="6" t="s">
        <v>171</v>
      </c>
      <c r="F190" s="6"/>
      <c r="G190" s="6">
        <v>1</v>
      </c>
      <c r="H190" s="6">
        <v>3</v>
      </c>
      <c r="I190" s="6"/>
    </row>
    <row r="191" spans="1:9" x14ac:dyDescent="0.2">
      <c r="A191" s="8" t="s">
        <v>5</v>
      </c>
      <c r="B191" s="5"/>
      <c r="C191" s="74" t="s">
        <v>1204</v>
      </c>
      <c r="D191" s="6" t="s">
        <v>188</v>
      </c>
      <c r="E191" s="6" t="s">
        <v>165</v>
      </c>
      <c r="F191" s="6"/>
      <c r="G191" s="6">
        <v>1</v>
      </c>
      <c r="H191" s="6">
        <v>6</v>
      </c>
      <c r="I191" s="6"/>
    </row>
    <row r="192" spans="1:9" hidden="1" x14ac:dyDescent="0.2">
      <c r="A192" s="8" t="s">
        <v>6</v>
      </c>
      <c r="B192" s="5"/>
      <c r="C192" s="74"/>
      <c r="D192" s="6"/>
      <c r="E192" s="6"/>
      <c r="F192" s="6"/>
      <c r="G192" s="6"/>
      <c r="H192" s="6"/>
      <c r="I192" s="6"/>
    </row>
    <row r="193" spans="1:9" hidden="1" x14ac:dyDescent="0.2">
      <c r="A193" s="8" t="s">
        <v>7</v>
      </c>
      <c r="B193" s="5"/>
      <c r="C193" s="74"/>
      <c r="D193" s="6"/>
      <c r="E193" s="6"/>
      <c r="F193" s="6"/>
      <c r="G193" s="6"/>
      <c r="H193" s="6"/>
      <c r="I193" s="6"/>
    </row>
    <row r="194" spans="1:9" hidden="1" x14ac:dyDescent="0.2">
      <c r="A194" s="8" t="s">
        <v>8</v>
      </c>
      <c r="B194" s="5"/>
      <c r="C194" s="74"/>
      <c r="D194" s="6"/>
      <c r="E194" s="6"/>
      <c r="F194" s="6"/>
      <c r="G194" s="6"/>
      <c r="H194" s="6"/>
      <c r="I194" s="6"/>
    </row>
    <row r="195" spans="1:9" hidden="1" x14ac:dyDescent="0.2">
      <c r="A195" s="8" t="s">
        <v>9</v>
      </c>
      <c r="B195" s="5"/>
      <c r="C195" s="74"/>
      <c r="D195" s="6"/>
      <c r="E195" s="6"/>
      <c r="F195" s="6"/>
      <c r="G195" s="6"/>
      <c r="H195" s="6"/>
      <c r="I195" s="6"/>
    </row>
    <row r="196" spans="1:9" x14ac:dyDescent="0.2">
      <c r="A196" s="312" t="s">
        <v>10</v>
      </c>
      <c r="B196" s="313"/>
      <c r="C196" s="313"/>
      <c r="D196" s="313"/>
      <c r="E196" s="314"/>
      <c r="F196" s="11">
        <f>SUM(F186:F195)</f>
        <v>3</v>
      </c>
      <c r="G196" s="11">
        <f>SUM(G186:G195)</f>
        <v>2</v>
      </c>
      <c r="H196" s="11">
        <f>SUM(H186:H195)</f>
        <v>27.5</v>
      </c>
      <c r="I196" s="11"/>
    </row>
    <row r="197" spans="1:9" x14ac:dyDescent="0.2">
      <c r="A197" s="8" t="s">
        <v>0</v>
      </c>
      <c r="B197" s="5">
        <f>B186+1</f>
        <v>46123</v>
      </c>
      <c r="C197" s="74" t="s">
        <v>1252</v>
      </c>
      <c r="D197" s="6" t="s">
        <v>342</v>
      </c>
      <c r="E197" s="6" t="s">
        <v>165</v>
      </c>
      <c r="F197" s="6">
        <v>1</v>
      </c>
      <c r="G197" s="6"/>
      <c r="H197" s="6">
        <v>6</v>
      </c>
      <c r="I197" s="6"/>
    </row>
    <row r="198" spans="1:9" x14ac:dyDescent="0.2">
      <c r="A198" s="8" t="s">
        <v>1</v>
      </c>
      <c r="B198" s="5"/>
      <c r="C198" s="74" t="s">
        <v>1253</v>
      </c>
      <c r="D198" s="6" t="s">
        <v>347</v>
      </c>
      <c r="E198" s="6" t="s">
        <v>441</v>
      </c>
      <c r="F198" s="6">
        <v>1</v>
      </c>
      <c r="G198" s="6"/>
      <c r="H198" s="6">
        <v>6</v>
      </c>
      <c r="I198" s="6"/>
    </row>
    <row r="199" spans="1:9" x14ac:dyDescent="0.2">
      <c r="A199" s="8" t="s">
        <v>2</v>
      </c>
      <c r="B199" s="5"/>
      <c r="C199" s="74" t="s">
        <v>1254</v>
      </c>
      <c r="D199" s="6" t="s">
        <v>347</v>
      </c>
      <c r="E199" s="6" t="s">
        <v>441</v>
      </c>
      <c r="F199" s="6">
        <v>1</v>
      </c>
      <c r="G199" s="6"/>
      <c r="H199" s="6">
        <v>6</v>
      </c>
      <c r="I199" s="6"/>
    </row>
    <row r="200" spans="1:9" x14ac:dyDescent="0.2">
      <c r="A200" s="8" t="s">
        <v>3</v>
      </c>
      <c r="B200" s="5"/>
      <c r="C200" s="74" t="s">
        <v>1255</v>
      </c>
      <c r="D200" s="6" t="s">
        <v>170</v>
      </c>
      <c r="E200" s="6" t="s">
        <v>190</v>
      </c>
      <c r="F200" s="6">
        <v>1</v>
      </c>
      <c r="G200" s="6"/>
      <c r="H200" s="6">
        <v>2</v>
      </c>
      <c r="I200" s="6"/>
    </row>
    <row r="201" spans="1:9" hidden="1" x14ac:dyDescent="0.2">
      <c r="A201" s="8" t="s">
        <v>4</v>
      </c>
      <c r="B201" s="5"/>
      <c r="C201" s="74"/>
      <c r="D201" s="6"/>
      <c r="E201" s="6"/>
      <c r="F201" s="6"/>
      <c r="G201" s="6"/>
      <c r="H201" s="6"/>
      <c r="I201" s="6"/>
    </row>
    <row r="202" spans="1:9" hidden="1" x14ac:dyDescent="0.2">
      <c r="A202" s="8" t="s">
        <v>5</v>
      </c>
      <c r="B202" s="5"/>
      <c r="C202" s="74"/>
      <c r="D202" s="6"/>
      <c r="E202" s="6"/>
      <c r="F202" s="6"/>
      <c r="G202" s="6"/>
      <c r="H202" s="6"/>
      <c r="I202" s="6"/>
    </row>
    <row r="203" spans="1:9" hidden="1" x14ac:dyDescent="0.2">
      <c r="A203" s="8" t="s">
        <v>6</v>
      </c>
      <c r="B203" s="5"/>
      <c r="C203" s="74"/>
      <c r="D203" s="6"/>
      <c r="E203" s="6"/>
      <c r="F203" s="6"/>
      <c r="G203" s="6"/>
      <c r="H203" s="6"/>
      <c r="I203" s="6"/>
    </row>
    <row r="204" spans="1:9" hidden="1" x14ac:dyDescent="0.2">
      <c r="A204" s="8" t="s">
        <v>7</v>
      </c>
      <c r="B204" s="5"/>
      <c r="C204" s="74"/>
      <c r="D204" s="6"/>
      <c r="E204" s="6"/>
      <c r="F204" s="6"/>
      <c r="G204" s="6"/>
      <c r="H204" s="6"/>
      <c r="I204" s="6"/>
    </row>
    <row r="205" spans="1:9" hidden="1" x14ac:dyDescent="0.2">
      <c r="A205" s="8" t="s">
        <v>8</v>
      </c>
      <c r="B205" s="5"/>
      <c r="C205" s="74"/>
      <c r="D205" s="6"/>
      <c r="E205" s="6"/>
      <c r="F205" s="6"/>
      <c r="G205" s="6"/>
      <c r="H205" s="6"/>
      <c r="I205" s="6"/>
    </row>
    <row r="206" spans="1:9" hidden="1" x14ac:dyDescent="0.2">
      <c r="A206" s="8" t="s">
        <v>9</v>
      </c>
      <c r="B206" s="5"/>
      <c r="C206" s="74"/>
      <c r="D206" s="6"/>
      <c r="E206" s="6"/>
      <c r="F206" s="6"/>
      <c r="G206" s="6"/>
      <c r="H206" s="6"/>
      <c r="I206" s="6"/>
    </row>
    <row r="207" spans="1:9" x14ac:dyDescent="0.2">
      <c r="A207" s="312" t="s">
        <v>10</v>
      </c>
      <c r="B207" s="313"/>
      <c r="C207" s="313"/>
      <c r="D207" s="313"/>
      <c r="E207" s="314"/>
      <c r="F207" s="11">
        <f>SUM(F197:F206)</f>
        <v>4</v>
      </c>
      <c r="G207" s="11">
        <f>SUM(G197:G206)</f>
        <v>0</v>
      </c>
      <c r="H207" s="11">
        <f>SUM(H197:H206)</f>
        <v>20</v>
      </c>
      <c r="I207" s="11"/>
    </row>
    <row r="208" spans="1:9" hidden="1" x14ac:dyDescent="0.2">
      <c r="A208" s="8" t="s">
        <v>0</v>
      </c>
      <c r="B208" s="5">
        <f>B197+1</f>
        <v>46124</v>
      </c>
      <c r="C208" s="75"/>
      <c r="D208" s="6"/>
      <c r="E208" s="6"/>
      <c r="F208" s="6"/>
      <c r="G208" s="6"/>
      <c r="H208" s="6"/>
      <c r="I208" s="6"/>
    </row>
    <row r="209" spans="1:9" hidden="1" x14ac:dyDescent="0.2">
      <c r="A209" s="8" t="s">
        <v>1</v>
      </c>
      <c r="B209" s="5"/>
      <c r="C209" s="75"/>
      <c r="D209" s="6"/>
      <c r="E209" s="6"/>
      <c r="F209" s="6"/>
      <c r="G209" s="6"/>
      <c r="H209" s="6"/>
      <c r="I209" s="6"/>
    </row>
    <row r="210" spans="1:9" hidden="1" x14ac:dyDescent="0.2">
      <c r="A210" s="8" t="s">
        <v>2</v>
      </c>
      <c r="B210" s="5"/>
      <c r="C210" s="75"/>
      <c r="D210" s="6"/>
      <c r="E210" s="6"/>
      <c r="F210" s="6"/>
      <c r="G210" s="6"/>
      <c r="H210" s="6"/>
      <c r="I210" s="6"/>
    </row>
    <row r="211" spans="1:9" hidden="1" x14ac:dyDescent="0.2">
      <c r="A211" s="8" t="s">
        <v>3</v>
      </c>
      <c r="B211" s="5"/>
      <c r="C211" s="75"/>
      <c r="D211" s="6"/>
      <c r="E211" s="6"/>
      <c r="F211" s="6"/>
      <c r="G211" s="6"/>
      <c r="H211" s="6"/>
      <c r="I211" s="6"/>
    </row>
    <row r="212" spans="1:9" hidden="1" x14ac:dyDescent="0.2">
      <c r="A212" s="8" t="s">
        <v>4</v>
      </c>
      <c r="B212" s="5"/>
      <c r="C212" s="75"/>
      <c r="D212" s="6"/>
      <c r="E212" s="6"/>
      <c r="F212" s="6"/>
      <c r="G212" s="6"/>
      <c r="H212" s="6"/>
      <c r="I212" s="6"/>
    </row>
    <row r="213" spans="1:9" hidden="1" x14ac:dyDescent="0.2">
      <c r="A213" s="8" t="s">
        <v>5</v>
      </c>
      <c r="B213" s="5"/>
      <c r="C213" s="75"/>
      <c r="D213" s="6"/>
      <c r="E213" s="6"/>
      <c r="F213" s="6"/>
      <c r="G213" s="6"/>
      <c r="H213" s="6"/>
      <c r="I213" s="6"/>
    </row>
    <row r="214" spans="1:9" hidden="1" x14ac:dyDescent="0.2">
      <c r="A214" s="8" t="s">
        <v>6</v>
      </c>
      <c r="B214" s="5"/>
      <c r="C214" s="75"/>
      <c r="D214" s="6"/>
      <c r="E214" s="6"/>
      <c r="F214" s="6"/>
      <c r="G214" s="6"/>
      <c r="H214" s="6"/>
      <c r="I214" s="6"/>
    </row>
    <row r="215" spans="1:9" hidden="1" x14ac:dyDescent="0.2">
      <c r="A215" s="8" t="s">
        <v>7</v>
      </c>
      <c r="B215" s="5"/>
      <c r="C215" s="74"/>
      <c r="D215" s="6"/>
      <c r="E215" s="6"/>
      <c r="F215" s="6"/>
      <c r="G215" s="6"/>
      <c r="H215" s="6"/>
      <c r="I215" s="6"/>
    </row>
    <row r="216" spans="1:9" hidden="1" x14ac:dyDescent="0.2">
      <c r="A216" s="8" t="s">
        <v>8</v>
      </c>
      <c r="B216" s="5"/>
      <c r="C216" s="74"/>
      <c r="D216" s="6"/>
      <c r="E216" s="6"/>
      <c r="F216" s="6"/>
      <c r="G216" s="6"/>
      <c r="H216" s="6"/>
      <c r="I216" s="6"/>
    </row>
    <row r="217" spans="1:9" hidden="1" x14ac:dyDescent="0.2">
      <c r="A217" s="8" t="s">
        <v>9</v>
      </c>
      <c r="B217" s="5"/>
      <c r="C217" s="74"/>
      <c r="D217" s="6"/>
      <c r="E217" s="6"/>
      <c r="F217" s="6"/>
      <c r="G217" s="6"/>
      <c r="H217" s="6"/>
      <c r="I217" s="6"/>
    </row>
    <row r="218" spans="1:9" hidden="1" x14ac:dyDescent="0.2">
      <c r="A218" s="312" t="s">
        <v>10</v>
      </c>
      <c r="B218" s="313"/>
      <c r="C218" s="313"/>
      <c r="D218" s="313"/>
      <c r="E218" s="314"/>
      <c r="F218" s="11">
        <f>SUM(F208:F217)</f>
        <v>0</v>
      </c>
      <c r="G218" s="11">
        <f>SUM(G208:G217)</f>
        <v>0</v>
      </c>
      <c r="H218" s="11">
        <f>SUM(H208:H217)</f>
        <v>0</v>
      </c>
      <c r="I218" s="11"/>
    </row>
    <row r="219" spans="1:9" hidden="1" x14ac:dyDescent="0.2">
      <c r="A219" s="8" t="s">
        <v>0</v>
      </c>
      <c r="B219" s="5">
        <f>B208+1</f>
        <v>46125</v>
      </c>
      <c r="C219" s="75"/>
      <c r="D219" s="6"/>
      <c r="E219" s="6"/>
      <c r="F219" s="6"/>
      <c r="G219" s="6"/>
      <c r="H219" s="6"/>
      <c r="I219" s="6"/>
    </row>
    <row r="220" spans="1:9" hidden="1" x14ac:dyDescent="0.2">
      <c r="A220" s="8" t="s">
        <v>1</v>
      </c>
      <c r="B220" s="5"/>
      <c r="C220" s="75"/>
      <c r="D220" s="6"/>
      <c r="E220" s="6"/>
      <c r="F220" s="6"/>
      <c r="G220" s="6"/>
      <c r="H220" s="6"/>
      <c r="I220" s="6"/>
    </row>
    <row r="221" spans="1:9" hidden="1" x14ac:dyDescent="0.2">
      <c r="A221" s="8" t="s">
        <v>2</v>
      </c>
      <c r="B221" s="5"/>
      <c r="C221" s="75"/>
      <c r="D221" s="6"/>
      <c r="E221" s="6"/>
      <c r="F221" s="6"/>
      <c r="G221" s="6"/>
      <c r="H221" s="6"/>
      <c r="I221" s="6"/>
    </row>
    <row r="222" spans="1:9" hidden="1" x14ac:dyDescent="0.2">
      <c r="A222" s="8" t="s">
        <v>3</v>
      </c>
      <c r="B222" s="5"/>
      <c r="C222" s="75"/>
      <c r="D222" s="6"/>
      <c r="E222" s="6"/>
      <c r="F222" s="6"/>
      <c r="G222" s="6"/>
      <c r="H222" s="6"/>
      <c r="I222" s="6"/>
    </row>
    <row r="223" spans="1:9" hidden="1" x14ac:dyDescent="0.2">
      <c r="A223" s="8" t="s">
        <v>4</v>
      </c>
      <c r="B223" s="5"/>
      <c r="C223" s="75"/>
      <c r="D223" s="6"/>
      <c r="E223" s="6"/>
      <c r="F223" s="6"/>
      <c r="G223" s="6"/>
      <c r="H223" s="6"/>
      <c r="I223" s="6"/>
    </row>
    <row r="224" spans="1:9" hidden="1" x14ac:dyDescent="0.2">
      <c r="A224" s="8" t="s">
        <v>5</v>
      </c>
      <c r="B224" s="5"/>
      <c r="C224" s="75"/>
      <c r="D224" s="6"/>
      <c r="E224" s="6"/>
      <c r="F224" s="6"/>
      <c r="G224" s="6"/>
      <c r="H224" s="6"/>
      <c r="I224" s="6"/>
    </row>
    <row r="225" spans="1:9" hidden="1" x14ac:dyDescent="0.2">
      <c r="A225" s="8" t="s">
        <v>6</v>
      </c>
      <c r="B225" s="5"/>
      <c r="C225" s="74"/>
      <c r="D225" s="6"/>
      <c r="E225" s="6"/>
      <c r="F225" s="6"/>
      <c r="G225" s="6"/>
      <c r="H225" s="6"/>
      <c r="I225" s="6"/>
    </row>
    <row r="226" spans="1:9" hidden="1" x14ac:dyDescent="0.2">
      <c r="A226" s="8" t="s">
        <v>7</v>
      </c>
      <c r="B226" s="5"/>
      <c r="C226" s="74"/>
      <c r="D226" s="6"/>
      <c r="E226" s="6"/>
      <c r="F226" s="6"/>
      <c r="G226" s="6"/>
      <c r="H226" s="6"/>
      <c r="I226" s="6"/>
    </row>
    <row r="227" spans="1:9" hidden="1" x14ac:dyDescent="0.2">
      <c r="A227" s="8" t="s">
        <v>8</v>
      </c>
      <c r="B227" s="5"/>
      <c r="C227" s="74"/>
      <c r="D227" s="6"/>
      <c r="E227" s="6"/>
      <c r="F227" s="6"/>
      <c r="G227" s="6"/>
      <c r="H227" s="6"/>
      <c r="I227" s="6"/>
    </row>
    <row r="228" spans="1:9" hidden="1" x14ac:dyDescent="0.2">
      <c r="A228" s="8" t="s">
        <v>9</v>
      </c>
      <c r="B228" s="5"/>
      <c r="C228" s="74"/>
      <c r="D228" s="6"/>
      <c r="E228" s="6"/>
      <c r="F228" s="6"/>
      <c r="G228" s="6"/>
      <c r="H228" s="6"/>
      <c r="I228" s="6"/>
    </row>
    <row r="229" spans="1:9" hidden="1" x14ac:dyDescent="0.2">
      <c r="A229" s="312" t="s">
        <v>10</v>
      </c>
      <c r="B229" s="313"/>
      <c r="C229" s="313"/>
      <c r="D229" s="313"/>
      <c r="E229" s="314"/>
      <c r="F229" s="11">
        <f>SUM(F219:F228)</f>
        <v>0</v>
      </c>
      <c r="G229" s="11">
        <f>SUM(G219:G228)</f>
        <v>0</v>
      </c>
      <c r="H229" s="11">
        <f>SUM(H219:H228)</f>
        <v>0</v>
      </c>
      <c r="I229" s="11"/>
    </row>
    <row r="230" spans="1:9" hidden="1" x14ac:dyDescent="0.2">
      <c r="A230" s="8" t="s">
        <v>0</v>
      </c>
      <c r="B230" s="5">
        <f>B219+1</f>
        <v>46126</v>
      </c>
      <c r="C230" s="75"/>
      <c r="D230" s="6"/>
      <c r="E230" s="6"/>
      <c r="F230" s="6"/>
      <c r="G230" s="6"/>
      <c r="H230" s="6"/>
      <c r="I230" s="6"/>
    </row>
    <row r="231" spans="1:9" hidden="1" x14ac:dyDescent="0.2">
      <c r="A231" s="8" t="s">
        <v>1</v>
      </c>
      <c r="B231" s="5"/>
      <c r="C231" s="75"/>
      <c r="D231" s="6"/>
      <c r="E231" s="6"/>
      <c r="F231" s="6"/>
      <c r="G231" s="6"/>
      <c r="H231" s="6"/>
      <c r="I231" s="6"/>
    </row>
    <row r="232" spans="1:9" hidden="1" x14ac:dyDescent="0.2">
      <c r="A232" s="8" t="s">
        <v>2</v>
      </c>
      <c r="B232" s="5"/>
      <c r="C232" s="75"/>
      <c r="D232" s="6"/>
      <c r="E232" s="6"/>
      <c r="F232" s="6"/>
      <c r="G232" s="6"/>
      <c r="H232" s="6"/>
      <c r="I232" s="6"/>
    </row>
    <row r="233" spans="1:9" hidden="1" x14ac:dyDescent="0.2">
      <c r="A233" s="8" t="s">
        <v>3</v>
      </c>
      <c r="B233" s="5"/>
      <c r="C233" s="75"/>
      <c r="D233" s="6"/>
      <c r="E233" s="6"/>
      <c r="F233" s="6"/>
      <c r="G233" s="6"/>
      <c r="H233" s="6"/>
      <c r="I233" s="6"/>
    </row>
    <row r="234" spans="1:9" hidden="1" x14ac:dyDescent="0.2">
      <c r="A234" s="8" t="s">
        <v>4</v>
      </c>
      <c r="B234" s="5"/>
      <c r="C234" s="75"/>
      <c r="D234" s="6"/>
      <c r="E234" s="6"/>
      <c r="F234" s="6"/>
      <c r="G234" s="6"/>
      <c r="H234" s="6"/>
      <c r="I234" s="6"/>
    </row>
    <row r="235" spans="1:9" hidden="1" x14ac:dyDescent="0.2">
      <c r="A235" s="8" t="s">
        <v>5</v>
      </c>
      <c r="B235" s="5"/>
      <c r="C235" s="75"/>
      <c r="D235" s="6"/>
      <c r="E235" s="6"/>
      <c r="F235" s="6"/>
      <c r="G235" s="6"/>
      <c r="H235" s="6"/>
      <c r="I235" s="6"/>
    </row>
    <row r="236" spans="1:9" hidden="1" x14ac:dyDescent="0.2">
      <c r="A236" s="8" t="s">
        <v>6</v>
      </c>
      <c r="B236" s="5"/>
      <c r="C236" s="75"/>
      <c r="D236" s="6"/>
      <c r="E236" s="6"/>
      <c r="F236" s="6"/>
      <c r="G236" s="6"/>
      <c r="H236" s="6"/>
      <c r="I236" s="6"/>
    </row>
    <row r="237" spans="1:9" hidden="1" x14ac:dyDescent="0.2">
      <c r="A237" s="8" t="s">
        <v>7</v>
      </c>
      <c r="B237" s="5"/>
      <c r="C237" s="75"/>
      <c r="D237" s="6"/>
      <c r="E237" s="6"/>
      <c r="F237" s="6"/>
      <c r="G237" s="6"/>
      <c r="H237" s="6"/>
      <c r="I237" s="6"/>
    </row>
    <row r="238" spans="1:9" hidden="1" x14ac:dyDescent="0.2">
      <c r="A238" s="8" t="s">
        <v>8</v>
      </c>
      <c r="B238" s="5"/>
      <c r="C238" s="75"/>
      <c r="D238" s="6"/>
      <c r="E238" s="6"/>
      <c r="F238" s="6"/>
      <c r="G238" s="6"/>
      <c r="H238" s="6"/>
      <c r="I238" s="6"/>
    </row>
    <row r="239" spans="1:9" hidden="1" x14ac:dyDescent="0.2">
      <c r="A239" s="8" t="s">
        <v>9</v>
      </c>
      <c r="B239" s="5"/>
      <c r="C239" s="75"/>
      <c r="D239" s="6"/>
      <c r="E239" s="6"/>
      <c r="F239" s="6"/>
      <c r="G239" s="6"/>
      <c r="H239" s="6"/>
      <c r="I239" s="6"/>
    </row>
    <row r="240" spans="1:9" hidden="1" x14ac:dyDescent="0.2">
      <c r="A240" s="312" t="s">
        <v>10</v>
      </c>
      <c r="B240" s="313"/>
      <c r="C240" s="313"/>
      <c r="D240" s="313"/>
      <c r="E240" s="314"/>
      <c r="F240" s="11">
        <f>SUM(F230:F239)</f>
        <v>0</v>
      </c>
      <c r="G240" s="11">
        <f>SUM(G230:G239)</f>
        <v>0</v>
      </c>
      <c r="H240" s="11">
        <f>SUM(H230:H239)</f>
        <v>0</v>
      </c>
      <c r="I240" s="11"/>
    </row>
    <row r="241" spans="1:9" hidden="1" x14ac:dyDescent="0.2">
      <c r="A241" s="8" t="s">
        <v>0</v>
      </c>
      <c r="B241" s="5">
        <f>B230+1</f>
        <v>46127</v>
      </c>
      <c r="C241" s="74"/>
      <c r="D241" s="6"/>
      <c r="E241" s="6"/>
      <c r="F241" s="6"/>
      <c r="G241" s="6"/>
      <c r="H241" s="6"/>
      <c r="I241" s="6"/>
    </row>
    <row r="242" spans="1:9" hidden="1" x14ac:dyDescent="0.2">
      <c r="A242" s="8" t="s">
        <v>1</v>
      </c>
      <c r="B242" s="5"/>
      <c r="C242" s="74"/>
      <c r="D242" s="6"/>
      <c r="E242" s="6"/>
      <c r="F242" s="6"/>
      <c r="G242" s="6"/>
      <c r="H242" s="6"/>
      <c r="I242" s="6"/>
    </row>
    <row r="243" spans="1:9" hidden="1" x14ac:dyDescent="0.2">
      <c r="A243" s="8" t="s">
        <v>2</v>
      </c>
      <c r="B243" s="5"/>
      <c r="C243" s="74"/>
      <c r="D243" s="6"/>
      <c r="E243" s="6"/>
      <c r="F243" s="6"/>
      <c r="G243" s="6"/>
      <c r="H243" s="6"/>
      <c r="I243" s="6"/>
    </row>
    <row r="244" spans="1:9" hidden="1" x14ac:dyDescent="0.2">
      <c r="A244" s="8" t="s">
        <v>3</v>
      </c>
      <c r="B244" s="5"/>
      <c r="C244" s="74"/>
      <c r="D244" s="6"/>
      <c r="E244" s="6"/>
      <c r="F244" s="6"/>
      <c r="G244" s="6"/>
      <c r="H244" s="6"/>
      <c r="I244" s="6"/>
    </row>
    <row r="245" spans="1:9" hidden="1" x14ac:dyDescent="0.2">
      <c r="A245" s="8" t="s">
        <v>4</v>
      </c>
      <c r="B245" s="5"/>
      <c r="C245" s="74"/>
      <c r="D245" s="6"/>
      <c r="E245" s="6"/>
      <c r="F245" s="6"/>
      <c r="G245" s="6"/>
      <c r="H245" s="6"/>
      <c r="I245" s="6"/>
    </row>
    <row r="246" spans="1:9" hidden="1" x14ac:dyDescent="0.2">
      <c r="A246" s="8" t="s">
        <v>5</v>
      </c>
      <c r="B246" s="5"/>
      <c r="C246" s="74"/>
      <c r="D246" s="6"/>
      <c r="E246" s="6"/>
      <c r="F246" s="6"/>
      <c r="G246" s="6"/>
      <c r="H246" s="6"/>
      <c r="I246" s="6"/>
    </row>
    <row r="247" spans="1:9" hidden="1" x14ac:dyDescent="0.2">
      <c r="A247" s="8" t="s">
        <v>6</v>
      </c>
      <c r="B247" s="5"/>
      <c r="C247" s="74"/>
      <c r="D247" s="6"/>
      <c r="E247" s="6"/>
      <c r="F247" s="6"/>
      <c r="G247" s="6"/>
      <c r="H247" s="6"/>
      <c r="I247" s="6"/>
    </row>
    <row r="248" spans="1:9" hidden="1" x14ac:dyDescent="0.2">
      <c r="A248" s="8" t="s">
        <v>7</v>
      </c>
      <c r="B248" s="5"/>
      <c r="C248" s="74"/>
      <c r="D248" s="6"/>
      <c r="E248" s="6"/>
      <c r="F248" s="6"/>
      <c r="G248" s="6"/>
      <c r="H248" s="6"/>
      <c r="I248" s="6"/>
    </row>
    <row r="249" spans="1:9" hidden="1" x14ac:dyDescent="0.2">
      <c r="A249" s="8" t="s">
        <v>8</v>
      </c>
      <c r="B249" s="5"/>
      <c r="C249" s="74"/>
      <c r="D249" s="6"/>
      <c r="E249" s="6"/>
      <c r="F249" s="6"/>
      <c r="G249" s="6"/>
      <c r="H249" s="6"/>
      <c r="I249" s="6"/>
    </row>
    <row r="250" spans="1:9" ht="16.5" hidden="1" customHeight="1" x14ac:dyDescent="0.2">
      <c r="A250" s="8" t="s">
        <v>9</v>
      </c>
      <c r="B250" s="5"/>
      <c r="C250" s="74"/>
      <c r="D250" s="6"/>
      <c r="E250" s="6"/>
      <c r="F250" s="6"/>
      <c r="G250" s="6"/>
      <c r="H250" s="6"/>
      <c r="I250" s="6"/>
    </row>
    <row r="251" spans="1:9" hidden="1" x14ac:dyDescent="0.2">
      <c r="A251" s="312" t="s">
        <v>10</v>
      </c>
      <c r="B251" s="313"/>
      <c r="C251" s="313"/>
      <c r="D251" s="313"/>
      <c r="E251" s="314"/>
      <c r="F251" s="11">
        <f>SUM(F241:F250)</f>
        <v>0</v>
      </c>
      <c r="G251" s="11">
        <f>SUM(G241:G250)</f>
        <v>0</v>
      </c>
      <c r="H251" s="11">
        <f>SUM(H241:H250)</f>
        <v>0</v>
      </c>
      <c r="I251" s="11"/>
    </row>
    <row r="252" spans="1:9" s="25" customFormat="1" ht="18" x14ac:dyDescent="0.2">
      <c r="A252" s="315" t="s">
        <v>39</v>
      </c>
      <c r="B252" s="316"/>
      <c r="C252" s="316"/>
      <c r="D252" s="316"/>
      <c r="E252" s="317"/>
      <c r="F252" s="22">
        <f>F185+F196+F207+F218+F229+F240+F251+F168</f>
        <v>66</v>
      </c>
      <c r="G252" s="22">
        <f>G185+G196+G207+G218+G229+G240+G251+G168</f>
        <v>14</v>
      </c>
      <c r="H252" s="22">
        <f>H185+H196+H207+H218+H229+H240+H251+H168</f>
        <v>435.5</v>
      </c>
      <c r="I252" s="22"/>
    </row>
    <row r="253" spans="1:9" ht="21.95" customHeight="1" x14ac:dyDescent="0.2">
      <c r="A253" s="319" t="s">
        <v>14</v>
      </c>
      <c r="B253" s="319"/>
      <c r="C253" s="319"/>
      <c r="D253" s="319"/>
      <c r="E253" s="319"/>
      <c r="F253" s="319"/>
      <c r="G253" s="319"/>
      <c r="H253" s="319"/>
      <c r="I253" s="319"/>
    </row>
    <row r="254" spans="1:9" s="53" customFormat="1" ht="20.100000000000001" customHeight="1" x14ac:dyDescent="0.2">
      <c r="A254" s="323" t="s">
        <v>86</v>
      </c>
      <c r="B254" s="323"/>
      <c r="C254" s="323"/>
      <c r="D254" s="323"/>
      <c r="E254" s="323"/>
      <c r="F254" s="50" t="str">
        <f>F170</f>
        <v>เมษายน</v>
      </c>
      <c r="G254" s="50" t="s">
        <v>87</v>
      </c>
      <c r="H254" s="51">
        <f>H170</f>
        <v>2569</v>
      </c>
      <c r="I254" s="52"/>
    </row>
    <row r="255" spans="1:9" s="3" customFormat="1" ht="20.100000000000001" customHeight="1" x14ac:dyDescent="0.35">
      <c r="A255" s="318" t="s">
        <v>35</v>
      </c>
      <c r="B255" s="318"/>
      <c r="C255" s="318"/>
      <c r="D255" s="2"/>
      <c r="F255" s="4"/>
      <c r="G255" s="4"/>
      <c r="H255" s="4" t="s">
        <v>21</v>
      </c>
      <c r="I255" s="40">
        <f>I171+1</f>
        <v>4</v>
      </c>
    </row>
    <row r="256" spans="1:9" s="3" customFormat="1" ht="20.100000000000001" customHeight="1" x14ac:dyDescent="0.35">
      <c r="A256" s="311" t="s">
        <v>78</v>
      </c>
      <c r="B256" s="311"/>
      <c r="C256" s="311"/>
      <c r="D256" s="2"/>
      <c r="E256" s="39" t="s">
        <v>81</v>
      </c>
      <c r="F256" s="308">
        <f>F172</f>
        <v>46107</v>
      </c>
      <c r="G256" s="308"/>
      <c r="H256" s="39" t="s">
        <v>82</v>
      </c>
      <c r="I256" s="34">
        <f>I172</f>
        <v>46136</v>
      </c>
    </row>
    <row r="257" spans="1:9" x14ac:dyDescent="0.2">
      <c r="A257" s="12" t="s">
        <v>23</v>
      </c>
      <c r="B257" s="13" t="s">
        <v>11</v>
      </c>
      <c r="C257" s="72" t="s">
        <v>26</v>
      </c>
      <c r="D257" s="12" t="s">
        <v>16</v>
      </c>
      <c r="E257" s="12" t="s">
        <v>17</v>
      </c>
      <c r="F257" s="310" t="s">
        <v>46</v>
      </c>
      <c r="G257" s="310"/>
      <c r="H257" s="310"/>
      <c r="I257" s="12" t="s">
        <v>19</v>
      </c>
    </row>
    <row r="258" spans="1:9" x14ac:dyDescent="0.2">
      <c r="A258" s="15"/>
      <c r="B258" s="16"/>
      <c r="C258" s="73"/>
      <c r="D258" s="15"/>
      <c r="E258" s="15"/>
      <c r="F258" s="21" t="s">
        <v>113</v>
      </c>
      <c r="G258" s="21" t="s">
        <v>114</v>
      </c>
      <c r="H258" s="21" t="s">
        <v>20</v>
      </c>
      <c r="I258" s="15"/>
    </row>
    <row r="259" spans="1:9" hidden="1" x14ac:dyDescent="0.2">
      <c r="A259" s="8" t="s">
        <v>0</v>
      </c>
      <c r="B259" s="5">
        <f>B241+1</f>
        <v>46128</v>
      </c>
      <c r="C259" s="74"/>
      <c r="D259" s="6"/>
      <c r="E259" s="6"/>
      <c r="F259" s="6"/>
      <c r="G259" s="6"/>
      <c r="H259" s="6"/>
      <c r="I259" s="6"/>
    </row>
    <row r="260" spans="1:9" hidden="1" x14ac:dyDescent="0.2">
      <c r="A260" s="8" t="s">
        <v>1</v>
      </c>
      <c r="B260" s="5"/>
      <c r="C260" s="74"/>
      <c r="D260" s="6"/>
      <c r="E260" s="6"/>
      <c r="F260" s="6"/>
      <c r="G260" s="6"/>
      <c r="H260" s="6"/>
      <c r="I260" s="6"/>
    </row>
    <row r="261" spans="1:9" hidden="1" x14ac:dyDescent="0.2">
      <c r="A261" s="8" t="s">
        <v>2</v>
      </c>
      <c r="B261" s="5"/>
      <c r="C261" s="74"/>
      <c r="D261" s="6"/>
      <c r="E261" s="6"/>
      <c r="F261" s="6"/>
      <c r="G261" s="6"/>
      <c r="H261" s="6"/>
      <c r="I261" s="6"/>
    </row>
    <row r="262" spans="1:9" hidden="1" x14ac:dyDescent="0.2">
      <c r="A262" s="8" t="s">
        <v>3</v>
      </c>
      <c r="B262" s="5"/>
      <c r="C262" s="74"/>
      <c r="D262" s="6"/>
      <c r="E262" s="6"/>
      <c r="F262" s="6"/>
      <c r="G262" s="6"/>
      <c r="H262" s="6"/>
      <c r="I262" s="6"/>
    </row>
    <row r="263" spans="1:9" hidden="1" x14ac:dyDescent="0.2">
      <c r="A263" s="8" t="s">
        <v>4</v>
      </c>
      <c r="B263" s="5"/>
      <c r="C263" s="74"/>
      <c r="D263" s="6"/>
      <c r="E263" s="6"/>
      <c r="F263" s="6"/>
      <c r="G263" s="6"/>
      <c r="H263" s="6"/>
      <c r="I263" s="6"/>
    </row>
    <row r="264" spans="1:9" hidden="1" x14ac:dyDescent="0.2">
      <c r="A264" s="8" t="s">
        <v>5</v>
      </c>
      <c r="B264" s="5"/>
      <c r="C264" s="74"/>
      <c r="D264" s="6"/>
      <c r="E264" s="6"/>
      <c r="F264" s="6"/>
      <c r="G264" s="6"/>
      <c r="H264" s="6"/>
      <c r="I264" s="6"/>
    </row>
    <row r="265" spans="1:9" hidden="1" x14ac:dyDescent="0.2">
      <c r="A265" s="8" t="s">
        <v>6</v>
      </c>
      <c r="B265" s="5"/>
      <c r="C265" s="74"/>
      <c r="D265" s="6"/>
      <c r="E265" s="6"/>
      <c r="F265" s="6"/>
      <c r="G265" s="6"/>
      <c r="H265" s="6"/>
      <c r="I265" s="6"/>
    </row>
    <row r="266" spans="1:9" hidden="1" x14ac:dyDescent="0.2">
      <c r="A266" s="8" t="s">
        <v>7</v>
      </c>
      <c r="B266" s="5"/>
      <c r="C266" s="74"/>
      <c r="D266" s="6"/>
      <c r="E266" s="6"/>
      <c r="F266" s="6"/>
      <c r="G266" s="6"/>
      <c r="H266" s="6"/>
      <c r="I266" s="6"/>
    </row>
    <row r="267" spans="1:9" hidden="1" x14ac:dyDescent="0.2">
      <c r="A267" s="8" t="s">
        <v>8</v>
      </c>
      <c r="B267" s="5"/>
      <c r="C267" s="74"/>
      <c r="D267" s="6"/>
      <c r="E267" s="6"/>
      <c r="F267" s="6"/>
      <c r="G267" s="6"/>
      <c r="H267" s="6"/>
      <c r="I267" s="6"/>
    </row>
    <row r="268" spans="1:9" hidden="1" x14ac:dyDescent="0.2">
      <c r="A268" s="8" t="s">
        <v>9</v>
      </c>
      <c r="B268" s="5"/>
      <c r="C268" s="74"/>
      <c r="D268" s="6"/>
      <c r="E268" s="6"/>
      <c r="F268" s="6"/>
      <c r="G268" s="6"/>
      <c r="H268" s="6"/>
      <c r="I268" s="6"/>
    </row>
    <row r="269" spans="1:9" hidden="1" x14ac:dyDescent="0.2">
      <c r="A269" s="312" t="s">
        <v>10</v>
      </c>
      <c r="B269" s="313"/>
      <c r="C269" s="313"/>
      <c r="D269" s="313"/>
      <c r="E269" s="314"/>
      <c r="F269" s="11">
        <f>SUM(F259:F268)</f>
        <v>0</v>
      </c>
      <c r="G269" s="11">
        <f>SUM(G259:G268)</f>
        <v>0</v>
      </c>
      <c r="H269" s="11">
        <f>SUM(H259:H268)</f>
        <v>0</v>
      </c>
      <c r="I269" s="11"/>
    </row>
    <row r="270" spans="1:9" hidden="1" x14ac:dyDescent="0.2">
      <c r="A270" s="8" t="s">
        <v>0</v>
      </c>
      <c r="B270" s="5">
        <f>B259+1</f>
        <v>46129</v>
      </c>
      <c r="C270" s="74"/>
      <c r="D270" s="6"/>
      <c r="E270" s="6"/>
      <c r="F270" s="6"/>
      <c r="G270" s="6"/>
      <c r="H270" s="6"/>
      <c r="I270" s="6"/>
    </row>
    <row r="271" spans="1:9" hidden="1" x14ac:dyDescent="0.2">
      <c r="A271" s="8" t="s">
        <v>1</v>
      </c>
      <c r="B271" s="5"/>
      <c r="C271" s="74"/>
      <c r="D271" s="6"/>
      <c r="E271" s="6"/>
      <c r="F271" s="6"/>
      <c r="G271" s="6"/>
      <c r="H271" s="6"/>
      <c r="I271" s="6"/>
    </row>
    <row r="272" spans="1:9" hidden="1" x14ac:dyDescent="0.2">
      <c r="A272" s="8" t="s">
        <v>2</v>
      </c>
      <c r="B272" s="5"/>
      <c r="C272" s="74"/>
      <c r="D272" s="6"/>
      <c r="E272" s="6"/>
      <c r="F272" s="6"/>
      <c r="G272" s="6"/>
      <c r="H272" s="6"/>
      <c r="I272" s="6"/>
    </row>
    <row r="273" spans="1:9" hidden="1" x14ac:dyDescent="0.2">
      <c r="A273" s="8" t="s">
        <v>3</v>
      </c>
      <c r="B273" s="5"/>
      <c r="C273" s="74"/>
      <c r="D273" s="6"/>
      <c r="E273" s="6"/>
      <c r="F273" s="6"/>
      <c r="G273" s="6"/>
      <c r="H273" s="6"/>
      <c r="I273" s="6"/>
    </row>
    <row r="274" spans="1:9" hidden="1" x14ac:dyDescent="0.2">
      <c r="A274" s="8" t="s">
        <v>4</v>
      </c>
      <c r="B274" s="5"/>
      <c r="C274" s="74"/>
      <c r="D274" s="6"/>
      <c r="E274" s="6"/>
      <c r="F274" s="6"/>
      <c r="G274" s="6"/>
      <c r="H274" s="6"/>
      <c r="I274" s="6"/>
    </row>
    <row r="275" spans="1:9" hidden="1" x14ac:dyDescent="0.2">
      <c r="A275" s="8" t="s">
        <v>5</v>
      </c>
      <c r="B275" s="5"/>
      <c r="C275" s="74"/>
      <c r="D275" s="6"/>
      <c r="E275" s="6"/>
      <c r="F275" s="6"/>
      <c r="G275" s="6"/>
      <c r="H275" s="6"/>
      <c r="I275" s="6"/>
    </row>
    <row r="276" spans="1:9" hidden="1" x14ac:dyDescent="0.2">
      <c r="A276" s="8" t="s">
        <v>6</v>
      </c>
      <c r="B276" s="5"/>
      <c r="C276" s="74"/>
      <c r="D276" s="6"/>
      <c r="E276" s="6"/>
      <c r="F276" s="6"/>
      <c r="G276" s="6"/>
      <c r="H276" s="6"/>
      <c r="I276" s="6"/>
    </row>
    <row r="277" spans="1:9" hidden="1" x14ac:dyDescent="0.2">
      <c r="A277" s="8" t="s">
        <v>7</v>
      </c>
      <c r="B277" s="5"/>
      <c r="C277" s="74"/>
      <c r="D277" s="6"/>
      <c r="E277" s="6"/>
      <c r="F277" s="6"/>
      <c r="G277" s="6"/>
      <c r="H277" s="6"/>
      <c r="I277" s="6"/>
    </row>
    <row r="278" spans="1:9" hidden="1" x14ac:dyDescent="0.2">
      <c r="A278" s="8" t="s">
        <v>8</v>
      </c>
      <c r="B278" s="5"/>
      <c r="C278" s="74"/>
      <c r="D278" s="6"/>
      <c r="E278" s="6"/>
      <c r="F278" s="6"/>
      <c r="G278" s="6"/>
      <c r="H278" s="6"/>
      <c r="I278" s="6"/>
    </row>
    <row r="279" spans="1:9" hidden="1" x14ac:dyDescent="0.2">
      <c r="A279" s="8" t="s">
        <v>9</v>
      </c>
      <c r="B279" s="5"/>
      <c r="C279" s="74"/>
      <c r="D279" s="6"/>
      <c r="E279" s="6"/>
      <c r="F279" s="6"/>
      <c r="G279" s="6"/>
      <c r="H279" s="6"/>
      <c r="I279" s="6"/>
    </row>
    <row r="280" spans="1:9" hidden="1" x14ac:dyDescent="0.2">
      <c r="A280" s="312" t="s">
        <v>10</v>
      </c>
      <c r="B280" s="313"/>
      <c r="C280" s="313"/>
      <c r="D280" s="313"/>
      <c r="E280" s="314"/>
      <c r="F280" s="11">
        <f>SUM(F270:F279)</f>
        <v>0</v>
      </c>
      <c r="G280" s="11">
        <f>SUM(G270:G279)</f>
        <v>0</v>
      </c>
      <c r="H280" s="11">
        <f>SUM(H270:H279)</f>
        <v>0</v>
      </c>
      <c r="I280" s="11"/>
    </row>
    <row r="281" spans="1:9" hidden="1" x14ac:dyDescent="0.2">
      <c r="A281" s="8" t="s">
        <v>0</v>
      </c>
      <c r="B281" s="5">
        <f>B270+1</f>
        <v>46130</v>
      </c>
      <c r="C281" s="74"/>
      <c r="D281" s="6"/>
      <c r="E281" s="6"/>
      <c r="F281" s="6"/>
      <c r="G281" s="6"/>
      <c r="H281" s="6"/>
      <c r="I281" s="6"/>
    </row>
    <row r="282" spans="1:9" hidden="1" x14ac:dyDescent="0.2">
      <c r="A282" s="8" t="s">
        <v>1</v>
      </c>
      <c r="B282" s="5"/>
      <c r="C282" s="74"/>
      <c r="D282" s="6"/>
      <c r="E282" s="6"/>
      <c r="F282" s="6"/>
      <c r="G282" s="6"/>
      <c r="H282" s="6"/>
      <c r="I282" s="6"/>
    </row>
    <row r="283" spans="1:9" hidden="1" x14ac:dyDescent="0.2">
      <c r="A283" s="8" t="s">
        <v>2</v>
      </c>
      <c r="B283" s="5"/>
      <c r="C283" s="74"/>
      <c r="D283" s="6"/>
      <c r="E283" s="6"/>
      <c r="F283" s="6"/>
      <c r="G283" s="6"/>
      <c r="H283" s="6"/>
      <c r="I283" s="6"/>
    </row>
    <row r="284" spans="1:9" hidden="1" x14ac:dyDescent="0.2">
      <c r="A284" s="8" t="s">
        <v>3</v>
      </c>
      <c r="B284" s="5"/>
      <c r="C284" s="74"/>
      <c r="D284" s="6"/>
      <c r="E284" s="6"/>
      <c r="F284" s="6"/>
      <c r="G284" s="6"/>
      <c r="H284" s="6"/>
      <c r="I284" s="6"/>
    </row>
    <row r="285" spans="1:9" hidden="1" x14ac:dyDescent="0.2">
      <c r="A285" s="8" t="s">
        <v>4</v>
      </c>
      <c r="B285" s="5"/>
      <c r="C285" s="74"/>
      <c r="D285" s="6"/>
      <c r="E285" s="6"/>
      <c r="F285" s="6"/>
      <c r="G285" s="6"/>
      <c r="H285" s="6"/>
      <c r="I285" s="6"/>
    </row>
    <row r="286" spans="1:9" hidden="1" x14ac:dyDescent="0.2">
      <c r="A286" s="8" t="s">
        <v>5</v>
      </c>
      <c r="B286" s="5"/>
      <c r="C286" s="74"/>
      <c r="D286" s="6"/>
      <c r="E286" s="6"/>
      <c r="F286" s="6"/>
      <c r="G286" s="6"/>
      <c r="H286" s="6"/>
      <c r="I286" s="6"/>
    </row>
    <row r="287" spans="1:9" hidden="1" x14ac:dyDescent="0.2">
      <c r="A287" s="8" t="s">
        <v>6</v>
      </c>
      <c r="B287" s="5"/>
      <c r="C287" s="74"/>
      <c r="D287" s="6"/>
      <c r="E287" s="6"/>
      <c r="F287" s="6"/>
      <c r="G287" s="6"/>
      <c r="H287" s="6"/>
      <c r="I287" s="6"/>
    </row>
    <row r="288" spans="1:9" hidden="1" x14ac:dyDescent="0.2">
      <c r="A288" s="8" t="s">
        <v>7</v>
      </c>
      <c r="B288" s="5"/>
      <c r="C288" s="74"/>
      <c r="D288" s="6"/>
      <c r="E288" s="6"/>
      <c r="F288" s="6"/>
      <c r="G288" s="6"/>
      <c r="H288" s="6"/>
      <c r="I288" s="6"/>
    </row>
    <row r="289" spans="1:9" hidden="1" x14ac:dyDescent="0.2">
      <c r="A289" s="8" t="s">
        <v>8</v>
      </c>
      <c r="B289" s="5"/>
      <c r="C289" s="74"/>
      <c r="D289" s="6"/>
      <c r="E289" s="6"/>
      <c r="F289" s="6"/>
      <c r="G289" s="6"/>
      <c r="H289" s="6"/>
      <c r="I289" s="6"/>
    </row>
    <row r="290" spans="1:9" hidden="1" x14ac:dyDescent="0.2">
      <c r="A290" s="8" t="s">
        <v>9</v>
      </c>
      <c r="B290" s="5"/>
      <c r="C290" s="74"/>
      <c r="D290" s="6"/>
      <c r="E290" s="6"/>
      <c r="F290" s="6"/>
      <c r="G290" s="6"/>
      <c r="H290" s="6"/>
      <c r="I290" s="6"/>
    </row>
    <row r="291" spans="1:9" hidden="1" x14ac:dyDescent="0.2">
      <c r="A291" s="312" t="s">
        <v>10</v>
      </c>
      <c r="B291" s="313"/>
      <c r="C291" s="313"/>
      <c r="D291" s="313"/>
      <c r="E291" s="314"/>
      <c r="F291" s="11">
        <f>SUM(F281:F290)</f>
        <v>0</v>
      </c>
      <c r="G291" s="11">
        <f>SUM(G281:G290)</f>
        <v>0</v>
      </c>
      <c r="H291" s="11">
        <f>SUM(H281:H290)</f>
        <v>0</v>
      </c>
      <c r="I291" s="11"/>
    </row>
    <row r="292" spans="1:9" x14ac:dyDescent="0.2">
      <c r="A292" s="8" t="s">
        <v>0</v>
      </c>
      <c r="B292" s="5">
        <f>B281+1</f>
        <v>46131</v>
      </c>
      <c r="C292" s="75" t="s">
        <v>1280</v>
      </c>
      <c r="D292" s="6" t="s">
        <v>173</v>
      </c>
      <c r="E292" s="6" t="s">
        <v>544</v>
      </c>
      <c r="F292" s="6">
        <v>1</v>
      </c>
      <c r="G292" s="6"/>
      <c r="H292" s="6">
        <v>6</v>
      </c>
      <c r="I292" s="6"/>
    </row>
    <row r="293" spans="1:9" x14ac:dyDescent="0.2">
      <c r="A293" s="8" t="s">
        <v>1</v>
      </c>
      <c r="B293" s="5"/>
      <c r="C293" s="75" t="s">
        <v>1285</v>
      </c>
      <c r="D293" s="6" t="s">
        <v>170</v>
      </c>
      <c r="E293" s="6" t="s">
        <v>165</v>
      </c>
      <c r="F293" s="6">
        <v>1</v>
      </c>
      <c r="G293" s="6"/>
      <c r="H293" s="6">
        <v>4</v>
      </c>
      <c r="I293" s="6"/>
    </row>
    <row r="294" spans="1:9" hidden="1" x14ac:dyDescent="0.2">
      <c r="A294" s="8" t="s">
        <v>2</v>
      </c>
      <c r="B294" s="5"/>
      <c r="C294" s="75"/>
      <c r="D294" s="6"/>
      <c r="E294" s="6"/>
      <c r="F294" s="6"/>
      <c r="G294" s="6"/>
      <c r="H294" s="6"/>
      <c r="I294" s="6"/>
    </row>
    <row r="295" spans="1:9" hidden="1" x14ac:dyDescent="0.2">
      <c r="A295" s="8" t="s">
        <v>3</v>
      </c>
      <c r="B295" s="5"/>
      <c r="C295" s="75"/>
      <c r="D295" s="6"/>
      <c r="E295" s="6"/>
      <c r="F295" s="6"/>
      <c r="G295" s="6"/>
      <c r="H295" s="6"/>
      <c r="I295" s="6"/>
    </row>
    <row r="296" spans="1:9" hidden="1" x14ac:dyDescent="0.2">
      <c r="A296" s="8" t="s">
        <v>4</v>
      </c>
      <c r="B296" s="5"/>
      <c r="C296" s="75"/>
      <c r="D296" s="6"/>
      <c r="E296" s="6"/>
      <c r="F296" s="6"/>
      <c r="G296" s="6"/>
      <c r="H296" s="6"/>
      <c r="I296" s="6"/>
    </row>
    <row r="297" spans="1:9" hidden="1" x14ac:dyDescent="0.2">
      <c r="A297" s="8" t="s">
        <v>5</v>
      </c>
      <c r="B297" s="5"/>
      <c r="C297" s="75"/>
      <c r="D297" s="6"/>
      <c r="E297" s="6"/>
      <c r="F297" s="6"/>
      <c r="G297" s="6"/>
      <c r="H297" s="6"/>
      <c r="I297" s="6"/>
    </row>
    <row r="298" spans="1:9" hidden="1" x14ac:dyDescent="0.2">
      <c r="A298" s="8" t="s">
        <v>6</v>
      </c>
      <c r="B298" s="5"/>
      <c r="C298" s="75"/>
      <c r="D298" s="6"/>
      <c r="E298" s="6"/>
      <c r="F298" s="6"/>
      <c r="G298" s="6"/>
      <c r="H298" s="6"/>
      <c r="I298" s="6"/>
    </row>
    <row r="299" spans="1:9" hidden="1" x14ac:dyDescent="0.2">
      <c r="A299" s="8" t="s">
        <v>7</v>
      </c>
      <c r="B299" s="5"/>
      <c r="C299" s="74"/>
      <c r="D299" s="6"/>
      <c r="E299" s="6"/>
      <c r="F299" s="6"/>
      <c r="G299" s="6"/>
      <c r="H299" s="6"/>
      <c r="I299" s="6"/>
    </row>
    <row r="300" spans="1:9" hidden="1" x14ac:dyDescent="0.2">
      <c r="A300" s="8" t="s">
        <v>8</v>
      </c>
      <c r="B300" s="5"/>
      <c r="C300" s="74"/>
      <c r="D300" s="6"/>
      <c r="E300" s="6"/>
      <c r="F300" s="6"/>
      <c r="G300" s="6"/>
      <c r="H300" s="6"/>
      <c r="I300" s="6"/>
    </row>
    <row r="301" spans="1:9" hidden="1" x14ac:dyDescent="0.2">
      <c r="A301" s="8" t="s">
        <v>9</v>
      </c>
      <c r="B301" s="5"/>
      <c r="C301" s="74"/>
      <c r="D301" s="6"/>
      <c r="E301" s="6"/>
      <c r="F301" s="6"/>
      <c r="G301" s="6"/>
      <c r="H301" s="6"/>
      <c r="I301" s="6"/>
    </row>
    <row r="302" spans="1:9" x14ac:dyDescent="0.2">
      <c r="A302" s="312" t="s">
        <v>10</v>
      </c>
      <c r="B302" s="313"/>
      <c r="C302" s="313"/>
      <c r="D302" s="313"/>
      <c r="E302" s="314"/>
      <c r="F302" s="11">
        <f>SUM(F292:F301)</f>
        <v>2</v>
      </c>
      <c r="G302" s="11">
        <f>SUM(G292:G301)</f>
        <v>0</v>
      </c>
      <c r="H302" s="11">
        <f>SUM(H292:H301)</f>
        <v>10</v>
      </c>
      <c r="I302" s="11"/>
    </row>
    <row r="303" spans="1:9" x14ac:dyDescent="0.2">
      <c r="A303" s="8" t="s">
        <v>0</v>
      </c>
      <c r="B303" s="5">
        <f>B292+1</f>
        <v>46132</v>
      </c>
      <c r="C303" s="75" t="s">
        <v>1321</v>
      </c>
      <c r="D303" s="6" t="s">
        <v>334</v>
      </c>
      <c r="E303" s="6" t="s">
        <v>168</v>
      </c>
      <c r="F303" s="6">
        <v>1</v>
      </c>
      <c r="G303" s="6"/>
      <c r="H303" s="6">
        <v>4</v>
      </c>
      <c r="I303" s="6"/>
    </row>
    <row r="304" spans="1:9" x14ac:dyDescent="0.2">
      <c r="A304" s="8" t="s">
        <v>1</v>
      </c>
      <c r="B304" s="5"/>
      <c r="C304" s="75" t="s">
        <v>1322</v>
      </c>
      <c r="D304" s="6" t="s">
        <v>170</v>
      </c>
      <c r="E304" s="6" t="s">
        <v>165</v>
      </c>
      <c r="F304" s="6">
        <v>1</v>
      </c>
      <c r="G304" s="6"/>
      <c r="H304" s="6">
        <v>6</v>
      </c>
      <c r="I304" s="6"/>
    </row>
    <row r="305" spans="1:9" x14ac:dyDescent="0.2">
      <c r="A305" s="8" t="s">
        <v>2</v>
      </c>
      <c r="B305" s="5"/>
      <c r="C305" s="75" t="s">
        <v>1323</v>
      </c>
      <c r="D305" s="6" t="s">
        <v>170</v>
      </c>
      <c r="E305" s="6" t="s">
        <v>165</v>
      </c>
      <c r="F305" s="6">
        <v>1</v>
      </c>
      <c r="G305" s="6"/>
      <c r="H305" s="6">
        <v>6</v>
      </c>
      <c r="I305" s="6"/>
    </row>
    <row r="306" spans="1:9" x14ac:dyDescent="0.2">
      <c r="A306" s="8" t="s">
        <v>3</v>
      </c>
      <c r="B306" s="5"/>
      <c r="C306" s="75" t="s">
        <v>1324</v>
      </c>
      <c r="D306" s="6" t="s">
        <v>170</v>
      </c>
      <c r="E306" s="6" t="s">
        <v>165</v>
      </c>
      <c r="F306" s="6">
        <v>1</v>
      </c>
      <c r="G306" s="6"/>
      <c r="H306" s="6">
        <v>6</v>
      </c>
      <c r="I306" s="6"/>
    </row>
    <row r="307" spans="1:9" x14ac:dyDescent="0.2">
      <c r="A307" s="8" t="s">
        <v>4</v>
      </c>
      <c r="B307" s="5"/>
      <c r="C307" s="75" t="s">
        <v>1325</v>
      </c>
      <c r="D307" s="6" t="s">
        <v>188</v>
      </c>
      <c r="E307" s="6" t="s">
        <v>165</v>
      </c>
      <c r="F307" s="6">
        <v>1</v>
      </c>
      <c r="G307" s="6"/>
      <c r="H307" s="6">
        <v>6</v>
      </c>
      <c r="I307" s="6"/>
    </row>
    <row r="308" spans="1:9" x14ac:dyDescent="0.2">
      <c r="A308" s="8" t="s">
        <v>5</v>
      </c>
      <c r="B308" s="5"/>
      <c r="C308" s="75" t="s">
        <v>1326</v>
      </c>
      <c r="D308" s="6" t="s">
        <v>188</v>
      </c>
      <c r="E308" s="6" t="s">
        <v>165</v>
      </c>
      <c r="F308" s="6">
        <v>1</v>
      </c>
      <c r="G308" s="6"/>
      <c r="H308" s="6">
        <v>6</v>
      </c>
      <c r="I308" s="6"/>
    </row>
    <row r="309" spans="1:9" x14ac:dyDescent="0.2">
      <c r="A309" s="8" t="s">
        <v>6</v>
      </c>
      <c r="B309" s="5"/>
      <c r="C309" s="74" t="s">
        <v>1327</v>
      </c>
      <c r="D309" s="6" t="s">
        <v>347</v>
      </c>
      <c r="E309" s="6" t="s">
        <v>441</v>
      </c>
      <c r="F309" s="6">
        <v>1</v>
      </c>
      <c r="G309" s="6"/>
      <c r="H309" s="6">
        <v>6</v>
      </c>
      <c r="I309" s="6"/>
    </row>
    <row r="310" spans="1:9" x14ac:dyDescent="0.2">
      <c r="A310" s="8" t="s">
        <v>7</v>
      </c>
      <c r="B310" s="5"/>
      <c r="C310" s="74" t="s">
        <v>1328</v>
      </c>
      <c r="D310" s="6" t="s">
        <v>832</v>
      </c>
      <c r="E310" s="6" t="s">
        <v>168</v>
      </c>
      <c r="F310" s="6"/>
      <c r="G310" s="6">
        <v>1</v>
      </c>
      <c r="H310" s="6">
        <v>2.5</v>
      </c>
      <c r="I310" s="6"/>
    </row>
    <row r="311" spans="1:9" hidden="1" x14ac:dyDescent="0.2">
      <c r="A311" s="8" t="s">
        <v>8</v>
      </c>
      <c r="B311" s="5"/>
      <c r="C311" s="74"/>
      <c r="D311" s="6"/>
      <c r="E311" s="6"/>
      <c r="F311" s="6"/>
      <c r="G311" s="6"/>
      <c r="H311" s="6"/>
      <c r="I311" s="6"/>
    </row>
    <row r="312" spans="1:9" hidden="1" x14ac:dyDescent="0.2">
      <c r="A312" s="8" t="s">
        <v>9</v>
      </c>
      <c r="B312" s="5"/>
      <c r="C312" s="74"/>
      <c r="D312" s="6"/>
      <c r="E312" s="6"/>
      <c r="F312" s="6"/>
      <c r="G312" s="6"/>
      <c r="H312" s="6"/>
      <c r="I312" s="6"/>
    </row>
    <row r="313" spans="1:9" x14ac:dyDescent="0.2">
      <c r="A313" s="312" t="s">
        <v>10</v>
      </c>
      <c r="B313" s="313"/>
      <c r="C313" s="313"/>
      <c r="D313" s="313"/>
      <c r="E313" s="314"/>
      <c r="F313" s="11">
        <f>SUM(F303:F312)</f>
        <v>7</v>
      </c>
      <c r="G313" s="11">
        <f>SUM(G303:G312)</f>
        <v>1</v>
      </c>
      <c r="H313" s="11">
        <f>SUM(H303:H312)</f>
        <v>42.5</v>
      </c>
      <c r="I313" s="11"/>
    </row>
    <row r="314" spans="1:9" x14ac:dyDescent="0.2">
      <c r="A314" s="8" t="s">
        <v>0</v>
      </c>
      <c r="B314" s="5">
        <f>B303+1</f>
        <v>46133</v>
      </c>
      <c r="C314" s="75" t="s">
        <v>1400</v>
      </c>
      <c r="D314" s="6" t="s">
        <v>342</v>
      </c>
      <c r="E314" s="6" t="s">
        <v>165</v>
      </c>
      <c r="F314" s="6">
        <v>1</v>
      </c>
      <c r="G314" s="6"/>
      <c r="H314" s="6">
        <v>6</v>
      </c>
      <c r="I314" s="6"/>
    </row>
    <row r="315" spans="1:9" x14ac:dyDescent="0.2">
      <c r="A315" s="8" t="s">
        <v>1</v>
      </c>
      <c r="B315" s="5"/>
      <c r="C315" s="75" t="s">
        <v>1401</v>
      </c>
      <c r="D315" s="6" t="s">
        <v>342</v>
      </c>
      <c r="E315" s="6" t="s">
        <v>165</v>
      </c>
      <c r="F315" s="6">
        <v>1</v>
      </c>
      <c r="G315" s="6"/>
      <c r="H315" s="6">
        <v>6</v>
      </c>
      <c r="I315" s="6"/>
    </row>
    <row r="316" spans="1:9" x14ac:dyDescent="0.2">
      <c r="A316" s="8" t="s">
        <v>2</v>
      </c>
      <c r="B316" s="5"/>
      <c r="C316" s="75" t="s">
        <v>1402</v>
      </c>
      <c r="D316" s="6" t="s">
        <v>170</v>
      </c>
      <c r="E316" s="6" t="s">
        <v>171</v>
      </c>
      <c r="F316" s="6">
        <v>1</v>
      </c>
      <c r="G316" s="6"/>
      <c r="H316" s="6">
        <v>6</v>
      </c>
      <c r="I316" s="6"/>
    </row>
    <row r="317" spans="1:9" x14ac:dyDescent="0.2">
      <c r="A317" s="8" t="s">
        <v>3</v>
      </c>
      <c r="B317" s="5"/>
      <c r="C317" s="75" t="s">
        <v>1392</v>
      </c>
      <c r="D317" s="6" t="s">
        <v>170</v>
      </c>
      <c r="E317" s="6" t="s">
        <v>171</v>
      </c>
      <c r="F317" s="6">
        <v>1</v>
      </c>
      <c r="G317" s="6"/>
      <c r="H317" s="6">
        <v>6</v>
      </c>
      <c r="I317" s="6"/>
    </row>
    <row r="318" spans="1:9" x14ac:dyDescent="0.2">
      <c r="A318" s="8" t="s">
        <v>4</v>
      </c>
      <c r="B318" s="5"/>
      <c r="C318" s="75" t="s">
        <v>1403</v>
      </c>
      <c r="D318" s="6" t="s">
        <v>170</v>
      </c>
      <c r="E318" s="6" t="s">
        <v>171</v>
      </c>
      <c r="F318" s="6">
        <v>1</v>
      </c>
      <c r="G318" s="6"/>
      <c r="H318" s="6">
        <v>6</v>
      </c>
      <c r="I318" s="6"/>
    </row>
    <row r="319" spans="1:9" x14ac:dyDescent="0.2">
      <c r="A319" s="8" t="s">
        <v>5</v>
      </c>
      <c r="B319" s="5"/>
      <c r="C319" s="75" t="s">
        <v>1404</v>
      </c>
      <c r="D319" s="6" t="s">
        <v>579</v>
      </c>
      <c r="E319" s="6" t="s">
        <v>171</v>
      </c>
      <c r="F319" s="6">
        <v>1</v>
      </c>
      <c r="G319" s="6"/>
      <c r="H319" s="6">
        <v>5</v>
      </c>
      <c r="I319" s="6"/>
    </row>
    <row r="320" spans="1:9" x14ac:dyDescent="0.2">
      <c r="A320" s="8" t="s">
        <v>6</v>
      </c>
      <c r="B320" s="5"/>
      <c r="C320" s="75" t="s">
        <v>1405</v>
      </c>
      <c r="D320" s="6" t="s">
        <v>170</v>
      </c>
      <c r="E320" s="6" t="s">
        <v>171</v>
      </c>
      <c r="F320" s="6"/>
      <c r="G320" s="6">
        <v>1</v>
      </c>
      <c r="H320" s="6">
        <v>6</v>
      </c>
      <c r="I320" s="6"/>
    </row>
    <row r="321" spans="1:9" hidden="1" x14ac:dyDescent="0.2">
      <c r="A321" s="8" t="s">
        <v>7</v>
      </c>
      <c r="B321" s="5"/>
      <c r="C321" s="75"/>
      <c r="D321" s="6"/>
      <c r="E321" s="6"/>
      <c r="F321" s="6"/>
      <c r="G321" s="6"/>
      <c r="H321" s="6"/>
      <c r="I321" s="6"/>
    </row>
    <row r="322" spans="1:9" hidden="1" x14ac:dyDescent="0.2">
      <c r="A322" s="8" t="s">
        <v>8</v>
      </c>
      <c r="B322" s="5"/>
      <c r="C322" s="75"/>
      <c r="D322" s="6"/>
      <c r="E322" s="6"/>
      <c r="F322" s="6"/>
      <c r="G322" s="6"/>
      <c r="H322" s="6"/>
      <c r="I322" s="6"/>
    </row>
    <row r="323" spans="1:9" hidden="1" x14ac:dyDescent="0.2">
      <c r="A323" s="8" t="s">
        <v>9</v>
      </c>
      <c r="B323" s="5"/>
      <c r="C323" s="75"/>
      <c r="D323" s="6"/>
      <c r="E323" s="6"/>
      <c r="F323" s="6"/>
      <c r="G323" s="6"/>
      <c r="H323" s="6"/>
      <c r="I323" s="6"/>
    </row>
    <row r="324" spans="1:9" x14ac:dyDescent="0.2">
      <c r="A324" s="312" t="s">
        <v>10</v>
      </c>
      <c r="B324" s="313"/>
      <c r="C324" s="313"/>
      <c r="D324" s="313"/>
      <c r="E324" s="314"/>
      <c r="F324" s="11">
        <f>SUM(F314:F323)</f>
        <v>6</v>
      </c>
      <c r="G324" s="11">
        <f>SUM(G314:G323)</f>
        <v>1</v>
      </c>
      <c r="H324" s="11">
        <f>SUM(H314:H323)</f>
        <v>41</v>
      </c>
      <c r="I324" s="11"/>
    </row>
    <row r="325" spans="1:9" x14ac:dyDescent="0.2">
      <c r="A325" s="8" t="s">
        <v>0</v>
      </c>
      <c r="B325" s="5">
        <f>B314+1</f>
        <v>46134</v>
      </c>
      <c r="C325" s="74" t="s">
        <v>1469</v>
      </c>
      <c r="D325" s="6" t="s">
        <v>173</v>
      </c>
      <c r="E325" s="6" t="s">
        <v>165</v>
      </c>
      <c r="F325" s="6">
        <v>1</v>
      </c>
      <c r="G325" s="6"/>
      <c r="H325" s="6">
        <v>6</v>
      </c>
      <c r="I325" s="6"/>
    </row>
    <row r="326" spans="1:9" x14ac:dyDescent="0.2">
      <c r="A326" s="8" t="s">
        <v>1</v>
      </c>
      <c r="B326" s="5"/>
      <c r="C326" s="74" t="s">
        <v>1465</v>
      </c>
      <c r="D326" s="6" t="s">
        <v>211</v>
      </c>
      <c r="E326" s="6" t="s">
        <v>165</v>
      </c>
      <c r="F326" s="6">
        <v>1</v>
      </c>
      <c r="G326" s="6"/>
      <c r="H326" s="6">
        <v>6</v>
      </c>
      <c r="I326" s="6"/>
    </row>
    <row r="327" spans="1:9" x14ac:dyDescent="0.2">
      <c r="A327" s="8" t="s">
        <v>2</v>
      </c>
      <c r="B327" s="5"/>
      <c r="C327" s="74" t="s">
        <v>1466</v>
      </c>
      <c r="D327" s="6" t="s">
        <v>170</v>
      </c>
      <c r="E327" s="6" t="s">
        <v>171</v>
      </c>
      <c r="F327" s="6">
        <v>1</v>
      </c>
      <c r="G327" s="6"/>
      <c r="H327" s="6">
        <v>6</v>
      </c>
      <c r="I327" s="6"/>
    </row>
    <row r="328" spans="1:9" x14ac:dyDescent="0.2">
      <c r="A328" s="8" t="s">
        <v>3</v>
      </c>
      <c r="B328" s="5"/>
      <c r="C328" s="74" t="s">
        <v>1470</v>
      </c>
      <c r="D328" s="6" t="s">
        <v>170</v>
      </c>
      <c r="E328" s="6" t="s">
        <v>171</v>
      </c>
      <c r="F328" s="6">
        <v>1</v>
      </c>
      <c r="G328" s="6"/>
      <c r="H328" s="6">
        <v>6</v>
      </c>
      <c r="I328" s="6"/>
    </row>
    <row r="329" spans="1:9" x14ac:dyDescent="0.2">
      <c r="A329" s="8" t="s">
        <v>4</v>
      </c>
      <c r="B329" s="5"/>
      <c r="C329" s="74" t="s">
        <v>1462</v>
      </c>
      <c r="D329" s="6" t="s">
        <v>170</v>
      </c>
      <c r="E329" s="6" t="s">
        <v>171</v>
      </c>
      <c r="F329" s="6">
        <v>1</v>
      </c>
      <c r="G329" s="6"/>
      <c r="H329" s="6">
        <v>6</v>
      </c>
      <c r="I329" s="6"/>
    </row>
    <row r="330" spans="1:9" hidden="1" x14ac:dyDescent="0.2">
      <c r="A330" s="8" t="s">
        <v>5</v>
      </c>
      <c r="B330" s="5"/>
      <c r="C330" s="74"/>
      <c r="D330" s="6"/>
      <c r="E330" s="6"/>
      <c r="F330" s="6"/>
      <c r="G330" s="6"/>
      <c r="H330" s="6"/>
      <c r="I330" s="6"/>
    </row>
    <row r="331" spans="1:9" hidden="1" x14ac:dyDescent="0.2">
      <c r="A331" s="8" t="s">
        <v>6</v>
      </c>
      <c r="B331" s="5"/>
      <c r="C331" s="74"/>
      <c r="D331" s="6"/>
      <c r="E331" s="6"/>
      <c r="F331" s="6"/>
      <c r="G331" s="6"/>
      <c r="H331" s="6"/>
      <c r="I331" s="6"/>
    </row>
    <row r="332" spans="1:9" hidden="1" x14ac:dyDescent="0.2">
      <c r="A332" s="8" t="s">
        <v>7</v>
      </c>
      <c r="B332" s="5"/>
      <c r="C332" s="74"/>
      <c r="D332" s="6"/>
      <c r="E332" s="6"/>
      <c r="F332" s="6"/>
      <c r="G332" s="6"/>
      <c r="H332" s="6"/>
      <c r="I332" s="6"/>
    </row>
    <row r="333" spans="1:9" hidden="1" x14ac:dyDescent="0.2">
      <c r="A333" s="8" t="s">
        <v>8</v>
      </c>
      <c r="B333" s="5"/>
      <c r="C333" s="74"/>
      <c r="D333" s="6"/>
      <c r="E333" s="6"/>
      <c r="F333" s="6"/>
      <c r="G333" s="6"/>
      <c r="H333" s="6"/>
      <c r="I333" s="6"/>
    </row>
    <row r="334" spans="1:9" hidden="1" x14ac:dyDescent="0.2">
      <c r="A334" s="8" t="s">
        <v>9</v>
      </c>
      <c r="B334" s="5"/>
      <c r="C334" s="74"/>
      <c r="D334" s="6"/>
      <c r="E334" s="6"/>
      <c r="F334" s="6"/>
      <c r="G334" s="6"/>
      <c r="H334" s="6"/>
      <c r="I334" s="6"/>
    </row>
    <row r="335" spans="1:9" x14ac:dyDescent="0.2">
      <c r="A335" s="312" t="s">
        <v>10</v>
      </c>
      <c r="B335" s="313"/>
      <c r="C335" s="313"/>
      <c r="D335" s="313"/>
      <c r="E335" s="314"/>
      <c r="F335" s="11">
        <f>SUM(F325:F334)</f>
        <v>5</v>
      </c>
      <c r="G335" s="11">
        <f>SUM(G325:G334)</f>
        <v>0</v>
      </c>
      <c r="H335" s="11">
        <f>SUM(H325:H334)</f>
        <v>30</v>
      </c>
      <c r="I335" s="11"/>
    </row>
    <row r="336" spans="1:9" s="25" customFormat="1" ht="18" x14ac:dyDescent="0.2">
      <c r="A336" s="315" t="s">
        <v>39</v>
      </c>
      <c r="B336" s="316"/>
      <c r="C336" s="316"/>
      <c r="D336" s="316"/>
      <c r="E336" s="317"/>
      <c r="F336" s="22">
        <f>F269+F280+F291+F302+F313+F324+F335+F252</f>
        <v>86</v>
      </c>
      <c r="G336" s="22">
        <f>G269+G280+G291+G302+G313+G324+G335+G252</f>
        <v>16</v>
      </c>
      <c r="H336" s="22">
        <f>H269+H280+H291+H302+H313+H324+H335+H252</f>
        <v>559</v>
      </c>
      <c r="I336" s="22"/>
    </row>
    <row r="337" spans="1:9" ht="21.95" customHeight="1" x14ac:dyDescent="0.2">
      <c r="A337" s="319" t="s">
        <v>14</v>
      </c>
      <c r="B337" s="319"/>
      <c r="C337" s="319"/>
      <c r="D337" s="319"/>
      <c r="E337" s="319"/>
      <c r="F337" s="319"/>
      <c r="G337" s="319"/>
      <c r="H337" s="319"/>
      <c r="I337" s="319"/>
    </row>
    <row r="338" spans="1:9" s="53" customFormat="1" ht="20.100000000000001" customHeight="1" x14ac:dyDescent="0.2">
      <c r="A338" s="323" t="s">
        <v>86</v>
      </c>
      <c r="B338" s="323"/>
      <c r="C338" s="323"/>
      <c r="D338" s="323"/>
      <c r="E338" s="323"/>
      <c r="F338" s="50" t="str">
        <f>F254</f>
        <v>เมษายน</v>
      </c>
      <c r="G338" s="50" t="s">
        <v>87</v>
      </c>
      <c r="H338" s="51">
        <f>H254</f>
        <v>2569</v>
      </c>
      <c r="I338" s="52"/>
    </row>
    <row r="339" spans="1:9" s="3" customFormat="1" ht="20.100000000000001" customHeight="1" x14ac:dyDescent="0.35">
      <c r="A339" s="318" t="s">
        <v>35</v>
      </c>
      <c r="B339" s="318"/>
      <c r="C339" s="318"/>
      <c r="D339" s="2"/>
      <c r="F339" s="4"/>
      <c r="G339" s="4"/>
      <c r="H339" s="4" t="s">
        <v>21</v>
      </c>
      <c r="I339" s="40">
        <f>I255+1</f>
        <v>5</v>
      </c>
    </row>
    <row r="340" spans="1:9" s="3" customFormat="1" ht="20.100000000000001" customHeight="1" x14ac:dyDescent="0.35">
      <c r="A340" s="311" t="s">
        <v>65</v>
      </c>
      <c r="B340" s="311"/>
      <c r="C340" s="311"/>
      <c r="D340" s="2"/>
      <c r="E340" s="39" t="s">
        <v>81</v>
      </c>
      <c r="F340" s="308">
        <f>F256</f>
        <v>46107</v>
      </c>
      <c r="G340" s="308"/>
      <c r="H340" s="39" t="s">
        <v>82</v>
      </c>
      <c r="I340" s="34">
        <f>I256</f>
        <v>46136</v>
      </c>
    </row>
    <row r="341" spans="1:9" x14ac:dyDescent="0.2">
      <c r="A341" s="12" t="s">
        <v>23</v>
      </c>
      <c r="B341" s="13" t="s">
        <v>11</v>
      </c>
      <c r="C341" s="72" t="s">
        <v>26</v>
      </c>
      <c r="D341" s="12" t="s">
        <v>16</v>
      </c>
      <c r="E341" s="12" t="s">
        <v>17</v>
      </c>
      <c r="F341" s="310" t="s">
        <v>46</v>
      </c>
      <c r="G341" s="310"/>
      <c r="H341" s="310"/>
      <c r="I341" s="12" t="s">
        <v>19</v>
      </c>
    </row>
    <row r="342" spans="1:9" x14ac:dyDescent="0.2">
      <c r="A342" s="15"/>
      <c r="B342" s="16"/>
      <c r="C342" s="73"/>
      <c r="D342" s="15"/>
      <c r="E342" s="15"/>
      <c r="F342" s="21" t="s">
        <v>113</v>
      </c>
      <c r="G342" s="21" t="s">
        <v>114</v>
      </c>
      <c r="H342" s="21" t="s">
        <v>20</v>
      </c>
      <c r="I342" s="15"/>
    </row>
    <row r="343" spans="1:9" x14ac:dyDescent="0.2">
      <c r="A343" s="8" t="s">
        <v>0</v>
      </c>
      <c r="B343" s="5">
        <f>B325+1</f>
        <v>46135</v>
      </c>
      <c r="C343" s="74" t="s">
        <v>1527</v>
      </c>
      <c r="D343" s="6" t="s">
        <v>188</v>
      </c>
      <c r="E343" s="6" t="s">
        <v>165</v>
      </c>
      <c r="F343" s="6">
        <v>1</v>
      </c>
      <c r="G343" s="6"/>
      <c r="H343" s="6">
        <v>6</v>
      </c>
      <c r="I343" s="6"/>
    </row>
    <row r="344" spans="1:9" x14ac:dyDescent="0.2">
      <c r="A344" s="8" t="s">
        <v>1</v>
      </c>
      <c r="B344" s="5"/>
      <c r="C344" s="74" t="s">
        <v>1533</v>
      </c>
      <c r="D344" s="6" t="s">
        <v>211</v>
      </c>
      <c r="E344" s="6" t="s">
        <v>165</v>
      </c>
      <c r="F344" s="6">
        <v>1</v>
      </c>
      <c r="G344" s="6"/>
      <c r="H344" s="6">
        <v>6</v>
      </c>
      <c r="I344" s="6"/>
    </row>
    <row r="345" spans="1:9" x14ac:dyDescent="0.2">
      <c r="A345" s="8" t="s">
        <v>2</v>
      </c>
      <c r="B345" s="5"/>
      <c r="C345" s="74" t="s">
        <v>1516</v>
      </c>
      <c r="D345" s="6" t="s">
        <v>170</v>
      </c>
      <c r="E345" s="6" t="s">
        <v>165</v>
      </c>
      <c r="F345" s="6">
        <v>1</v>
      </c>
      <c r="G345" s="6"/>
      <c r="H345" s="6">
        <v>6</v>
      </c>
      <c r="I345" s="6"/>
    </row>
    <row r="346" spans="1:9" x14ac:dyDescent="0.2">
      <c r="A346" s="8" t="s">
        <v>3</v>
      </c>
      <c r="B346" s="5"/>
      <c r="C346" s="74" t="s">
        <v>1501</v>
      </c>
      <c r="D346" s="6" t="s">
        <v>170</v>
      </c>
      <c r="E346" s="6" t="s">
        <v>165</v>
      </c>
      <c r="F346" s="6">
        <v>1</v>
      </c>
      <c r="G346" s="6"/>
      <c r="H346" s="6">
        <v>6</v>
      </c>
      <c r="I346" s="6"/>
    </row>
    <row r="347" spans="1:9" x14ac:dyDescent="0.2">
      <c r="A347" s="8" t="s">
        <v>4</v>
      </c>
      <c r="B347" s="5"/>
      <c r="C347" s="74" t="s">
        <v>1506</v>
      </c>
      <c r="D347" s="6" t="s">
        <v>170</v>
      </c>
      <c r="E347" s="6" t="s">
        <v>165</v>
      </c>
      <c r="F347" s="6">
        <v>1</v>
      </c>
      <c r="G347" s="6"/>
      <c r="H347" s="6">
        <v>6</v>
      </c>
      <c r="I347" s="6"/>
    </row>
    <row r="348" spans="1:9" x14ac:dyDescent="0.2">
      <c r="A348" s="8" t="s">
        <v>5</v>
      </c>
      <c r="B348" s="5"/>
      <c r="C348" s="74" t="s">
        <v>1534</v>
      </c>
      <c r="D348" s="6" t="s">
        <v>361</v>
      </c>
      <c r="E348" s="6" t="s">
        <v>168</v>
      </c>
      <c r="F348" s="6"/>
      <c r="G348" s="6">
        <v>1</v>
      </c>
      <c r="H348" s="6">
        <v>4</v>
      </c>
      <c r="I348" s="6"/>
    </row>
    <row r="349" spans="1:9" hidden="1" x14ac:dyDescent="0.2">
      <c r="A349" s="8" t="s">
        <v>6</v>
      </c>
      <c r="B349" s="5"/>
      <c r="C349" s="74"/>
      <c r="D349" s="6"/>
      <c r="E349" s="6"/>
      <c r="F349" s="6"/>
      <c r="G349" s="6"/>
      <c r="H349" s="6"/>
      <c r="I349" s="6"/>
    </row>
    <row r="350" spans="1:9" hidden="1" x14ac:dyDescent="0.2">
      <c r="A350" s="8" t="s">
        <v>7</v>
      </c>
      <c r="B350" s="5"/>
      <c r="C350" s="74"/>
      <c r="D350" s="6"/>
      <c r="E350" s="6"/>
      <c r="F350" s="6"/>
      <c r="G350" s="6"/>
      <c r="H350" s="6"/>
      <c r="I350" s="6"/>
    </row>
    <row r="351" spans="1:9" hidden="1" x14ac:dyDescent="0.2">
      <c r="A351" s="8" t="s">
        <v>8</v>
      </c>
      <c r="B351" s="5"/>
      <c r="C351" s="74"/>
      <c r="D351" s="6"/>
      <c r="E351" s="6"/>
      <c r="F351" s="6"/>
      <c r="G351" s="6"/>
      <c r="H351" s="6"/>
      <c r="I351" s="6"/>
    </row>
    <row r="352" spans="1:9" hidden="1" x14ac:dyDescent="0.2">
      <c r="A352" s="8" t="s">
        <v>9</v>
      </c>
      <c r="B352" s="5"/>
      <c r="C352" s="74"/>
      <c r="D352" s="6"/>
      <c r="E352" s="6"/>
      <c r="F352" s="6"/>
      <c r="G352" s="6"/>
      <c r="H352" s="6"/>
      <c r="I352" s="6"/>
    </row>
    <row r="353" spans="1:9" x14ac:dyDescent="0.2">
      <c r="A353" s="312" t="s">
        <v>10</v>
      </c>
      <c r="B353" s="313"/>
      <c r="C353" s="313"/>
      <c r="D353" s="313"/>
      <c r="E353" s="314"/>
      <c r="F353" s="11">
        <f>SUM(F343:F352)</f>
        <v>5</v>
      </c>
      <c r="G353" s="11">
        <f>SUM(G343:G352)</f>
        <v>1</v>
      </c>
      <c r="H353" s="11">
        <f>SUM(H343:H352)</f>
        <v>34</v>
      </c>
      <c r="I353" s="11"/>
    </row>
    <row r="354" spans="1:9" x14ac:dyDescent="0.2">
      <c r="A354" s="8" t="s">
        <v>0</v>
      </c>
      <c r="B354" s="5">
        <f>B343+1</f>
        <v>46136</v>
      </c>
      <c r="C354" s="74" t="s">
        <v>1605</v>
      </c>
      <c r="D354" s="6" t="s">
        <v>170</v>
      </c>
      <c r="E354" s="6" t="s">
        <v>165</v>
      </c>
      <c r="F354" s="6">
        <v>1</v>
      </c>
      <c r="G354" s="6"/>
      <c r="H354" s="6">
        <v>5</v>
      </c>
      <c r="I354" s="6"/>
    </row>
    <row r="355" spans="1:9" x14ac:dyDescent="0.2">
      <c r="A355" s="8" t="s">
        <v>1</v>
      </c>
      <c r="B355" s="5"/>
      <c r="C355" s="74" t="s">
        <v>1606</v>
      </c>
      <c r="D355" s="6" t="s">
        <v>170</v>
      </c>
      <c r="E355" s="6" t="s">
        <v>171</v>
      </c>
      <c r="F355" s="6">
        <v>1</v>
      </c>
      <c r="G355" s="6"/>
      <c r="H355" s="6">
        <v>6</v>
      </c>
      <c r="I355" s="6"/>
    </row>
    <row r="356" spans="1:9" x14ac:dyDescent="0.2">
      <c r="A356" s="8" t="s">
        <v>2</v>
      </c>
      <c r="B356" s="5"/>
      <c r="C356" s="74" t="s">
        <v>1607</v>
      </c>
      <c r="D356" s="6" t="s">
        <v>170</v>
      </c>
      <c r="E356" s="6" t="s">
        <v>171</v>
      </c>
      <c r="F356" s="6">
        <v>1</v>
      </c>
      <c r="G356" s="6"/>
      <c r="H356" s="6">
        <v>6</v>
      </c>
      <c r="I356" s="6"/>
    </row>
    <row r="357" spans="1:9" x14ac:dyDescent="0.2">
      <c r="A357" s="8" t="s">
        <v>3</v>
      </c>
      <c r="B357" s="5"/>
      <c r="C357" s="74" t="s">
        <v>1613</v>
      </c>
      <c r="D357" s="6" t="s">
        <v>170</v>
      </c>
      <c r="E357" s="6" t="s">
        <v>171</v>
      </c>
      <c r="F357" s="6">
        <v>1</v>
      </c>
      <c r="G357" s="6"/>
      <c r="H357" s="6">
        <v>6</v>
      </c>
      <c r="I357" s="6"/>
    </row>
    <row r="358" spans="1:9" x14ac:dyDescent="0.2">
      <c r="A358" s="8" t="s">
        <v>4</v>
      </c>
      <c r="B358" s="5"/>
      <c r="C358" s="74" t="s">
        <v>1618</v>
      </c>
      <c r="D358" s="6" t="s">
        <v>211</v>
      </c>
      <c r="E358" s="6" t="s">
        <v>165</v>
      </c>
      <c r="F358" s="6">
        <v>1</v>
      </c>
      <c r="G358" s="6"/>
      <c r="H358" s="6">
        <v>5</v>
      </c>
      <c r="I358" s="6"/>
    </row>
    <row r="359" spans="1:9" x14ac:dyDescent="0.2">
      <c r="A359" s="8" t="s">
        <v>5</v>
      </c>
      <c r="B359" s="5"/>
      <c r="C359" s="74" t="s">
        <v>1619</v>
      </c>
      <c r="D359" s="6" t="s">
        <v>347</v>
      </c>
      <c r="E359" s="6" t="s">
        <v>441</v>
      </c>
      <c r="F359" s="6"/>
      <c r="G359" s="6">
        <v>1</v>
      </c>
      <c r="H359" s="6">
        <v>5</v>
      </c>
      <c r="I359" s="6"/>
    </row>
    <row r="360" spans="1:9" x14ac:dyDescent="0.2">
      <c r="A360" s="8" t="s">
        <v>6</v>
      </c>
      <c r="B360" s="5"/>
      <c r="C360" s="74" t="s">
        <v>1620</v>
      </c>
      <c r="D360" s="6" t="s">
        <v>253</v>
      </c>
      <c r="E360" s="6" t="s">
        <v>596</v>
      </c>
      <c r="F360" s="6"/>
      <c r="G360" s="6">
        <v>1</v>
      </c>
      <c r="H360" s="6">
        <v>6</v>
      </c>
      <c r="I360" s="6"/>
    </row>
    <row r="361" spans="1:9" hidden="1" x14ac:dyDescent="0.2">
      <c r="A361" s="8" t="s">
        <v>7</v>
      </c>
      <c r="B361" s="5"/>
      <c r="C361" s="74"/>
      <c r="D361" s="6"/>
      <c r="E361" s="6"/>
      <c r="F361" s="6"/>
      <c r="G361" s="6"/>
      <c r="H361" s="6"/>
      <c r="I361" s="6"/>
    </row>
    <row r="362" spans="1:9" hidden="1" x14ac:dyDescent="0.2">
      <c r="A362" s="8" t="s">
        <v>8</v>
      </c>
      <c r="B362" s="5"/>
      <c r="C362" s="74"/>
      <c r="D362" s="6"/>
      <c r="E362" s="6"/>
      <c r="F362" s="6"/>
      <c r="G362" s="6"/>
      <c r="H362" s="6"/>
      <c r="I362" s="6"/>
    </row>
    <row r="363" spans="1:9" hidden="1" x14ac:dyDescent="0.2">
      <c r="A363" s="8" t="s">
        <v>9</v>
      </c>
      <c r="B363" s="5"/>
      <c r="C363" s="74"/>
      <c r="D363" s="6"/>
      <c r="E363" s="6"/>
      <c r="F363" s="6"/>
      <c r="G363" s="6"/>
      <c r="H363" s="6"/>
      <c r="I363" s="6"/>
    </row>
    <row r="364" spans="1:9" x14ac:dyDescent="0.2">
      <c r="A364" s="312" t="s">
        <v>10</v>
      </c>
      <c r="B364" s="313"/>
      <c r="C364" s="313"/>
      <c r="D364" s="313"/>
      <c r="E364" s="314"/>
      <c r="F364" s="11">
        <f>SUM(F354:F363)</f>
        <v>5</v>
      </c>
      <c r="G364" s="11">
        <f>SUM(G354:G363)</f>
        <v>2</v>
      </c>
      <c r="H364" s="11">
        <f>SUM(H354:H363)</f>
        <v>39</v>
      </c>
      <c r="I364" s="11"/>
    </row>
    <row r="365" spans="1:9" hidden="1" x14ac:dyDescent="0.2">
      <c r="A365" s="8" t="s">
        <v>0</v>
      </c>
      <c r="B365" s="5">
        <f>B354+1</f>
        <v>46137</v>
      </c>
      <c r="C365" s="74"/>
      <c r="D365" s="6"/>
      <c r="E365" s="6"/>
      <c r="F365" s="6"/>
      <c r="G365" s="6"/>
      <c r="H365" s="6"/>
      <c r="I365" s="6"/>
    </row>
    <row r="366" spans="1:9" hidden="1" x14ac:dyDescent="0.2">
      <c r="A366" s="8" t="s">
        <v>1</v>
      </c>
      <c r="B366" s="5"/>
      <c r="C366" s="74"/>
      <c r="D366" s="6"/>
      <c r="E366" s="6"/>
      <c r="F366" s="6"/>
      <c r="G366" s="6"/>
      <c r="H366" s="6"/>
      <c r="I366" s="6"/>
    </row>
    <row r="367" spans="1:9" hidden="1" x14ac:dyDescent="0.2">
      <c r="A367" s="8" t="s">
        <v>2</v>
      </c>
      <c r="B367" s="5"/>
      <c r="C367" s="74"/>
      <c r="D367" s="6"/>
      <c r="E367" s="6"/>
      <c r="F367" s="6"/>
      <c r="G367" s="6"/>
      <c r="H367" s="6"/>
      <c r="I367" s="6"/>
    </row>
    <row r="368" spans="1:9" hidden="1" x14ac:dyDescent="0.2">
      <c r="A368" s="8" t="s">
        <v>3</v>
      </c>
      <c r="B368" s="5"/>
      <c r="C368" s="74"/>
      <c r="D368" s="6"/>
      <c r="E368" s="6"/>
      <c r="F368" s="6"/>
      <c r="G368" s="6"/>
      <c r="H368" s="6"/>
      <c r="I368" s="6"/>
    </row>
    <row r="369" spans="1:9" hidden="1" x14ac:dyDescent="0.2">
      <c r="A369" s="8" t="s">
        <v>4</v>
      </c>
      <c r="B369" s="5"/>
      <c r="C369" s="74"/>
      <c r="D369" s="6"/>
      <c r="E369" s="6"/>
      <c r="F369" s="6"/>
      <c r="G369" s="6"/>
      <c r="H369" s="6"/>
      <c r="I369" s="6"/>
    </row>
    <row r="370" spans="1:9" hidden="1" x14ac:dyDescent="0.2">
      <c r="A370" s="8" t="s">
        <v>5</v>
      </c>
      <c r="B370" s="5"/>
      <c r="C370" s="74"/>
      <c r="D370" s="6"/>
      <c r="E370" s="6"/>
      <c r="F370" s="6"/>
      <c r="G370" s="6"/>
      <c r="H370" s="6"/>
      <c r="I370" s="6"/>
    </row>
    <row r="371" spans="1:9" hidden="1" x14ac:dyDescent="0.2">
      <c r="A371" s="8" t="s">
        <v>6</v>
      </c>
      <c r="B371" s="5"/>
      <c r="C371" s="74"/>
      <c r="D371" s="6"/>
      <c r="E371" s="6"/>
      <c r="F371" s="6"/>
      <c r="G371" s="6"/>
      <c r="H371" s="6"/>
      <c r="I371" s="6"/>
    </row>
    <row r="372" spans="1:9" hidden="1" x14ac:dyDescent="0.2">
      <c r="A372" s="8" t="s">
        <v>7</v>
      </c>
      <c r="B372" s="5"/>
      <c r="C372" s="74"/>
      <c r="D372" s="6"/>
      <c r="E372" s="6"/>
      <c r="F372" s="6"/>
      <c r="G372" s="6"/>
      <c r="H372" s="6"/>
      <c r="I372" s="6"/>
    </row>
    <row r="373" spans="1:9" hidden="1" x14ac:dyDescent="0.2">
      <c r="A373" s="8" t="s">
        <v>8</v>
      </c>
      <c r="B373" s="5"/>
      <c r="C373" s="74"/>
      <c r="D373" s="6"/>
      <c r="E373" s="6"/>
      <c r="F373" s="6"/>
      <c r="G373" s="6"/>
      <c r="H373" s="6"/>
      <c r="I373" s="6"/>
    </row>
    <row r="374" spans="1:9" hidden="1" x14ac:dyDescent="0.2">
      <c r="A374" s="8" t="s">
        <v>9</v>
      </c>
      <c r="B374" s="5"/>
      <c r="C374" s="74"/>
      <c r="D374" s="6"/>
      <c r="E374" s="6"/>
      <c r="F374" s="6"/>
      <c r="G374" s="6"/>
      <c r="H374" s="6"/>
      <c r="I374" s="6"/>
    </row>
    <row r="375" spans="1:9" hidden="1" x14ac:dyDescent="0.2">
      <c r="A375" s="312" t="s">
        <v>10</v>
      </c>
      <c r="B375" s="313"/>
      <c r="C375" s="313"/>
      <c r="D375" s="313"/>
      <c r="E375" s="314"/>
      <c r="F375" s="11">
        <f>SUM(F365:F374)</f>
        <v>0</v>
      </c>
      <c r="G375" s="11">
        <f>SUM(G365:G374)</f>
        <v>0</v>
      </c>
      <c r="H375" s="11">
        <f>SUM(H365:H374)</f>
        <v>0</v>
      </c>
      <c r="I375" s="11"/>
    </row>
    <row r="376" spans="1:9" hidden="1" x14ac:dyDescent="0.2">
      <c r="A376" s="8" t="s">
        <v>0</v>
      </c>
      <c r="B376" s="5">
        <f>B365+1</f>
        <v>46138</v>
      </c>
      <c r="C376" s="75"/>
      <c r="D376" s="6"/>
      <c r="E376" s="6"/>
      <c r="F376" s="6"/>
      <c r="G376" s="6"/>
      <c r="H376" s="6"/>
      <c r="I376" s="6"/>
    </row>
    <row r="377" spans="1:9" hidden="1" x14ac:dyDescent="0.2">
      <c r="A377" s="8" t="s">
        <v>1</v>
      </c>
      <c r="B377" s="5"/>
      <c r="C377" s="75"/>
      <c r="D377" s="6"/>
      <c r="E377" s="6"/>
      <c r="F377" s="6"/>
      <c r="G377" s="6"/>
      <c r="H377" s="6"/>
      <c r="I377" s="6"/>
    </row>
    <row r="378" spans="1:9" hidden="1" x14ac:dyDescent="0.2">
      <c r="A378" s="8" t="s">
        <v>2</v>
      </c>
      <c r="B378" s="5"/>
      <c r="C378" s="75"/>
      <c r="D378" s="6"/>
      <c r="E378" s="6"/>
      <c r="F378" s="6"/>
      <c r="G378" s="6"/>
      <c r="H378" s="6"/>
      <c r="I378" s="6"/>
    </row>
    <row r="379" spans="1:9" hidden="1" x14ac:dyDescent="0.2">
      <c r="A379" s="8" t="s">
        <v>3</v>
      </c>
      <c r="B379" s="5"/>
      <c r="C379" s="75"/>
      <c r="D379" s="6"/>
      <c r="E379" s="6"/>
      <c r="F379" s="6"/>
      <c r="G379" s="6"/>
      <c r="H379" s="6"/>
      <c r="I379" s="6"/>
    </row>
    <row r="380" spans="1:9" hidden="1" x14ac:dyDescent="0.2">
      <c r="A380" s="8" t="s">
        <v>4</v>
      </c>
      <c r="B380" s="5"/>
      <c r="C380" s="75"/>
      <c r="D380" s="6"/>
      <c r="E380" s="6"/>
      <c r="F380" s="6"/>
      <c r="G380" s="6"/>
      <c r="H380" s="6"/>
      <c r="I380" s="6"/>
    </row>
    <row r="381" spans="1:9" hidden="1" x14ac:dyDescent="0.2">
      <c r="A381" s="8" t="s">
        <v>5</v>
      </c>
      <c r="B381" s="5"/>
      <c r="C381" s="75"/>
      <c r="D381" s="6"/>
      <c r="E381" s="6"/>
      <c r="F381" s="6"/>
      <c r="G381" s="6"/>
      <c r="H381" s="6"/>
      <c r="I381" s="6"/>
    </row>
    <row r="382" spans="1:9" hidden="1" x14ac:dyDescent="0.2">
      <c r="A382" s="8" t="s">
        <v>6</v>
      </c>
      <c r="B382" s="5"/>
      <c r="C382" s="75"/>
      <c r="D382" s="6"/>
      <c r="E382" s="6"/>
      <c r="F382" s="6"/>
      <c r="G382" s="6"/>
      <c r="H382" s="6"/>
      <c r="I382" s="6"/>
    </row>
    <row r="383" spans="1:9" hidden="1" x14ac:dyDescent="0.2">
      <c r="A383" s="8" t="s">
        <v>7</v>
      </c>
      <c r="B383" s="5"/>
      <c r="C383" s="74"/>
      <c r="D383" s="6"/>
      <c r="E383" s="6"/>
      <c r="F383" s="6"/>
      <c r="G383" s="6"/>
      <c r="H383" s="6"/>
      <c r="I383" s="6"/>
    </row>
    <row r="384" spans="1:9" hidden="1" x14ac:dyDescent="0.2">
      <c r="A384" s="8" t="s">
        <v>8</v>
      </c>
      <c r="B384" s="5"/>
      <c r="C384" s="74"/>
      <c r="D384" s="6"/>
      <c r="E384" s="6"/>
      <c r="F384" s="6"/>
      <c r="G384" s="6"/>
      <c r="H384" s="6"/>
      <c r="I384" s="6"/>
    </row>
    <row r="385" spans="1:9" hidden="1" x14ac:dyDescent="0.2">
      <c r="A385" s="8" t="s">
        <v>9</v>
      </c>
      <c r="B385" s="5"/>
      <c r="C385" s="74"/>
      <c r="D385" s="6"/>
      <c r="E385" s="6"/>
      <c r="F385" s="6"/>
      <c r="G385" s="6"/>
      <c r="H385" s="6"/>
      <c r="I385" s="6"/>
    </row>
    <row r="386" spans="1:9" hidden="1" x14ac:dyDescent="0.2">
      <c r="A386" s="312" t="s">
        <v>10</v>
      </c>
      <c r="B386" s="313"/>
      <c r="C386" s="313"/>
      <c r="D386" s="313"/>
      <c r="E386" s="314"/>
      <c r="F386" s="11">
        <f>SUM(F376:F385)</f>
        <v>0</v>
      </c>
      <c r="G386" s="11">
        <f>SUM(G376:G385)</f>
        <v>0</v>
      </c>
      <c r="H386" s="11">
        <f>SUM(H376:H385)</f>
        <v>0</v>
      </c>
      <c r="I386" s="11"/>
    </row>
    <row r="387" spans="1:9" hidden="1" x14ac:dyDescent="0.2">
      <c r="A387" s="8" t="s">
        <v>0</v>
      </c>
      <c r="B387" s="5">
        <f>B376+1</f>
        <v>46139</v>
      </c>
      <c r="C387" s="75"/>
      <c r="D387" s="6"/>
      <c r="E387" s="6"/>
      <c r="F387" s="6"/>
      <c r="G387" s="6"/>
      <c r="H387" s="6"/>
      <c r="I387" s="6"/>
    </row>
    <row r="388" spans="1:9" hidden="1" x14ac:dyDescent="0.2">
      <c r="A388" s="8" t="s">
        <v>1</v>
      </c>
      <c r="B388" s="5"/>
      <c r="C388" s="75"/>
      <c r="D388" s="6"/>
      <c r="E388" s="6"/>
      <c r="F388" s="6"/>
      <c r="G388" s="6"/>
      <c r="H388" s="6"/>
      <c r="I388" s="6"/>
    </row>
    <row r="389" spans="1:9" hidden="1" x14ac:dyDescent="0.2">
      <c r="A389" s="8" t="s">
        <v>2</v>
      </c>
      <c r="B389" s="5"/>
      <c r="C389" s="75"/>
      <c r="D389" s="6"/>
      <c r="E389" s="6"/>
      <c r="F389" s="6"/>
      <c r="G389" s="6"/>
      <c r="H389" s="6"/>
      <c r="I389" s="6"/>
    </row>
    <row r="390" spans="1:9" hidden="1" x14ac:dyDescent="0.2">
      <c r="A390" s="8" t="s">
        <v>3</v>
      </c>
      <c r="B390" s="5"/>
      <c r="C390" s="75"/>
      <c r="D390" s="6"/>
      <c r="E390" s="6"/>
      <c r="F390" s="6"/>
      <c r="G390" s="6"/>
      <c r="H390" s="6"/>
      <c r="I390" s="6"/>
    </row>
    <row r="391" spans="1:9" hidden="1" x14ac:dyDescent="0.2">
      <c r="A391" s="8" t="s">
        <v>4</v>
      </c>
      <c r="B391" s="5"/>
      <c r="C391" s="75"/>
      <c r="D391" s="6"/>
      <c r="E391" s="6"/>
      <c r="F391" s="6"/>
      <c r="G391" s="6"/>
      <c r="H391" s="6"/>
      <c r="I391" s="6"/>
    </row>
    <row r="392" spans="1:9" hidden="1" x14ac:dyDescent="0.2">
      <c r="A392" s="8" t="s">
        <v>5</v>
      </c>
      <c r="B392" s="5"/>
      <c r="C392" s="75"/>
      <c r="D392" s="6"/>
      <c r="E392" s="6"/>
      <c r="F392" s="6"/>
      <c r="G392" s="6"/>
      <c r="H392" s="6"/>
      <c r="I392" s="6"/>
    </row>
    <row r="393" spans="1:9" hidden="1" x14ac:dyDescent="0.2">
      <c r="A393" s="8" t="s">
        <v>6</v>
      </c>
      <c r="B393" s="5"/>
      <c r="C393" s="74"/>
      <c r="D393" s="6"/>
      <c r="E393" s="6"/>
      <c r="F393" s="6"/>
      <c r="G393" s="6"/>
      <c r="H393" s="6"/>
      <c r="I393" s="6"/>
    </row>
    <row r="394" spans="1:9" hidden="1" x14ac:dyDescent="0.2">
      <c r="A394" s="8" t="s">
        <v>7</v>
      </c>
      <c r="B394" s="5"/>
      <c r="C394" s="74"/>
      <c r="D394" s="6"/>
      <c r="E394" s="6"/>
      <c r="F394" s="6"/>
      <c r="G394" s="6"/>
      <c r="H394" s="6"/>
      <c r="I394" s="6"/>
    </row>
    <row r="395" spans="1:9" hidden="1" x14ac:dyDescent="0.2">
      <c r="A395" s="8" t="s">
        <v>8</v>
      </c>
      <c r="B395" s="5"/>
      <c r="C395" s="74"/>
      <c r="D395" s="6"/>
      <c r="E395" s="6"/>
      <c r="F395" s="6"/>
      <c r="G395" s="6"/>
      <c r="H395" s="6"/>
      <c r="I395" s="6"/>
    </row>
    <row r="396" spans="1:9" hidden="1" x14ac:dyDescent="0.2">
      <c r="A396" s="8" t="s">
        <v>9</v>
      </c>
      <c r="B396" s="5"/>
      <c r="C396" s="74"/>
      <c r="D396" s="6"/>
      <c r="E396" s="6"/>
      <c r="F396" s="6"/>
      <c r="G396" s="6"/>
      <c r="H396" s="6"/>
      <c r="I396" s="6"/>
    </row>
    <row r="397" spans="1:9" hidden="1" x14ac:dyDescent="0.2">
      <c r="A397" s="312" t="s">
        <v>10</v>
      </c>
      <c r="B397" s="313"/>
      <c r="C397" s="313"/>
      <c r="D397" s="313"/>
      <c r="E397" s="314"/>
      <c r="F397" s="11">
        <f>SUM(F387:F396)</f>
        <v>0</v>
      </c>
      <c r="G397" s="11">
        <f>SUM(G387:G396)</f>
        <v>0</v>
      </c>
      <c r="H397" s="11">
        <f>SUM(H387:H396)</f>
        <v>0</v>
      </c>
      <c r="I397" s="11"/>
    </row>
    <row r="398" spans="1:9" hidden="1" x14ac:dyDescent="0.2">
      <c r="A398" s="8" t="s">
        <v>0</v>
      </c>
      <c r="B398" s="5"/>
      <c r="C398" s="75"/>
      <c r="D398" s="6"/>
      <c r="E398" s="6"/>
      <c r="F398" s="6"/>
      <c r="G398" s="6"/>
      <c r="H398" s="6"/>
      <c r="I398" s="6"/>
    </row>
    <row r="399" spans="1:9" hidden="1" x14ac:dyDescent="0.2">
      <c r="A399" s="8" t="s">
        <v>1</v>
      </c>
      <c r="B399" s="5"/>
      <c r="C399" s="75"/>
      <c r="D399" s="6"/>
      <c r="E399" s="6"/>
      <c r="F399" s="6"/>
      <c r="G399" s="6"/>
      <c r="H399" s="6"/>
      <c r="I399" s="6"/>
    </row>
    <row r="400" spans="1:9" hidden="1" x14ac:dyDescent="0.2">
      <c r="A400" s="8" t="s">
        <v>2</v>
      </c>
      <c r="B400" s="5"/>
      <c r="C400" s="75"/>
      <c r="D400" s="6"/>
      <c r="E400" s="6"/>
      <c r="F400" s="6"/>
      <c r="G400" s="6"/>
      <c r="H400" s="6"/>
      <c r="I400" s="6"/>
    </row>
    <row r="401" spans="1:9" hidden="1" x14ac:dyDescent="0.2">
      <c r="A401" s="8" t="s">
        <v>3</v>
      </c>
      <c r="B401" s="5"/>
      <c r="C401" s="75"/>
      <c r="D401" s="6"/>
      <c r="E401" s="6"/>
      <c r="F401" s="6"/>
      <c r="G401" s="6"/>
      <c r="H401" s="6"/>
      <c r="I401" s="6"/>
    </row>
    <row r="402" spans="1:9" hidden="1" x14ac:dyDescent="0.2">
      <c r="A402" s="8" t="s">
        <v>4</v>
      </c>
      <c r="B402" s="5"/>
      <c r="C402" s="75"/>
      <c r="D402" s="6"/>
      <c r="E402" s="6"/>
      <c r="F402" s="6"/>
      <c r="G402" s="6"/>
      <c r="H402" s="6"/>
      <c r="I402" s="6"/>
    </row>
    <row r="403" spans="1:9" hidden="1" x14ac:dyDescent="0.2">
      <c r="A403" s="8" t="s">
        <v>5</v>
      </c>
      <c r="B403" s="5"/>
      <c r="C403" s="75"/>
      <c r="D403" s="6"/>
      <c r="E403" s="6"/>
      <c r="F403" s="6"/>
      <c r="G403" s="6"/>
      <c r="H403" s="6"/>
      <c r="I403" s="6"/>
    </row>
    <row r="404" spans="1:9" hidden="1" x14ac:dyDescent="0.2">
      <c r="A404" s="8" t="s">
        <v>6</v>
      </c>
      <c r="B404" s="5"/>
      <c r="C404" s="75"/>
      <c r="D404" s="6"/>
      <c r="E404" s="6"/>
      <c r="F404" s="6"/>
      <c r="G404" s="6"/>
      <c r="H404" s="6"/>
      <c r="I404" s="6"/>
    </row>
    <row r="405" spans="1:9" hidden="1" x14ac:dyDescent="0.2">
      <c r="A405" s="8" t="s">
        <v>7</v>
      </c>
      <c r="B405" s="5"/>
      <c r="C405" s="75"/>
      <c r="D405" s="6"/>
      <c r="E405" s="6"/>
      <c r="F405" s="6"/>
      <c r="G405" s="6"/>
      <c r="H405" s="6"/>
      <c r="I405" s="6"/>
    </row>
    <row r="406" spans="1:9" hidden="1" x14ac:dyDescent="0.2">
      <c r="A406" s="8" t="s">
        <v>8</v>
      </c>
      <c r="B406" s="5"/>
      <c r="C406" s="75"/>
      <c r="D406" s="6"/>
      <c r="E406" s="6"/>
      <c r="F406" s="6"/>
      <c r="G406" s="6"/>
      <c r="H406" s="6"/>
      <c r="I406" s="6"/>
    </row>
    <row r="407" spans="1:9" hidden="1" x14ac:dyDescent="0.2">
      <c r="A407" s="8" t="s">
        <v>9</v>
      </c>
      <c r="B407" s="5"/>
      <c r="C407" s="75"/>
      <c r="D407" s="6"/>
      <c r="E407" s="6"/>
      <c r="F407" s="6"/>
      <c r="G407" s="6"/>
      <c r="H407" s="6"/>
      <c r="I407" s="6"/>
    </row>
    <row r="408" spans="1:9" hidden="1" x14ac:dyDescent="0.2">
      <c r="A408" s="312" t="s">
        <v>10</v>
      </c>
      <c r="B408" s="313"/>
      <c r="C408" s="313"/>
      <c r="D408" s="313"/>
      <c r="E408" s="314"/>
      <c r="F408" s="11">
        <f>SUM(F398:F407)</f>
        <v>0</v>
      </c>
      <c r="G408" s="11">
        <f>SUM(G398:G407)</f>
        <v>0</v>
      </c>
      <c r="H408" s="11">
        <f>SUM(H398:H407)</f>
        <v>0</v>
      </c>
      <c r="I408" s="11"/>
    </row>
    <row r="409" spans="1:9" hidden="1" x14ac:dyDescent="0.2">
      <c r="A409" s="8" t="s">
        <v>0</v>
      </c>
      <c r="B409" s="5"/>
      <c r="C409" s="74"/>
      <c r="D409" s="6"/>
      <c r="E409" s="6"/>
      <c r="F409" s="6"/>
      <c r="G409" s="6"/>
      <c r="H409" s="6"/>
      <c r="I409" s="6"/>
    </row>
    <row r="410" spans="1:9" hidden="1" x14ac:dyDescent="0.2">
      <c r="A410" s="8" t="s">
        <v>1</v>
      </c>
      <c r="B410" s="5"/>
      <c r="C410" s="74"/>
      <c r="D410" s="6"/>
      <c r="E410" s="6"/>
      <c r="F410" s="6"/>
      <c r="G410" s="6"/>
      <c r="H410" s="6"/>
      <c r="I410" s="6"/>
    </row>
    <row r="411" spans="1:9" hidden="1" x14ac:dyDescent="0.2">
      <c r="A411" s="8" t="s">
        <v>2</v>
      </c>
      <c r="B411" s="5"/>
      <c r="C411" s="74"/>
      <c r="D411" s="6"/>
      <c r="E411" s="6"/>
      <c r="F411" s="6"/>
      <c r="G411" s="6"/>
      <c r="H411" s="6"/>
      <c r="I411" s="6"/>
    </row>
    <row r="412" spans="1:9" hidden="1" x14ac:dyDescent="0.2">
      <c r="A412" s="8" t="s">
        <v>3</v>
      </c>
      <c r="B412" s="5"/>
      <c r="C412" s="74"/>
      <c r="D412" s="6"/>
      <c r="E412" s="6"/>
      <c r="F412" s="6"/>
      <c r="G412" s="6"/>
      <c r="H412" s="6"/>
      <c r="I412" s="6"/>
    </row>
    <row r="413" spans="1:9" hidden="1" x14ac:dyDescent="0.2">
      <c r="A413" s="8" t="s">
        <v>4</v>
      </c>
      <c r="B413" s="5"/>
      <c r="C413" s="74"/>
      <c r="D413" s="6"/>
      <c r="E413" s="6"/>
      <c r="F413" s="6"/>
      <c r="G413" s="6"/>
      <c r="H413" s="6"/>
      <c r="I413" s="6"/>
    </row>
    <row r="414" spans="1:9" hidden="1" x14ac:dyDescent="0.2">
      <c r="A414" s="8" t="s">
        <v>5</v>
      </c>
      <c r="B414" s="5"/>
      <c r="C414" s="74"/>
      <c r="D414" s="6"/>
      <c r="E414" s="6"/>
      <c r="F414" s="6"/>
      <c r="G414" s="6"/>
      <c r="H414" s="6"/>
      <c r="I414" s="6"/>
    </row>
    <row r="415" spans="1:9" hidden="1" x14ac:dyDescent="0.2">
      <c r="A415" s="8" t="s">
        <v>6</v>
      </c>
      <c r="B415" s="5"/>
      <c r="C415" s="74"/>
      <c r="D415" s="6"/>
      <c r="E415" s="6"/>
      <c r="F415" s="6"/>
      <c r="G415" s="6"/>
      <c r="H415" s="6"/>
      <c r="I415" s="6"/>
    </row>
    <row r="416" spans="1:9" hidden="1" x14ac:dyDescent="0.2">
      <c r="A416" s="8" t="s">
        <v>7</v>
      </c>
      <c r="B416" s="5"/>
      <c r="C416" s="74"/>
      <c r="D416" s="6"/>
      <c r="E416" s="6"/>
      <c r="F416" s="6"/>
      <c r="G416" s="6"/>
      <c r="H416" s="6"/>
      <c r="I416" s="6"/>
    </row>
    <row r="417" spans="1:9" hidden="1" x14ac:dyDescent="0.2">
      <c r="A417" s="8" t="s">
        <v>8</v>
      </c>
      <c r="B417" s="5"/>
      <c r="C417" s="74"/>
      <c r="D417" s="6"/>
      <c r="E417" s="6"/>
      <c r="F417" s="6"/>
      <c r="G417" s="6"/>
      <c r="H417" s="6"/>
      <c r="I417" s="6"/>
    </row>
    <row r="418" spans="1:9" hidden="1" x14ac:dyDescent="0.2">
      <c r="A418" s="8" t="s">
        <v>9</v>
      </c>
      <c r="B418" s="5"/>
      <c r="C418" s="74"/>
      <c r="D418" s="6"/>
      <c r="E418" s="6"/>
      <c r="F418" s="6"/>
      <c r="G418" s="6"/>
      <c r="H418" s="6"/>
      <c r="I418" s="6"/>
    </row>
    <row r="419" spans="1:9" hidden="1" x14ac:dyDescent="0.2">
      <c r="A419" s="312" t="s">
        <v>10</v>
      </c>
      <c r="B419" s="313"/>
      <c r="C419" s="313"/>
      <c r="D419" s="313"/>
      <c r="E419" s="314"/>
      <c r="F419" s="11">
        <f>SUM(F409:F418)</f>
        <v>0</v>
      </c>
      <c r="G419" s="11">
        <f>SUM(G409:G418)</f>
        <v>0</v>
      </c>
      <c r="H419" s="11">
        <f>SUM(H409:H418)</f>
        <v>0</v>
      </c>
      <c r="I419" s="11"/>
    </row>
    <row r="420" spans="1:9" s="25" customFormat="1" ht="18" x14ac:dyDescent="0.2">
      <c r="A420" s="315" t="s">
        <v>39</v>
      </c>
      <c r="B420" s="316"/>
      <c r="C420" s="316"/>
      <c r="D420" s="316"/>
      <c r="E420" s="317"/>
      <c r="F420" s="22">
        <f>F353+F364+F375+F386+F397+F408+F419+F336</f>
        <v>96</v>
      </c>
      <c r="G420" s="22">
        <f>G353+G364+G375+G386+G397+G408+G419+G336</f>
        <v>19</v>
      </c>
      <c r="H420" s="22">
        <f>H353+H364+H375+H386+H397+H408+H419+H336</f>
        <v>632</v>
      </c>
      <c r="I420" s="22"/>
    </row>
  </sheetData>
  <mergeCells count="70">
    <mergeCell ref="F341:H341"/>
    <mergeCell ref="A353:E353"/>
    <mergeCell ref="A335:E335"/>
    <mergeCell ref="A251:E251"/>
    <mergeCell ref="A253:I253"/>
    <mergeCell ref="A255:C255"/>
    <mergeCell ref="A256:C256"/>
    <mergeCell ref="A302:E302"/>
    <mergeCell ref="A313:E313"/>
    <mergeCell ref="A337:I337"/>
    <mergeCell ref="A339:C339"/>
    <mergeCell ref="A340:C340"/>
    <mergeCell ref="A83:E83"/>
    <mergeCell ref="A85:I85"/>
    <mergeCell ref="A72:E72"/>
    <mergeCell ref="A291:E291"/>
    <mergeCell ref="A218:E218"/>
    <mergeCell ref="A145:E145"/>
    <mergeCell ref="A87:C87"/>
    <mergeCell ref="F89:H89"/>
    <mergeCell ref="A101:E101"/>
    <mergeCell ref="A112:E112"/>
    <mergeCell ref="A123:E123"/>
    <mergeCell ref="A240:E240"/>
    <mergeCell ref="A156:E156"/>
    <mergeCell ref="A167:E167"/>
    <mergeCell ref="A169:I169"/>
    <mergeCell ref="A171:C171"/>
    <mergeCell ref="A17:E17"/>
    <mergeCell ref="A28:E28"/>
    <mergeCell ref="A39:E39"/>
    <mergeCell ref="A50:E50"/>
    <mergeCell ref="A61:E61"/>
    <mergeCell ref="A1:I1"/>
    <mergeCell ref="A3:C3"/>
    <mergeCell ref="A4:C4"/>
    <mergeCell ref="F5:H5"/>
    <mergeCell ref="F4:G4"/>
    <mergeCell ref="A2:E2"/>
    <mergeCell ref="A420:E420"/>
    <mergeCell ref="A419:E419"/>
    <mergeCell ref="A84:E84"/>
    <mergeCell ref="A168:E168"/>
    <mergeCell ref="A252:E252"/>
    <mergeCell ref="A336:E336"/>
    <mergeCell ref="A364:E364"/>
    <mergeCell ref="A375:E375"/>
    <mergeCell ref="A386:E386"/>
    <mergeCell ref="A397:E397"/>
    <mergeCell ref="A408:E408"/>
    <mergeCell ref="A88:C88"/>
    <mergeCell ref="A229:E229"/>
    <mergeCell ref="A134:E134"/>
    <mergeCell ref="A324:E324"/>
    <mergeCell ref="A172:C172"/>
    <mergeCell ref="A86:E86"/>
    <mergeCell ref="A170:E170"/>
    <mergeCell ref="A254:E254"/>
    <mergeCell ref="A338:E338"/>
    <mergeCell ref="F340:G340"/>
    <mergeCell ref="F256:G256"/>
    <mergeCell ref="F172:G172"/>
    <mergeCell ref="F88:G88"/>
    <mergeCell ref="F173:H173"/>
    <mergeCell ref="A185:E185"/>
    <mergeCell ref="A196:E196"/>
    <mergeCell ref="A207:E207"/>
    <mergeCell ref="F257:H257"/>
    <mergeCell ref="A269:E269"/>
    <mergeCell ref="A280:E280"/>
  </mergeCells>
  <phoneticPr fontId="1" type="noConversion"/>
  <pageMargins left="0.59055118110236227" right="0.39370078740157483" top="0.59055118110236227" bottom="0.39370078740157483" header="0.31496062992125984" footer="0.31496062992125984"/>
  <pageSetup paperSize="9" scale="61" fitToHeight="5" orientation="portrait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0"/>
  <sheetViews>
    <sheetView topLeftCell="A347" zoomScale="150" zoomScaleNormal="150" workbookViewId="0">
      <selection activeCell="G422" sqref="G422"/>
    </sheetView>
  </sheetViews>
  <sheetFormatPr defaultColWidth="9" defaultRowHeight="17.25" x14ac:dyDescent="0.2"/>
  <cols>
    <col min="1" max="1" width="4" style="1" bestFit="1" customWidth="1"/>
    <col min="2" max="2" width="10.625" style="7" customWidth="1"/>
    <col min="3" max="3" width="11.375" style="76" customWidth="1"/>
    <col min="4" max="4" width="15.625" style="1" customWidth="1"/>
    <col min="5" max="5" width="10.625" style="1" customWidth="1"/>
    <col min="6" max="8" width="7.625" style="1" customWidth="1"/>
    <col min="9" max="9" width="18" style="1" customWidth="1"/>
    <col min="10" max="16384" width="9" style="1"/>
  </cols>
  <sheetData>
    <row r="1" spans="1:9" ht="21.95" customHeight="1" x14ac:dyDescent="0.2">
      <c r="A1" s="319" t="s">
        <v>14</v>
      </c>
      <c r="B1" s="319"/>
      <c r="C1" s="319"/>
      <c r="D1" s="319"/>
      <c r="E1" s="319"/>
      <c r="F1" s="319"/>
      <c r="G1" s="319"/>
      <c r="H1" s="319"/>
      <c r="I1" s="319"/>
    </row>
    <row r="2" spans="1:9" s="53" customFormat="1" ht="20.100000000000001" customHeight="1" x14ac:dyDescent="0.2">
      <c r="A2" s="323" t="s">
        <v>86</v>
      </c>
      <c r="B2" s="323"/>
      <c r="C2" s="323"/>
      <c r="D2" s="323"/>
      <c r="E2" s="323"/>
      <c r="F2" s="104" t="str">
        <f>'1'!$F$2</f>
        <v>เมษายน</v>
      </c>
      <c r="G2" s="50" t="s">
        <v>87</v>
      </c>
      <c r="H2" s="51">
        <f>'1'!$H$2</f>
        <v>2569</v>
      </c>
      <c r="I2" s="52"/>
    </row>
    <row r="3" spans="1:9" s="3" customFormat="1" ht="20.100000000000001" customHeight="1" x14ac:dyDescent="0.4">
      <c r="A3" s="318" t="s">
        <v>36</v>
      </c>
      <c r="B3" s="318"/>
      <c r="C3" s="318"/>
      <c r="D3" s="2"/>
      <c r="F3" s="4"/>
      <c r="G3" s="4"/>
      <c r="H3" s="4" t="s">
        <v>21</v>
      </c>
      <c r="I3" s="41">
        <v>1</v>
      </c>
    </row>
    <row r="4" spans="1:9" s="49" customFormat="1" ht="20.100000000000001" customHeight="1" x14ac:dyDescent="0.35">
      <c r="A4" s="327" t="s">
        <v>66</v>
      </c>
      <c r="B4" s="327"/>
      <c r="C4" s="327"/>
      <c r="D4" s="46"/>
      <c r="E4" s="47" t="s">
        <v>81</v>
      </c>
      <c r="F4" s="328">
        <f>'1'!$F$4</f>
        <v>46107</v>
      </c>
      <c r="G4" s="328"/>
      <c r="H4" s="47" t="s">
        <v>82</v>
      </c>
      <c r="I4" s="48">
        <f>'1'!$I$4</f>
        <v>46136</v>
      </c>
    </row>
    <row r="5" spans="1:9" x14ac:dyDescent="0.2">
      <c r="A5" s="12" t="s">
        <v>23</v>
      </c>
      <c r="B5" s="13" t="s">
        <v>11</v>
      </c>
      <c r="C5" s="72" t="s">
        <v>26</v>
      </c>
      <c r="D5" s="12" t="s">
        <v>16</v>
      </c>
      <c r="E5" s="12" t="s">
        <v>17</v>
      </c>
      <c r="F5" s="310" t="s">
        <v>46</v>
      </c>
      <c r="G5" s="310"/>
      <c r="H5" s="310"/>
      <c r="I5" s="12" t="s">
        <v>19</v>
      </c>
    </row>
    <row r="6" spans="1:9" x14ac:dyDescent="0.2">
      <c r="A6" s="15"/>
      <c r="B6" s="16"/>
      <c r="C6" s="73"/>
      <c r="D6" s="15"/>
      <c r="E6" s="15"/>
      <c r="F6" s="21" t="s">
        <v>113</v>
      </c>
      <c r="G6" s="21" t="s">
        <v>114</v>
      </c>
      <c r="H6" s="21" t="s">
        <v>20</v>
      </c>
      <c r="I6" s="15"/>
    </row>
    <row r="7" spans="1:9" x14ac:dyDescent="0.2">
      <c r="A7" s="8" t="s">
        <v>0</v>
      </c>
      <c r="B7" s="5">
        <f>'7'!B7</f>
        <v>46107</v>
      </c>
      <c r="C7" s="74" t="s">
        <v>207</v>
      </c>
      <c r="D7" s="6" t="s">
        <v>178</v>
      </c>
      <c r="E7" s="6" t="s">
        <v>165</v>
      </c>
      <c r="F7" s="6">
        <v>1</v>
      </c>
      <c r="G7" s="6"/>
      <c r="H7" s="6">
        <v>6</v>
      </c>
      <c r="I7" s="6"/>
    </row>
    <row r="8" spans="1:9" x14ac:dyDescent="0.2">
      <c r="A8" s="8" t="s">
        <v>1</v>
      </c>
      <c r="B8" s="5"/>
      <c r="C8" s="74" t="s">
        <v>208</v>
      </c>
      <c r="D8" s="6" t="s">
        <v>211</v>
      </c>
      <c r="E8" s="6" t="s">
        <v>165</v>
      </c>
      <c r="F8" s="6">
        <v>1</v>
      </c>
      <c r="G8" s="6"/>
      <c r="H8" s="6">
        <v>2.5</v>
      </c>
      <c r="I8" s="6"/>
    </row>
    <row r="9" spans="1:9" x14ac:dyDescent="0.2">
      <c r="A9" s="8" t="s">
        <v>2</v>
      </c>
      <c r="B9" s="5"/>
      <c r="C9" s="74" t="s">
        <v>210</v>
      </c>
      <c r="D9" s="6" t="s">
        <v>170</v>
      </c>
      <c r="E9" s="6" t="s">
        <v>171</v>
      </c>
      <c r="F9" s="54">
        <v>1</v>
      </c>
      <c r="G9" s="6"/>
      <c r="H9" s="6">
        <v>6</v>
      </c>
      <c r="I9" s="6"/>
    </row>
    <row r="10" spans="1:9" x14ac:dyDescent="0.2">
      <c r="A10" s="8">
        <v>4</v>
      </c>
      <c r="B10" s="5"/>
      <c r="C10" s="74" t="s">
        <v>212</v>
      </c>
      <c r="D10" s="6" t="s">
        <v>188</v>
      </c>
      <c r="E10" s="6" t="s">
        <v>174</v>
      </c>
      <c r="F10" s="6">
        <v>1</v>
      </c>
      <c r="G10" s="6"/>
      <c r="H10" s="6">
        <v>5</v>
      </c>
      <c r="I10" s="6"/>
    </row>
    <row r="11" spans="1:9" x14ac:dyDescent="0.2">
      <c r="A11" s="8">
        <v>5</v>
      </c>
      <c r="B11" s="5"/>
      <c r="C11" s="74" t="s">
        <v>213</v>
      </c>
      <c r="D11" s="6" t="s">
        <v>170</v>
      </c>
      <c r="E11" s="6" t="s">
        <v>171</v>
      </c>
      <c r="F11" s="6">
        <v>1</v>
      </c>
      <c r="G11" s="6"/>
      <c r="H11" s="6">
        <v>6</v>
      </c>
      <c r="I11" s="6"/>
    </row>
    <row r="12" spans="1:9" hidden="1" x14ac:dyDescent="0.2">
      <c r="A12" s="8">
        <v>6</v>
      </c>
      <c r="B12" s="5"/>
      <c r="C12" s="74"/>
      <c r="D12" s="6"/>
      <c r="E12" s="6"/>
      <c r="F12" s="6"/>
      <c r="G12" s="6"/>
      <c r="H12" s="6"/>
      <c r="I12" s="6"/>
    </row>
    <row r="13" spans="1:9" hidden="1" x14ac:dyDescent="0.2">
      <c r="A13" s="8" t="s">
        <v>6</v>
      </c>
      <c r="B13" s="5"/>
      <c r="C13" s="74"/>
      <c r="D13" s="6"/>
      <c r="E13" s="6"/>
      <c r="F13" s="6"/>
      <c r="G13" s="6"/>
      <c r="H13" s="6"/>
      <c r="I13" s="6"/>
    </row>
    <row r="14" spans="1:9" hidden="1" x14ac:dyDescent="0.2">
      <c r="A14" s="8" t="s">
        <v>7</v>
      </c>
      <c r="B14" s="5"/>
      <c r="C14" s="74"/>
      <c r="D14" s="6"/>
      <c r="E14" s="6"/>
      <c r="F14" s="6"/>
      <c r="G14" s="6"/>
      <c r="H14" s="6"/>
      <c r="I14" s="6"/>
    </row>
    <row r="15" spans="1:9" hidden="1" x14ac:dyDescent="0.2">
      <c r="A15" s="8" t="s">
        <v>8</v>
      </c>
      <c r="B15" s="5"/>
      <c r="C15" s="74"/>
      <c r="D15" s="6"/>
      <c r="E15" s="6"/>
      <c r="F15" s="6"/>
      <c r="G15" s="6"/>
      <c r="H15" s="6"/>
      <c r="I15" s="6"/>
    </row>
    <row r="16" spans="1:9" hidden="1" x14ac:dyDescent="0.2">
      <c r="A16" s="8" t="s">
        <v>9</v>
      </c>
      <c r="B16" s="5"/>
      <c r="C16" s="74"/>
      <c r="D16" s="6"/>
      <c r="E16" s="6"/>
      <c r="F16" s="6"/>
      <c r="G16" s="6"/>
      <c r="H16" s="6"/>
      <c r="I16" s="6"/>
    </row>
    <row r="17" spans="1:9" x14ac:dyDescent="0.2">
      <c r="A17" s="312" t="s">
        <v>10</v>
      </c>
      <c r="B17" s="313"/>
      <c r="C17" s="313"/>
      <c r="D17" s="313"/>
      <c r="E17" s="314"/>
      <c r="F17" s="11">
        <f>SUM(F7:F16)</f>
        <v>5</v>
      </c>
      <c r="G17" s="11">
        <f>SUM(G7:G16)</f>
        <v>0</v>
      </c>
      <c r="H17" s="11">
        <f>SUM(H7:H16)</f>
        <v>25.5</v>
      </c>
      <c r="I17" s="11"/>
    </row>
    <row r="18" spans="1:9" x14ac:dyDescent="0.2">
      <c r="A18" s="8" t="s">
        <v>0</v>
      </c>
      <c r="B18" s="5">
        <f>B7+1</f>
        <v>46108</v>
      </c>
      <c r="C18" s="75" t="s">
        <v>290</v>
      </c>
      <c r="D18" s="6" t="s">
        <v>282</v>
      </c>
      <c r="E18" s="6" t="s">
        <v>168</v>
      </c>
      <c r="F18" s="6">
        <v>1</v>
      </c>
      <c r="G18" s="6"/>
      <c r="H18" s="6">
        <v>5</v>
      </c>
      <c r="I18" s="6"/>
    </row>
    <row r="19" spans="1:9" x14ac:dyDescent="0.2">
      <c r="A19" s="8" t="s">
        <v>1</v>
      </c>
      <c r="B19" s="5"/>
      <c r="C19" s="75" t="s">
        <v>291</v>
      </c>
      <c r="D19" s="6" t="s">
        <v>242</v>
      </c>
      <c r="E19" s="6" t="s">
        <v>171</v>
      </c>
      <c r="F19" s="6">
        <v>1</v>
      </c>
      <c r="G19" s="6"/>
      <c r="H19" s="6">
        <v>5</v>
      </c>
      <c r="I19" s="6"/>
    </row>
    <row r="20" spans="1:9" x14ac:dyDescent="0.2">
      <c r="A20" s="8" t="s">
        <v>2</v>
      </c>
      <c r="B20" s="5"/>
      <c r="C20" s="75" t="s">
        <v>292</v>
      </c>
      <c r="D20" s="6" t="s">
        <v>170</v>
      </c>
      <c r="E20" s="6" t="s">
        <v>171</v>
      </c>
      <c r="F20" s="6">
        <v>1</v>
      </c>
      <c r="G20" s="6"/>
      <c r="H20" s="6">
        <v>6</v>
      </c>
      <c r="I20" s="6"/>
    </row>
    <row r="21" spans="1:9" x14ac:dyDescent="0.2">
      <c r="A21" s="8" t="s">
        <v>3</v>
      </c>
      <c r="B21" s="5"/>
      <c r="C21" s="75" t="s">
        <v>293</v>
      </c>
      <c r="D21" s="6" t="s">
        <v>170</v>
      </c>
      <c r="E21" s="6" t="s">
        <v>171</v>
      </c>
      <c r="F21" s="6">
        <v>1</v>
      </c>
      <c r="G21" s="6"/>
      <c r="H21" s="6">
        <v>6</v>
      </c>
      <c r="I21" s="6"/>
    </row>
    <row r="22" spans="1:9" x14ac:dyDescent="0.2">
      <c r="A22" s="8" t="s">
        <v>4</v>
      </c>
      <c r="B22" s="5"/>
      <c r="C22" s="75" t="s">
        <v>294</v>
      </c>
      <c r="D22" s="6" t="s">
        <v>242</v>
      </c>
      <c r="E22" s="6" t="s">
        <v>171</v>
      </c>
      <c r="F22" s="6">
        <v>1</v>
      </c>
      <c r="G22" s="6"/>
      <c r="H22" s="6">
        <v>5</v>
      </c>
      <c r="I22" s="6"/>
    </row>
    <row r="23" spans="1:9" x14ac:dyDescent="0.2">
      <c r="A23" s="8" t="s">
        <v>5</v>
      </c>
      <c r="B23" s="5"/>
      <c r="C23" s="75" t="s">
        <v>295</v>
      </c>
      <c r="D23" s="6" t="s">
        <v>170</v>
      </c>
      <c r="E23" s="6" t="s">
        <v>171</v>
      </c>
      <c r="F23" s="6">
        <v>1</v>
      </c>
      <c r="G23" s="6"/>
      <c r="H23" s="6">
        <v>6</v>
      </c>
      <c r="I23" s="6"/>
    </row>
    <row r="24" spans="1:9" x14ac:dyDescent="0.2">
      <c r="A24" s="8" t="s">
        <v>6</v>
      </c>
      <c r="B24" s="5"/>
      <c r="C24" s="75" t="s">
        <v>296</v>
      </c>
      <c r="D24" s="6" t="s">
        <v>242</v>
      </c>
      <c r="E24" s="6" t="s">
        <v>171</v>
      </c>
      <c r="F24" s="6"/>
      <c r="G24" s="6">
        <v>1</v>
      </c>
      <c r="H24" s="6">
        <v>6</v>
      </c>
      <c r="I24" s="6"/>
    </row>
    <row r="25" spans="1:9" x14ac:dyDescent="0.2">
      <c r="A25" s="8" t="s">
        <v>7</v>
      </c>
      <c r="B25" s="5"/>
      <c r="C25" s="75" t="s">
        <v>297</v>
      </c>
      <c r="D25" s="6" t="s">
        <v>242</v>
      </c>
      <c r="E25" s="6" t="s">
        <v>171</v>
      </c>
      <c r="F25" s="6"/>
      <c r="G25" s="6">
        <v>1</v>
      </c>
      <c r="H25" s="6">
        <v>6</v>
      </c>
      <c r="I25" s="6"/>
    </row>
    <row r="26" spans="1:9" hidden="1" x14ac:dyDescent="0.2">
      <c r="A26" s="8" t="s">
        <v>8</v>
      </c>
      <c r="B26" s="5"/>
      <c r="C26" s="74"/>
      <c r="D26" s="6"/>
      <c r="E26" s="6"/>
      <c r="F26" s="6"/>
      <c r="G26" s="6"/>
      <c r="H26" s="6"/>
      <c r="I26" s="6"/>
    </row>
    <row r="27" spans="1:9" hidden="1" x14ac:dyDescent="0.2">
      <c r="A27" s="8" t="s">
        <v>9</v>
      </c>
      <c r="B27" s="5"/>
      <c r="C27" s="74"/>
      <c r="D27" s="6"/>
      <c r="E27" s="6"/>
      <c r="F27" s="6"/>
      <c r="G27" s="6"/>
      <c r="H27" s="6"/>
      <c r="I27" s="6"/>
    </row>
    <row r="28" spans="1:9" x14ac:dyDescent="0.2">
      <c r="A28" s="312" t="s">
        <v>10</v>
      </c>
      <c r="B28" s="313"/>
      <c r="C28" s="313"/>
      <c r="D28" s="313"/>
      <c r="E28" s="314"/>
      <c r="F28" s="11">
        <f>SUM(F18:F27)</f>
        <v>6</v>
      </c>
      <c r="G28" s="11">
        <f>SUM(G18:G27)</f>
        <v>2</v>
      </c>
      <c r="H28" s="11">
        <f>SUM(H18:H27)</f>
        <v>45</v>
      </c>
      <c r="I28" s="11"/>
    </row>
    <row r="29" spans="1:9" x14ac:dyDescent="0.2">
      <c r="A29" s="8" t="s">
        <v>0</v>
      </c>
      <c r="B29" s="5">
        <f>B18+1</f>
        <v>46109</v>
      </c>
      <c r="C29" s="74" t="s">
        <v>356</v>
      </c>
      <c r="D29" s="6" t="s">
        <v>334</v>
      </c>
      <c r="E29" s="6" t="s">
        <v>168</v>
      </c>
      <c r="F29" s="6">
        <v>1</v>
      </c>
      <c r="G29" s="6"/>
      <c r="H29" s="6">
        <v>3</v>
      </c>
      <c r="I29" s="6"/>
    </row>
    <row r="30" spans="1:9" x14ac:dyDescent="0.2">
      <c r="A30" s="8" t="s">
        <v>1</v>
      </c>
      <c r="B30" s="5"/>
      <c r="C30" s="74" t="s">
        <v>357</v>
      </c>
      <c r="D30" s="6" t="s">
        <v>276</v>
      </c>
      <c r="E30" s="6" t="s">
        <v>168</v>
      </c>
      <c r="F30" s="6">
        <v>1</v>
      </c>
      <c r="G30" s="6"/>
      <c r="H30" s="6">
        <v>5.5</v>
      </c>
      <c r="I30" s="6"/>
    </row>
    <row r="31" spans="1:9" x14ac:dyDescent="0.2">
      <c r="A31" s="8" t="s">
        <v>2</v>
      </c>
      <c r="B31" s="5"/>
      <c r="C31" s="74" t="s">
        <v>358</v>
      </c>
      <c r="D31" s="6" t="s">
        <v>342</v>
      </c>
      <c r="E31" s="6" t="s">
        <v>165</v>
      </c>
      <c r="F31" s="6"/>
      <c r="G31" s="6">
        <v>1</v>
      </c>
      <c r="H31" s="6">
        <v>5.5</v>
      </c>
      <c r="I31" s="6"/>
    </row>
    <row r="32" spans="1:9" hidden="1" x14ac:dyDescent="0.2">
      <c r="A32" s="8" t="s">
        <v>3</v>
      </c>
      <c r="B32" s="5"/>
      <c r="C32" s="74"/>
      <c r="D32" s="6"/>
      <c r="E32" s="6"/>
      <c r="F32" s="6"/>
      <c r="G32" s="6"/>
      <c r="H32" s="6"/>
      <c r="I32" s="6"/>
    </row>
    <row r="33" spans="1:9" hidden="1" x14ac:dyDescent="0.2">
      <c r="A33" s="8" t="s">
        <v>4</v>
      </c>
      <c r="B33" s="5"/>
      <c r="C33" s="74"/>
      <c r="D33" s="6"/>
      <c r="E33" s="6"/>
      <c r="F33" s="6"/>
      <c r="G33" s="6"/>
      <c r="H33" s="6"/>
      <c r="I33" s="6"/>
    </row>
    <row r="34" spans="1:9" hidden="1" x14ac:dyDescent="0.2">
      <c r="A34" s="8" t="s">
        <v>5</v>
      </c>
      <c r="B34" s="5"/>
      <c r="C34" s="74"/>
      <c r="D34" s="6"/>
      <c r="E34" s="6"/>
      <c r="F34" s="6"/>
      <c r="G34" s="6"/>
      <c r="H34" s="6"/>
      <c r="I34" s="6"/>
    </row>
    <row r="35" spans="1:9" hidden="1" x14ac:dyDescent="0.2">
      <c r="A35" s="8" t="s">
        <v>6</v>
      </c>
      <c r="B35" s="5"/>
      <c r="C35" s="74"/>
      <c r="D35" s="6"/>
      <c r="E35" s="6"/>
      <c r="F35" s="6"/>
      <c r="G35" s="6"/>
      <c r="H35" s="6"/>
      <c r="I35" s="6"/>
    </row>
    <row r="36" spans="1:9" hidden="1" x14ac:dyDescent="0.2">
      <c r="A36" s="8" t="s">
        <v>7</v>
      </c>
      <c r="B36" s="5"/>
      <c r="C36" s="74"/>
      <c r="D36" s="6"/>
      <c r="E36" s="6"/>
      <c r="F36" s="6"/>
      <c r="G36" s="6"/>
      <c r="H36" s="6"/>
      <c r="I36" s="6"/>
    </row>
    <row r="37" spans="1:9" hidden="1" x14ac:dyDescent="0.2">
      <c r="A37" s="8" t="s">
        <v>8</v>
      </c>
      <c r="B37" s="5"/>
      <c r="C37" s="74"/>
      <c r="D37" s="6"/>
      <c r="E37" s="6"/>
      <c r="F37" s="6"/>
      <c r="G37" s="6"/>
      <c r="H37" s="6"/>
      <c r="I37" s="6"/>
    </row>
    <row r="38" spans="1:9" hidden="1" x14ac:dyDescent="0.2">
      <c r="A38" s="8" t="s">
        <v>9</v>
      </c>
      <c r="B38" s="5"/>
      <c r="C38" s="74"/>
      <c r="D38" s="6"/>
      <c r="E38" s="6"/>
      <c r="F38" s="6"/>
      <c r="G38" s="6"/>
      <c r="H38" s="6"/>
      <c r="I38" s="6"/>
    </row>
    <row r="39" spans="1:9" x14ac:dyDescent="0.2">
      <c r="A39" s="312" t="s">
        <v>10</v>
      </c>
      <c r="B39" s="313"/>
      <c r="C39" s="313"/>
      <c r="D39" s="313"/>
      <c r="E39" s="314"/>
      <c r="F39" s="11">
        <f>SUM(F29:F38)</f>
        <v>2</v>
      </c>
      <c r="G39" s="11">
        <f>SUM(G29:G38)</f>
        <v>1</v>
      </c>
      <c r="H39" s="11">
        <f>SUM(H29:H38)</f>
        <v>14</v>
      </c>
      <c r="I39" s="11"/>
    </row>
    <row r="40" spans="1:9" x14ac:dyDescent="0.2">
      <c r="A40" s="8" t="s">
        <v>0</v>
      </c>
      <c r="B40" s="5">
        <f>B29+1</f>
        <v>46110</v>
      </c>
      <c r="C40" s="75" t="s">
        <v>407</v>
      </c>
      <c r="D40" s="6" t="s">
        <v>371</v>
      </c>
      <c r="E40" s="6" t="s">
        <v>165</v>
      </c>
      <c r="F40" s="6">
        <v>1</v>
      </c>
      <c r="G40" s="6"/>
      <c r="H40" s="6">
        <v>6</v>
      </c>
      <c r="I40" s="6"/>
    </row>
    <row r="41" spans="1:9" x14ac:dyDescent="0.2">
      <c r="A41" s="8" t="s">
        <v>1</v>
      </c>
      <c r="B41" s="5"/>
      <c r="C41" s="75" t="s">
        <v>402</v>
      </c>
      <c r="D41" s="6" t="s">
        <v>242</v>
      </c>
      <c r="E41" s="6" t="s">
        <v>171</v>
      </c>
      <c r="F41" s="6">
        <v>1</v>
      </c>
      <c r="G41" s="6"/>
      <c r="H41" s="6">
        <v>5.5</v>
      </c>
      <c r="I41" s="6"/>
    </row>
    <row r="42" spans="1:9" x14ac:dyDescent="0.2">
      <c r="A42" s="8" t="s">
        <v>2</v>
      </c>
      <c r="B42" s="5"/>
      <c r="C42" s="75" t="s">
        <v>408</v>
      </c>
      <c r="D42" s="6" t="s">
        <v>170</v>
      </c>
      <c r="E42" s="6" t="s">
        <v>165</v>
      </c>
      <c r="F42" s="6">
        <v>1</v>
      </c>
      <c r="G42" s="6"/>
      <c r="H42" s="6">
        <v>4.5</v>
      </c>
      <c r="I42" s="6"/>
    </row>
    <row r="43" spans="1:9" x14ac:dyDescent="0.2">
      <c r="A43" s="8" t="s">
        <v>3</v>
      </c>
      <c r="B43" s="5"/>
      <c r="C43" s="75" t="s">
        <v>409</v>
      </c>
      <c r="D43" s="6" t="s">
        <v>371</v>
      </c>
      <c r="E43" s="6" t="s">
        <v>165</v>
      </c>
      <c r="F43" s="6"/>
      <c r="G43" s="6">
        <v>1</v>
      </c>
      <c r="H43" s="6">
        <v>6</v>
      </c>
      <c r="I43" s="6"/>
    </row>
    <row r="44" spans="1:9" hidden="1" x14ac:dyDescent="0.2">
      <c r="A44" s="8" t="s">
        <v>4</v>
      </c>
      <c r="B44" s="5"/>
      <c r="C44" s="75"/>
      <c r="D44" s="6"/>
      <c r="E44" s="6"/>
      <c r="F44" s="6"/>
      <c r="G44" s="6"/>
      <c r="H44" s="6"/>
      <c r="I44" s="6"/>
    </row>
    <row r="45" spans="1:9" hidden="1" x14ac:dyDescent="0.2">
      <c r="A45" s="8" t="s">
        <v>5</v>
      </c>
      <c r="B45" s="5"/>
      <c r="C45" s="75"/>
      <c r="D45" s="6"/>
      <c r="E45" s="6"/>
      <c r="F45" s="6"/>
      <c r="G45" s="6"/>
      <c r="H45" s="6"/>
      <c r="I45" s="6"/>
    </row>
    <row r="46" spans="1:9" hidden="1" x14ac:dyDescent="0.2">
      <c r="A46" s="8" t="s">
        <v>6</v>
      </c>
      <c r="B46" s="5"/>
      <c r="C46" s="75"/>
      <c r="D46" s="6"/>
      <c r="E46" s="6"/>
      <c r="F46" s="6"/>
      <c r="G46" s="6"/>
      <c r="H46" s="6"/>
      <c r="I46" s="6"/>
    </row>
    <row r="47" spans="1:9" hidden="1" x14ac:dyDescent="0.2">
      <c r="A47" s="8" t="s">
        <v>7</v>
      </c>
      <c r="B47" s="5"/>
      <c r="C47" s="74"/>
      <c r="D47" s="6"/>
      <c r="E47" s="6"/>
      <c r="F47" s="6"/>
      <c r="G47" s="6"/>
      <c r="H47" s="6"/>
      <c r="I47" s="6"/>
    </row>
    <row r="48" spans="1:9" hidden="1" x14ac:dyDescent="0.2">
      <c r="A48" s="8" t="s">
        <v>8</v>
      </c>
      <c r="B48" s="5"/>
      <c r="C48" s="74"/>
      <c r="D48" s="6"/>
      <c r="E48" s="6"/>
      <c r="F48" s="6"/>
      <c r="G48" s="6"/>
      <c r="H48" s="6"/>
      <c r="I48" s="6"/>
    </row>
    <row r="49" spans="1:9" hidden="1" x14ac:dyDescent="0.2">
      <c r="A49" s="8" t="s">
        <v>9</v>
      </c>
      <c r="B49" s="5"/>
      <c r="C49" s="74"/>
      <c r="D49" s="6"/>
      <c r="E49" s="6"/>
      <c r="F49" s="6"/>
      <c r="G49" s="6"/>
      <c r="H49" s="6"/>
      <c r="I49" s="6"/>
    </row>
    <row r="50" spans="1:9" x14ac:dyDescent="0.2">
      <c r="A50" s="312" t="s">
        <v>10</v>
      </c>
      <c r="B50" s="313"/>
      <c r="C50" s="313"/>
      <c r="D50" s="313"/>
      <c r="E50" s="314"/>
      <c r="F50" s="11">
        <f>SUM(F40:F49)</f>
        <v>3</v>
      </c>
      <c r="G50" s="11">
        <f>SUM(G40:G49)</f>
        <v>1</v>
      </c>
      <c r="H50" s="11">
        <f>SUM(H40:H49)</f>
        <v>22</v>
      </c>
      <c r="I50" s="11"/>
    </row>
    <row r="51" spans="1:9" x14ac:dyDescent="0.2">
      <c r="A51" s="8" t="s">
        <v>0</v>
      </c>
      <c r="B51" s="5">
        <f>B40+1</f>
        <v>46111</v>
      </c>
      <c r="C51" s="75" t="s">
        <v>487</v>
      </c>
      <c r="D51" s="6" t="s">
        <v>173</v>
      </c>
      <c r="E51" s="6" t="s">
        <v>441</v>
      </c>
      <c r="F51" s="6">
        <v>1</v>
      </c>
      <c r="G51" s="6"/>
      <c r="H51" s="6">
        <v>3</v>
      </c>
      <c r="I51" s="6"/>
    </row>
    <row r="52" spans="1:9" x14ac:dyDescent="0.2">
      <c r="A52" s="8" t="s">
        <v>1</v>
      </c>
      <c r="B52" s="5"/>
      <c r="C52" s="75" t="s">
        <v>488</v>
      </c>
      <c r="D52" s="6" t="s">
        <v>361</v>
      </c>
      <c r="E52" s="6" t="s">
        <v>463</v>
      </c>
      <c r="F52" s="6">
        <v>1</v>
      </c>
      <c r="G52" s="6"/>
      <c r="H52" s="6">
        <v>4.5</v>
      </c>
      <c r="I52" s="6"/>
    </row>
    <row r="53" spans="1:9" hidden="1" x14ac:dyDescent="0.2">
      <c r="A53" s="8" t="s">
        <v>2</v>
      </c>
      <c r="B53" s="5"/>
      <c r="C53" s="75"/>
      <c r="D53" s="6"/>
      <c r="E53" s="6"/>
      <c r="F53" s="6"/>
      <c r="G53" s="6"/>
      <c r="H53" s="6"/>
      <c r="I53" s="6"/>
    </row>
    <row r="54" spans="1:9" hidden="1" x14ac:dyDescent="0.2">
      <c r="A54" s="8" t="s">
        <v>3</v>
      </c>
      <c r="B54" s="5"/>
      <c r="C54" s="75"/>
      <c r="D54" s="6"/>
      <c r="E54" s="6"/>
      <c r="F54" s="6"/>
      <c r="G54" s="6"/>
      <c r="H54" s="6"/>
      <c r="I54" s="6"/>
    </row>
    <row r="55" spans="1:9" hidden="1" x14ac:dyDescent="0.2">
      <c r="A55" s="8" t="s">
        <v>4</v>
      </c>
      <c r="B55" s="5"/>
      <c r="C55" s="75"/>
      <c r="D55" s="6"/>
      <c r="E55" s="6"/>
      <c r="F55" s="6"/>
      <c r="G55" s="6"/>
      <c r="H55" s="6"/>
      <c r="I55" s="6"/>
    </row>
    <row r="56" spans="1:9" hidden="1" x14ac:dyDescent="0.2">
      <c r="A56" s="8" t="s">
        <v>5</v>
      </c>
      <c r="B56" s="5"/>
      <c r="C56" s="75"/>
      <c r="D56" s="6"/>
      <c r="E56" s="6"/>
      <c r="F56" s="6"/>
      <c r="G56" s="6"/>
      <c r="H56" s="6"/>
      <c r="I56" s="6"/>
    </row>
    <row r="57" spans="1:9" hidden="1" x14ac:dyDescent="0.2">
      <c r="A57" s="8" t="s">
        <v>6</v>
      </c>
      <c r="B57" s="5"/>
      <c r="C57" s="74"/>
      <c r="D57" s="6"/>
      <c r="E57" s="6"/>
      <c r="F57" s="6"/>
      <c r="G57" s="6"/>
      <c r="H57" s="6"/>
      <c r="I57" s="6"/>
    </row>
    <row r="58" spans="1:9" hidden="1" x14ac:dyDescent="0.2">
      <c r="A58" s="8" t="s">
        <v>7</v>
      </c>
      <c r="B58" s="5"/>
      <c r="C58" s="74"/>
      <c r="D58" s="6"/>
      <c r="E58" s="6"/>
      <c r="F58" s="6"/>
      <c r="G58" s="6"/>
      <c r="H58" s="6"/>
      <c r="I58" s="6"/>
    </row>
    <row r="59" spans="1:9" hidden="1" x14ac:dyDescent="0.2">
      <c r="A59" s="8" t="s">
        <v>8</v>
      </c>
      <c r="B59" s="5"/>
      <c r="C59" s="74"/>
      <c r="D59" s="6"/>
      <c r="E59" s="6"/>
      <c r="F59" s="6"/>
      <c r="G59" s="6"/>
      <c r="H59" s="6"/>
      <c r="I59" s="6"/>
    </row>
    <row r="60" spans="1:9" hidden="1" x14ac:dyDescent="0.2">
      <c r="A60" s="8" t="s">
        <v>9</v>
      </c>
      <c r="B60" s="5"/>
      <c r="C60" s="74"/>
      <c r="D60" s="6"/>
      <c r="E60" s="6"/>
      <c r="F60" s="6"/>
      <c r="G60" s="6"/>
      <c r="H60" s="6"/>
      <c r="I60" s="6"/>
    </row>
    <row r="61" spans="1:9" x14ac:dyDescent="0.2">
      <c r="A61" s="312" t="s">
        <v>10</v>
      </c>
      <c r="B61" s="313"/>
      <c r="C61" s="313"/>
      <c r="D61" s="313"/>
      <c r="E61" s="314"/>
      <c r="F61" s="11">
        <f>SUM(F51:F60)</f>
        <v>2</v>
      </c>
      <c r="G61" s="11">
        <f>SUM(G51:G60)</f>
        <v>0</v>
      </c>
      <c r="H61" s="11">
        <f>SUM(H51:H60)</f>
        <v>7.5</v>
      </c>
      <c r="I61" s="11"/>
    </row>
    <row r="62" spans="1:9" x14ac:dyDescent="0.2">
      <c r="A62" s="8" t="s">
        <v>0</v>
      </c>
      <c r="B62" s="5">
        <f>B51+1</f>
        <v>46112</v>
      </c>
      <c r="C62" s="75" t="s">
        <v>554</v>
      </c>
      <c r="D62" s="6" t="s">
        <v>342</v>
      </c>
      <c r="E62" s="6" t="s">
        <v>165</v>
      </c>
      <c r="F62" s="6">
        <v>1</v>
      </c>
      <c r="G62" s="6"/>
      <c r="H62" s="6">
        <v>6</v>
      </c>
      <c r="I62" s="6"/>
    </row>
    <row r="63" spans="1:9" x14ac:dyDescent="0.2">
      <c r="A63" s="8" t="s">
        <v>1</v>
      </c>
      <c r="B63" s="5"/>
      <c r="C63" s="75" t="s">
        <v>555</v>
      </c>
      <c r="D63" s="6" t="s">
        <v>364</v>
      </c>
      <c r="E63" s="6" t="s">
        <v>174</v>
      </c>
      <c r="F63" s="6">
        <v>1</v>
      </c>
      <c r="G63" s="6"/>
      <c r="H63" s="6">
        <v>6</v>
      </c>
      <c r="I63" s="6"/>
    </row>
    <row r="64" spans="1:9" x14ac:dyDescent="0.2">
      <c r="A64" s="8" t="s">
        <v>2</v>
      </c>
      <c r="B64" s="5"/>
      <c r="C64" s="75" t="s">
        <v>556</v>
      </c>
      <c r="D64" s="6" t="s">
        <v>170</v>
      </c>
      <c r="E64" s="6" t="s">
        <v>171</v>
      </c>
      <c r="F64" s="6">
        <v>1</v>
      </c>
      <c r="G64" s="6"/>
      <c r="H64" s="6">
        <v>6</v>
      </c>
      <c r="I64" s="6"/>
    </row>
    <row r="65" spans="1:9" x14ac:dyDescent="0.2">
      <c r="A65" s="8" t="s">
        <v>3</v>
      </c>
      <c r="B65" s="5"/>
      <c r="C65" s="75" t="s">
        <v>559</v>
      </c>
      <c r="D65" s="6" t="s">
        <v>170</v>
      </c>
      <c r="E65" s="6" t="s">
        <v>171</v>
      </c>
      <c r="F65" s="6">
        <v>1</v>
      </c>
      <c r="G65" s="6"/>
      <c r="H65" s="6">
        <v>6</v>
      </c>
      <c r="I65" s="6"/>
    </row>
    <row r="66" spans="1:9" x14ac:dyDescent="0.2">
      <c r="A66" s="8" t="s">
        <v>4</v>
      </c>
      <c r="B66" s="5"/>
      <c r="C66" s="75" t="s">
        <v>560</v>
      </c>
      <c r="D66" s="6" t="s">
        <v>170</v>
      </c>
      <c r="E66" s="6" t="s">
        <v>171</v>
      </c>
      <c r="F66" s="6">
        <v>1</v>
      </c>
      <c r="G66" s="6"/>
      <c r="H66" s="6">
        <v>6</v>
      </c>
      <c r="I66" s="6"/>
    </row>
    <row r="67" spans="1:9" x14ac:dyDescent="0.2">
      <c r="A67" s="8" t="s">
        <v>5</v>
      </c>
      <c r="B67" s="5"/>
      <c r="C67" s="75" t="s">
        <v>561</v>
      </c>
      <c r="D67" s="6" t="s">
        <v>170</v>
      </c>
      <c r="E67" s="6" t="s">
        <v>171</v>
      </c>
      <c r="F67" s="6"/>
      <c r="G67" s="6">
        <v>1</v>
      </c>
      <c r="H67" s="6">
        <v>6</v>
      </c>
      <c r="I67" s="6"/>
    </row>
    <row r="68" spans="1:9" hidden="1" x14ac:dyDescent="0.2">
      <c r="A68" s="8" t="s">
        <v>6</v>
      </c>
      <c r="B68" s="5"/>
      <c r="C68" s="75"/>
      <c r="D68" s="6"/>
      <c r="E68" s="6"/>
      <c r="F68" s="6"/>
      <c r="G68" s="6"/>
      <c r="H68" s="6"/>
      <c r="I68" s="6"/>
    </row>
    <row r="69" spans="1:9" hidden="1" x14ac:dyDescent="0.2">
      <c r="A69" s="8" t="s">
        <v>7</v>
      </c>
      <c r="B69" s="5"/>
      <c r="C69" s="75"/>
      <c r="D69" s="6"/>
      <c r="E69" s="6"/>
      <c r="F69" s="6"/>
      <c r="G69" s="6"/>
      <c r="H69" s="6"/>
      <c r="I69" s="6"/>
    </row>
    <row r="70" spans="1:9" hidden="1" x14ac:dyDescent="0.2">
      <c r="A70" s="8" t="s">
        <v>8</v>
      </c>
      <c r="B70" s="5"/>
      <c r="C70" s="75"/>
      <c r="D70" s="6"/>
      <c r="E70" s="6"/>
      <c r="F70" s="6"/>
      <c r="G70" s="6"/>
      <c r="H70" s="6"/>
      <c r="I70" s="6"/>
    </row>
    <row r="71" spans="1:9" hidden="1" x14ac:dyDescent="0.2">
      <c r="A71" s="8" t="s">
        <v>9</v>
      </c>
      <c r="B71" s="5"/>
      <c r="C71" s="75"/>
      <c r="D71" s="6"/>
      <c r="E71" s="6"/>
      <c r="F71" s="6"/>
      <c r="G71" s="6"/>
      <c r="H71" s="6"/>
      <c r="I71" s="6"/>
    </row>
    <row r="72" spans="1:9" x14ac:dyDescent="0.2">
      <c r="A72" s="312" t="s">
        <v>10</v>
      </c>
      <c r="B72" s="313"/>
      <c r="C72" s="313"/>
      <c r="D72" s="313"/>
      <c r="E72" s="314"/>
      <c r="F72" s="11">
        <f>SUM(F62:F71)</f>
        <v>5</v>
      </c>
      <c r="G72" s="11">
        <f>SUM(G62:G71)</f>
        <v>1</v>
      </c>
      <c r="H72" s="11">
        <f>SUM(H62:H71)</f>
        <v>36</v>
      </c>
      <c r="I72" s="11"/>
    </row>
    <row r="73" spans="1:9" x14ac:dyDescent="0.2">
      <c r="A73" s="8" t="s">
        <v>0</v>
      </c>
      <c r="B73" s="5">
        <f>B62+1</f>
        <v>46113</v>
      </c>
      <c r="C73" s="74" t="s">
        <v>622</v>
      </c>
      <c r="D73" s="6" t="s">
        <v>188</v>
      </c>
      <c r="E73" s="6" t="s">
        <v>165</v>
      </c>
      <c r="F73" s="6">
        <v>1</v>
      </c>
      <c r="G73" s="6"/>
      <c r="H73" s="6">
        <v>6</v>
      </c>
      <c r="I73" s="6"/>
    </row>
    <row r="74" spans="1:9" x14ac:dyDescent="0.2">
      <c r="A74" s="8" t="s">
        <v>1</v>
      </c>
      <c r="B74" s="5"/>
      <c r="C74" s="74" t="s">
        <v>623</v>
      </c>
      <c r="D74" s="6" t="s">
        <v>188</v>
      </c>
      <c r="E74" s="6" t="s">
        <v>165</v>
      </c>
      <c r="F74" s="6">
        <v>1</v>
      </c>
      <c r="G74" s="6"/>
      <c r="H74" s="6">
        <v>6</v>
      </c>
      <c r="I74" s="6"/>
    </row>
    <row r="75" spans="1:9" x14ac:dyDescent="0.2">
      <c r="A75" s="8" t="s">
        <v>2</v>
      </c>
      <c r="B75" s="5"/>
      <c r="C75" s="74" t="s">
        <v>610</v>
      </c>
      <c r="D75" s="6" t="s">
        <v>188</v>
      </c>
      <c r="E75" s="6" t="s">
        <v>165</v>
      </c>
      <c r="F75" s="6">
        <v>1</v>
      </c>
      <c r="G75" s="6"/>
      <c r="H75" s="6">
        <v>6</v>
      </c>
      <c r="I75" s="6"/>
    </row>
    <row r="76" spans="1:9" x14ac:dyDescent="0.2">
      <c r="A76" s="8" t="s">
        <v>3</v>
      </c>
      <c r="B76" s="5"/>
      <c r="C76" s="74" t="s">
        <v>621</v>
      </c>
      <c r="D76" s="6" t="s">
        <v>188</v>
      </c>
      <c r="E76" s="6" t="s">
        <v>165</v>
      </c>
      <c r="F76" s="6">
        <v>1</v>
      </c>
      <c r="G76" s="6"/>
      <c r="H76" s="6">
        <v>5</v>
      </c>
      <c r="I76" s="6"/>
    </row>
    <row r="77" spans="1:9" hidden="1" x14ac:dyDescent="0.2">
      <c r="A77" s="8" t="s">
        <v>4</v>
      </c>
      <c r="B77" s="5"/>
      <c r="C77" s="74"/>
      <c r="D77" s="6"/>
      <c r="E77" s="6"/>
      <c r="F77" s="6"/>
      <c r="G77" s="6"/>
      <c r="H77" s="6"/>
      <c r="I77" s="6"/>
    </row>
    <row r="78" spans="1:9" hidden="1" x14ac:dyDescent="0.2">
      <c r="A78" s="8" t="s">
        <v>5</v>
      </c>
      <c r="B78" s="5"/>
      <c r="C78" s="74"/>
      <c r="D78" s="6"/>
      <c r="E78" s="6"/>
      <c r="F78" s="6"/>
      <c r="G78" s="6"/>
      <c r="H78" s="6"/>
      <c r="I78" s="6"/>
    </row>
    <row r="79" spans="1:9" hidden="1" x14ac:dyDescent="0.2">
      <c r="A79" s="8" t="s">
        <v>6</v>
      </c>
      <c r="B79" s="5"/>
      <c r="C79" s="74"/>
      <c r="D79" s="6"/>
      <c r="E79" s="6"/>
      <c r="F79" s="6"/>
      <c r="G79" s="6"/>
      <c r="H79" s="6"/>
      <c r="I79" s="6"/>
    </row>
    <row r="80" spans="1:9" hidden="1" x14ac:dyDescent="0.2">
      <c r="A80" s="8" t="s">
        <v>7</v>
      </c>
      <c r="B80" s="5"/>
      <c r="C80" s="74"/>
      <c r="D80" s="6"/>
      <c r="E80" s="6"/>
      <c r="F80" s="6"/>
      <c r="G80" s="6"/>
      <c r="H80" s="6"/>
      <c r="I80" s="6"/>
    </row>
    <row r="81" spans="1:9" hidden="1" x14ac:dyDescent="0.2">
      <c r="A81" s="8" t="s">
        <v>8</v>
      </c>
      <c r="B81" s="5"/>
      <c r="C81" s="74"/>
      <c r="D81" s="6"/>
      <c r="E81" s="6"/>
      <c r="F81" s="6"/>
      <c r="G81" s="6"/>
      <c r="H81" s="6"/>
      <c r="I81" s="6"/>
    </row>
    <row r="82" spans="1:9" hidden="1" x14ac:dyDescent="0.2">
      <c r="A82" s="8" t="s">
        <v>9</v>
      </c>
      <c r="B82" s="5"/>
      <c r="C82" s="74"/>
      <c r="D82" s="6"/>
      <c r="E82" s="6"/>
      <c r="F82" s="6"/>
      <c r="G82" s="6"/>
      <c r="H82" s="6"/>
      <c r="I82" s="6"/>
    </row>
    <row r="83" spans="1:9" x14ac:dyDescent="0.2">
      <c r="A83" s="312" t="s">
        <v>10</v>
      </c>
      <c r="B83" s="313"/>
      <c r="C83" s="313"/>
      <c r="D83" s="313"/>
      <c r="E83" s="314"/>
      <c r="F83" s="11">
        <f>SUM(F73:F82)</f>
        <v>4</v>
      </c>
      <c r="G83" s="11">
        <f>SUM(G73:G82)</f>
        <v>0</v>
      </c>
      <c r="H83" s="11">
        <f>SUM(H73:H82)</f>
        <v>23</v>
      </c>
      <c r="I83" s="11"/>
    </row>
    <row r="84" spans="1:9" s="25" customFormat="1" ht="18" x14ac:dyDescent="0.2">
      <c r="A84" s="324" t="s">
        <v>39</v>
      </c>
      <c r="B84" s="325"/>
      <c r="C84" s="325"/>
      <c r="D84" s="325"/>
      <c r="E84" s="326"/>
      <c r="F84" s="24">
        <f>F17+F28+F39+F50+F61+F72+F83</f>
        <v>27</v>
      </c>
      <c r="G84" s="24">
        <f>G17+G28+G39+G50+G61+G72+G83</f>
        <v>5</v>
      </c>
      <c r="H84" s="24">
        <f>H17+H28+H39+H50+H61+H72+H83</f>
        <v>173</v>
      </c>
      <c r="I84" s="24"/>
    </row>
    <row r="85" spans="1:9" ht="21.95" customHeight="1" x14ac:dyDescent="0.2">
      <c r="A85" s="319" t="s">
        <v>14</v>
      </c>
      <c r="B85" s="319"/>
      <c r="C85" s="319"/>
      <c r="D85" s="319"/>
      <c r="E85" s="319"/>
      <c r="F85" s="319"/>
      <c r="G85" s="319"/>
      <c r="H85" s="319"/>
      <c r="I85" s="319"/>
    </row>
    <row r="86" spans="1:9" s="53" customFormat="1" ht="20.100000000000001" customHeight="1" x14ac:dyDescent="0.2">
      <c r="A86" s="323" t="s">
        <v>86</v>
      </c>
      <c r="B86" s="323"/>
      <c r="C86" s="323"/>
      <c r="D86" s="323"/>
      <c r="E86" s="323"/>
      <c r="F86" s="50" t="str">
        <f>F2</f>
        <v>เมษายน</v>
      </c>
      <c r="G86" s="50" t="s">
        <v>87</v>
      </c>
      <c r="H86" s="51">
        <f>H2</f>
        <v>2569</v>
      </c>
      <c r="I86" s="52"/>
    </row>
    <row r="87" spans="1:9" s="3" customFormat="1" ht="20.100000000000001" customHeight="1" x14ac:dyDescent="0.35">
      <c r="A87" s="318" t="s">
        <v>36</v>
      </c>
      <c r="B87" s="318"/>
      <c r="C87" s="318"/>
      <c r="D87" s="2"/>
      <c r="F87" s="4"/>
      <c r="G87" s="4"/>
      <c r="H87" s="4" t="s">
        <v>21</v>
      </c>
      <c r="I87" s="40">
        <f>I3+1</f>
        <v>2</v>
      </c>
    </row>
    <row r="88" spans="1:9" s="3" customFormat="1" ht="20.100000000000001" customHeight="1" x14ac:dyDescent="0.35">
      <c r="A88" s="311" t="s">
        <v>79</v>
      </c>
      <c r="B88" s="311"/>
      <c r="C88" s="311"/>
      <c r="D88" s="2"/>
      <c r="E88" s="39" t="s">
        <v>81</v>
      </c>
      <c r="F88" s="308">
        <f>F4</f>
        <v>46107</v>
      </c>
      <c r="G88" s="308"/>
      <c r="H88" s="39" t="s">
        <v>82</v>
      </c>
      <c r="I88" s="34">
        <f>I4</f>
        <v>46136</v>
      </c>
    </row>
    <row r="89" spans="1:9" x14ac:dyDescent="0.2">
      <c r="A89" s="12" t="s">
        <v>23</v>
      </c>
      <c r="B89" s="13" t="s">
        <v>11</v>
      </c>
      <c r="C89" s="72" t="s">
        <v>26</v>
      </c>
      <c r="D89" s="12" t="s">
        <v>16</v>
      </c>
      <c r="E89" s="12" t="s">
        <v>17</v>
      </c>
      <c r="F89" s="310" t="s">
        <v>46</v>
      </c>
      <c r="G89" s="310"/>
      <c r="H89" s="310"/>
      <c r="I89" s="12" t="s">
        <v>19</v>
      </c>
    </row>
    <row r="90" spans="1:9" x14ac:dyDescent="0.2">
      <c r="A90" s="15"/>
      <c r="B90" s="16"/>
      <c r="C90" s="73"/>
      <c r="D90" s="15"/>
      <c r="E90" s="15"/>
      <c r="F90" s="21" t="s">
        <v>113</v>
      </c>
      <c r="G90" s="21" t="s">
        <v>114</v>
      </c>
      <c r="H90" s="21" t="s">
        <v>20</v>
      </c>
      <c r="I90" s="15"/>
    </row>
    <row r="91" spans="1:9" x14ac:dyDescent="0.2">
      <c r="A91" s="8" t="s">
        <v>0</v>
      </c>
      <c r="B91" s="5">
        <f>B73+1</f>
        <v>46114</v>
      </c>
      <c r="C91" s="74" t="s">
        <v>681</v>
      </c>
      <c r="D91" s="6" t="s">
        <v>206</v>
      </c>
      <c r="E91" s="6" t="s">
        <v>632</v>
      </c>
      <c r="F91" s="6">
        <v>1</v>
      </c>
      <c r="G91" s="6"/>
      <c r="H91" s="6">
        <v>6</v>
      </c>
      <c r="I91" s="6"/>
    </row>
    <row r="92" spans="1:9" x14ac:dyDescent="0.2">
      <c r="A92" s="8" t="s">
        <v>1</v>
      </c>
      <c r="B92" s="5"/>
      <c r="C92" s="74" t="s">
        <v>682</v>
      </c>
      <c r="D92" s="6" t="s">
        <v>206</v>
      </c>
      <c r="E92" s="6" t="s">
        <v>632</v>
      </c>
      <c r="F92" s="6">
        <v>1</v>
      </c>
      <c r="G92" s="6"/>
      <c r="H92" s="6">
        <v>6</v>
      </c>
      <c r="I92" s="6"/>
    </row>
    <row r="93" spans="1:9" x14ac:dyDescent="0.2">
      <c r="A93" s="8" t="s">
        <v>2</v>
      </c>
      <c r="B93" s="5"/>
      <c r="C93" s="74" t="s">
        <v>683</v>
      </c>
      <c r="D93" s="6" t="s">
        <v>206</v>
      </c>
      <c r="E93" s="6" t="s">
        <v>632</v>
      </c>
      <c r="F93" s="6">
        <v>1</v>
      </c>
      <c r="G93" s="6"/>
      <c r="H93" s="6">
        <v>5</v>
      </c>
      <c r="I93" s="6"/>
    </row>
    <row r="94" spans="1:9" x14ac:dyDescent="0.2">
      <c r="A94" s="8" t="s">
        <v>3</v>
      </c>
      <c r="B94" s="5"/>
      <c r="C94" s="74" t="s">
        <v>684</v>
      </c>
      <c r="D94" s="6" t="s">
        <v>170</v>
      </c>
      <c r="E94" s="6" t="s">
        <v>171</v>
      </c>
      <c r="F94" s="6">
        <v>1</v>
      </c>
      <c r="G94" s="6"/>
      <c r="H94" s="6">
        <v>6</v>
      </c>
      <c r="I94" s="6"/>
    </row>
    <row r="95" spans="1:9" x14ac:dyDescent="0.2">
      <c r="A95" s="8" t="s">
        <v>4</v>
      </c>
      <c r="B95" s="5"/>
      <c r="C95" s="74" t="s">
        <v>685</v>
      </c>
      <c r="D95" s="6" t="s">
        <v>347</v>
      </c>
      <c r="E95" s="6" t="s">
        <v>441</v>
      </c>
      <c r="F95" s="6">
        <v>1</v>
      </c>
      <c r="G95" s="6"/>
      <c r="H95" s="6">
        <v>3</v>
      </c>
      <c r="I95" s="6"/>
    </row>
    <row r="96" spans="1:9" x14ac:dyDescent="0.2">
      <c r="A96" s="8" t="s">
        <v>5</v>
      </c>
      <c r="B96" s="5"/>
      <c r="C96" s="74" t="s">
        <v>686</v>
      </c>
      <c r="D96" s="6" t="s">
        <v>170</v>
      </c>
      <c r="E96" s="6" t="s">
        <v>171</v>
      </c>
      <c r="F96" s="6">
        <v>1</v>
      </c>
      <c r="G96" s="6"/>
      <c r="H96" s="6">
        <v>6</v>
      </c>
      <c r="I96" s="6"/>
    </row>
    <row r="97" spans="1:9" x14ac:dyDescent="0.2">
      <c r="A97" s="8" t="s">
        <v>6</v>
      </c>
      <c r="B97" s="5"/>
      <c r="C97" s="74" t="s">
        <v>687</v>
      </c>
      <c r="D97" s="6" t="s">
        <v>170</v>
      </c>
      <c r="E97" s="6" t="s">
        <v>171</v>
      </c>
      <c r="F97" s="6"/>
      <c r="G97" s="6">
        <v>1</v>
      </c>
      <c r="H97" s="6">
        <v>6</v>
      </c>
      <c r="I97" s="6"/>
    </row>
    <row r="98" spans="1:9" x14ac:dyDescent="0.2">
      <c r="A98" s="8" t="s">
        <v>7</v>
      </c>
      <c r="B98" s="5"/>
      <c r="C98" s="74" t="s">
        <v>688</v>
      </c>
      <c r="D98" s="6" t="s">
        <v>276</v>
      </c>
      <c r="E98" s="6" t="s">
        <v>168</v>
      </c>
      <c r="F98" s="6"/>
      <c r="G98" s="6">
        <v>1</v>
      </c>
      <c r="H98" s="6">
        <v>3</v>
      </c>
      <c r="I98" s="6"/>
    </row>
    <row r="99" spans="1:9" hidden="1" x14ac:dyDescent="0.2">
      <c r="A99" s="8" t="s">
        <v>8</v>
      </c>
      <c r="B99" s="5"/>
      <c r="C99" s="74"/>
      <c r="D99" s="6"/>
      <c r="E99" s="6"/>
      <c r="F99" s="6"/>
      <c r="G99" s="6"/>
      <c r="H99" s="6"/>
      <c r="I99" s="6"/>
    </row>
    <row r="100" spans="1:9" hidden="1" x14ac:dyDescent="0.2">
      <c r="A100" s="8" t="s">
        <v>9</v>
      </c>
      <c r="B100" s="5"/>
      <c r="C100" s="74"/>
      <c r="D100" s="6"/>
      <c r="E100" s="6"/>
      <c r="F100" s="6"/>
      <c r="G100" s="6"/>
      <c r="H100" s="6"/>
      <c r="I100" s="6"/>
    </row>
    <row r="101" spans="1:9" x14ac:dyDescent="0.2">
      <c r="A101" s="312" t="s">
        <v>10</v>
      </c>
      <c r="B101" s="313"/>
      <c r="C101" s="313"/>
      <c r="D101" s="313"/>
      <c r="E101" s="314"/>
      <c r="F101" s="11">
        <f>SUM(F91:F100)</f>
        <v>6</v>
      </c>
      <c r="G101" s="11">
        <f>SUM(G91:G100)</f>
        <v>2</v>
      </c>
      <c r="H101" s="11">
        <f>SUM(H91:H100)</f>
        <v>41</v>
      </c>
      <c r="I101" s="11"/>
    </row>
    <row r="102" spans="1:9" x14ac:dyDescent="0.2">
      <c r="A102" s="8" t="s">
        <v>0</v>
      </c>
      <c r="B102" s="5">
        <f>B91+1</f>
        <v>46115</v>
      </c>
      <c r="C102" s="74" t="s">
        <v>775</v>
      </c>
      <c r="D102" s="6" t="s">
        <v>342</v>
      </c>
      <c r="E102" s="6" t="s">
        <v>165</v>
      </c>
      <c r="F102" s="6">
        <v>1</v>
      </c>
      <c r="G102" s="6"/>
      <c r="H102" s="6">
        <v>6</v>
      </c>
      <c r="I102" s="6"/>
    </row>
    <row r="103" spans="1:9" x14ac:dyDescent="0.2">
      <c r="A103" s="8" t="s">
        <v>1</v>
      </c>
      <c r="B103" s="5"/>
      <c r="C103" s="74" t="s">
        <v>776</v>
      </c>
      <c r="D103" s="6" t="s">
        <v>342</v>
      </c>
      <c r="E103" s="6" t="s">
        <v>165</v>
      </c>
      <c r="F103" s="6">
        <v>1</v>
      </c>
      <c r="G103" s="6"/>
      <c r="H103" s="6">
        <v>6</v>
      </c>
      <c r="I103" s="6"/>
    </row>
    <row r="104" spans="1:9" x14ac:dyDescent="0.2">
      <c r="A104" s="8" t="s">
        <v>2</v>
      </c>
      <c r="B104" s="5"/>
      <c r="C104" s="74" t="s">
        <v>778</v>
      </c>
      <c r="D104" s="6" t="s">
        <v>342</v>
      </c>
      <c r="E104" s="6" t="s">
        <v>165</v>
      </c>
      <c r="F104" s="6">
        <v>1</v>
      </c>
      <c r="G104" s="6"/>
      <c r="H104" s="6">
        <v>6</v>
      </c>
      <c r="I104" s="6"/>
    </row>
    <row r="105" spans="1:9" x14ac:dyDescent="0.2">
      <c r="A105" s="8" t="s">
        <v>3</v>
      </c>
      <c r="B105" s="5"/>
      <c r="C105" s="74" t="s">
        <v>779</v>
      </c>
      <c r="D105" s="6" t="s">
        <v>170</v>
      </c>
      <c r="E105" s="6" t="s">
        <v>171</v>
      </c>
      <c r="F105" s="6">
        <v>1</v>
      </c>
      <c r="G105" s="6"/>
      <c r="H105" s="6">
        <v>6</v>
      </c>
      <c r="I105" s="6"/>
    </row>
    <row r="106" spans="1:9" x14ac:dyDescent="0.2">
      <c r="A106" s="8" t="s">
        <v>4</v>
      </c>
      <c r="B106" s="5"/>
      <c r="C106" s="74" t="s">
        <v>768</v>
      </c>
      <c r="D106" s="6" t="s">
        <v>170</v>
      </c>
      <c r="E106" s="6" t="s">
        <v>171</v>
      </c>
      <c r="F106" s="6">
        <v>1</v>
      </c>
      <c r="G106" s="6"/>
      <c r="H106" s="6">
        <v>6</v>
      </c>
      <c r="I106" s="6"/>
    </row>
    <row r="107" spans="1:9" x14ac:dyDescent="0.2">
      <c r="A107" s="8" t="s">
        <v>5</v>
      </c>
      <c r="B107" s="5"/>
      <c r="C107" s="74" t="s">
        <v>780</v>
      </c>
      <c r="D107" s="6" t="s">
        <v>170</v>
      </c>
      <c r="E107" s="6" t="s">
        <v>171</v>
      </c>
      <c r="F107" s="6">
        <v>1</v>
      </c>
      <c r="G107" s="6"/>
      <c r="H107" s="6">
        <v>6</v>
      </c>
      <c r="I107" s="6"/>
    </row>
    <row r="108" spans="1:9" x14ac:dyDescent="0.2">
      <c r="A108" s="8" t="s">
        <v>6</v>
      </c>
      <c r="B108" s="5"/>
      <c r="C108" s="74" t="s">
        <v>781</v>
      </c>
      <c r="D108" s="6" t="s">
        <v>170</v>
      </c>
      <c r="E108" s="6" t="s">
        <v>171</v>
      </c>
      <c r="F108" s="6"/>
      <c r="G108" s="6">
        <v>1</v>
      </c>
      <c r="H108" s="6">
        <v>6</v>
      </c>
      <c r="I108" s="6"/>
    </row>
    <row r="109" spans="1:9" x14ac:dyDescent="0.2">
      <c r="A109" s="8" t="s">
        <v>7</v>
      </c>
      <c r="B109" s="5"/>
      <c r="C109" s="74" t="s">
        <v>782</v>
      </c>
      <c r="D109" s="6" t="s">
        <v>170</v>
      </c>
      <c r="E109" s="6" t="s">
        <v>171</v>
      </c>
      <c r="F109" s="6"/>
      <c r="G109" s="6">
        <v>1</v>
      </c>
      <c r="H109" s="6">
        <v>6</v>
      </c>
      <c r="I109" s="6"/>
    </row>
    <row r="110" spans="1:9" x14ac:dyDescent="0.2">
      <c r="A110" s="8" t="s">
        <v>8</v>
      </c>
      <c r="B110" s="5"/>
      <c r="C110" s="74" t="s">
        <v>783</v>
      </c>
      <c r="D110" s="6" t="s">
        <v>170</v>
      </c>
      <c r="E110" s="6" t="s">
        <v>171</v>
      </c>
      <c r="F110" s="6"/>
      <c r="G110" s="6">
        <v>1</v>
      </c>
      <c r="H110" s="6">
        <v>6</v>
      </c>
      <c r="I110" s="6"/>
    </row>
    <row r="111" spans="1:9" hidden="1" x14ac:dyDescent="0.2">
      <c r="A111" s="8" t="s">
        <v>9</v>
      </c>
      <c r="B111" s="5"/>
      <c r="C111" s="74"/>
      <c r="D111" s="6"/>
      <c r="E111" s="6"/>
      <c r="F111" s="6"/>
      <c r="G111" s="6"/>
      <c r="H111" s="6"/>
      <c r="I111" s="6"/>
    </row>
    <row r="112" spans="1:9" x14ac:dyDescent="0.2">
      <c r="A112" s="312" t="s">
        <v>10</v>
      </c>
      <c r="B112" s="313"/>
      <c r="C112" s="313"/>
      <c r="D112" s="313"/>
      <c r="E112" s="314"/>
      <c r="F112" s="11">
        <f>SUM(F102:F111)</f>
        <v>6</v>
      </c>
      <c r="G112" s="11">
        <f>SUM(G102:G111)</f>
        <v>3</v>
      </c>
      <c r="H112" s="11">
        <f>SUM(H102:H111)</f>
        <v>54</v>
      </c>
      <c r="I112" s="11"/>
    </row>
    <row r="113" spans="1:9" x14ac:dyDescent="0.2">
      <c r="A113" s="8" t="s">
        <v>0</v>
      </c>
      <c r="B113" s="5">
        <f>B102+1</f>
        <v>46116</v>
      </c>
      <c r="C113" s="74" t="s">
        <v>840</v>
      </c>
      <c r="D113" s="6" t="s">
        <v>188</v>
      </c>
      <c r="E113" s="6" t="s">
        <v>165</v>
      </c>
      <c r="F113" s="6">
        <v>1</v>
      </c>
      <c r="G113" s="6"/>
      <c r="H113" s="6">
        <v>6</v>
      </c>
      <c r="I113" s="6"/>
    </row>
    <row r="114" spans="1:9" x14ac:dyDescent="0.2">
      <c r="A114" s="8" t="s">
        <v>1</v>
      </c>
      <c r="B114" s="5"/>
      <c r="C114" s="74" t="s">
        <v>841</v>
      </c>
      <c r="D114" s="6" t="s">
        <v>820</v>
      </c>
      <c r="E114" s="6" t="s">
        <v>168</v>
      </c>
      <c r="F114" s="6">
        <v>1</v>
      </c>
      <c r="G114" s="6"/>
      <c r="H114" s="6">
        <v>3</v>
      </c>
      <c r="I114" s="6"/>
    </row>
    <row r="115" spans="1:9" x14ac:dyDescent="0.2">
      <c r="A115" s="8" t="s">
        <v>2</v>
      </c>
      <c r="B115" s="5"/>
      <c r="C115" s="74" t="s">
        <v>842</v>
      </c>
      <c r="D115" s="6" t="s">
        <v>173</v>
      </c>
      <c r="E115" s="6" t="s">
        <v>544</v>
      </c>
      <c r="F115" s="6">
        <v>1</v>
      </c>
      <c r="G115" s="6"/>
      <c r="H115" s="6">
        <v>6</v>
      </c>
      <c r="I115" s="6"/>
    </row>
    <row r="116" spans="1:9" x14ac:dyDescent="0.2">
      <c r="A116" s="8" t="s">
        <v>3</v>
      </c>
      <c r="B116" s="5"/>
      <c r="C116" s="74" t="s">
        <v>844</v>
      </c>
      <c r="D116" s="6" t="s">
        <v>211</v>
      </c>
      <c r="E116" s="6" t="s">
        <v>184</v>
      </c>
      <c r="F116" s="6">
        <v>1</v>
      </c>
      <c r="G116" s="6"/>
      <c r="H116" s="6">
        <v>2.5</v>
      </c>
      <c r="I116" s="6"/>
    </row>
    <row r="117" spans="1:9" x14ac:dyDescent="0.2">
      <c r="A117" s="8" t="s">
        <v>4</v>
      </c>
      <c r="B117" s="5"/>
      <c r="C117" s="74" t="s">
        <v>845</v>
      </c>
      <c r="D117" s="6" t="s">
        <v>371</v>
      </c>
      <c r="E117" s="6" t="s">
        <v>190</v>
      </c>
      <c r="F117" s="6"/>
      <c r="G117" s="6">
        <v>1</v>
      </c>
      <c r="H117" s="6">
        <v>5</v>
      </c>
      <c r="I117" s="6"/>
    </row>
    <row r="118" spans="1:9" hidden="1" x14ac:dyDescent="0.2">
      <c r="A118" s="8" t="s">
        <v>5</v>
      </c>
      <c r="B118" s="5"/>
      <c r="C118" s="74"/>
      <c r="D118" s="6"/>
      <c r="E118" s="6"/>
      <c r="F118" s="6"/>
      <c r="G118" s="6"/>
      <c r="H118" s="6"/>
      <c r="I118" s="6"/>
    </row>
    <row r="119" spans="1:9" hidden="1" x14ac:dyDescent="0.2">
      <c r="A119" s="8" t="s">
        <v>6</v>
      </c>
      <c r="B119" s="5"/>
      <c r="C119" s="74"/>
      <c r="D119" s="6"/>
      <c r="E119" s="6"/>
      <c r="F119" s="6"/>
      <c r="G119" s="6"/>
      <c r="H119" s="6"/>
      <c r="I119" s="6"/>
    </row>
    <row r="120" spans="1:9" hidden="1" x14ac:dyDescent="0.2">
      <c r="A120" s="8" t="s">
        <v>7</v>
      </c>
      <c r="B120" s="5"/>
      <c r="C120" s="74"/>
      <c r="D120" s="6"/>
      <c r="E120" s="6"/>
      <c r="F120" s="6"/>
      <c r="G120" s="6"/>
      <c r="H120" s="6"/>
      <c r="I120" s="6"/>
    </row>
    <row r="121" spans="1:9" hidden="1" x14ac:dyDescent="0.2">
      <c r="A121" s="8" t="s">
        <v>8</v>
      </c>
      <c r="B121" s="5"/>
      <c r="C121" s="74"/>
      <c r="D121" s="6"/>
      <c r="E121" s="6"/>
      <c r="F121" s="6"/>
      <c r="G121" s="6"/>
      <c r="H121" s="6"/>
      <c r="I121" s="6"/>
    </row>
    <row r="122" spans="1:9" hidden="1" x14ac:dyDescent="0.2">
      <c r="A122" s="8" t="s">
        <v>9</v>
      </c>
      <c r="B122" s="5"/>
      <c r="C122" s="74"/>
      <c r="D122" s="6"/>
      <c r="E122" s="6"/>
      <c r="F122" s="6"/>
      <c r="G122" s="6"/>
      <c r="H122" s="6"/>
      <c r="I122" s="6"/>
    </row>
    <row r="123" spans="1:9" x14ac:dyDescent="0.2">
      <c r="A123" s="312" t="s">
        <v>10</v>
      </c>
      <c r="B123" s="313"/>
      <c r="C123" s="313"/>
      <c r="D123" s="313"/>
      <c r="E123" s="314"/>
      <c r="F123" s="11">
        <f>SUM(F113:F122)</f>
        <v>4</v>
      </c>
      <c r="G123" s="11">
        <f>SUM(G113:G122)</f>
        <v>1</v>
      </c>
      <c r="H123" s="11">
        <f>SUM(H113:H122)</f>
        <v>22.5</v>
      </c>
      <c r="I123" s="11"/>
    </row>
    <row r="124" spans="1:9" x14ac:dyDescent="0.2">
      <c r="A124" s="8" t="s">
        <v>0</v>
      </c>
      <c r="B124" s="5">
        <f>B113+1</f>
        <v>46117</v>
      </c>
      <c r="C124" s="75" t="s">
        <v>893</v>
      </c>
      <c r="D124" s="6" t="s">
        <v>188</v>
      </c>
      <c r="E124" s="6" t="s">
        <v>165</v>
      </c>
      <c r="F124" s="6">
        <v>1</v>
      </c>
      <c r="G124" s="6"/>
      <c r="H124" s="6">
        <v>5</v>
      </c>
      <c r="I124" s="6"/>
    </row>
    <row r="125" spans="1:9" x14ac:dyDescent="0.2">
      <c r="A125" s="8" t="s">
        <v>1</v>
      </c>
      <c r="B125" s="5"/>
      <c r="C125" s="75" t="s">
        <v>894</v>
      </c>
      <c r="D125" s="6" t="s">
        <v>170</v>
      </c>
      <c r="E125" s="6" t="s">
        <v>171</v>
      </c>
      <c r="F125" s="6">
        <v>1</v>
      </c>
      <c r="G125" s="6"/>
      <c r="H125" s="6">
        <v>6</v>
      </c>
      <c r="I125" s="6"/>
    </row>
    <row r="126" spans="1:9" x14ac:dyDescent="0.2">
      <c r="A126" s="8" t="s">
        <v>2</v>
      </c>
      <c r="B126" s="5"/>
      <c r="C126" s="75" t="s">
        <v>895</v>
      </c>
      <c r="D126" s="6" t="s">
        <v>170</v>
      </c>
      <c r="E126" s="6" t="s">
        <v>171</v>
      </c>
      <c r="F126" s="6">
        <v>1</v>
      </c>
      <c r="G126" s="6"/>
      <c r="H126" s="6">
        <v>6</v>
      </c>
      <c r="I126" s="6"/>
    </row>
    <row r="127" spans="1:9" x14ac:dyDescent="0.2">
      <c r="A127" s="8" t="s">
        <v>3</v>
      </c>
      <c r="B127" s="5"/>
      <c r="C127" s="75" t="s">
        <v>896</v>
      </c>
      <c r="D127" s="6" t="s">
        <v>170</v>
      </c>
      <c r="E127" s="6" t="s">
        <v>171</v>
      </c>
      <c r="F127" s="6">
        <v>1</v>
      </c>
      <c r="G127" s="6"/>
      <c r="H127" s="6">
        <v>6</v>
      </c>
      <c r="I127" s="6"/>
    </row>
    <row r="128" spans="1:9" x14ac:dyDescent="0.2">
      <c r="A128" s="8" t="s">
        <v>4</v>
      </c>
      <c r="B128" s="5"/>
      <c r="C128" s="75" t="s">
        <v>897</v>
      </c>
      <c r="D128" s="6" t="s">
        <v>170</v>
      </c>
      <c r="E128" s="6" t="s">
        <v>171</v>
      </c>
      <c r="F128" s="6"/>
      <c r="G128" s="6">
        <v>1</v>
      </c>
      <c r="H128" s="6">
        <v>6</v>
      </c>
      <c r="I128" s="6"/>
    </row>
    <row r="129" spans="1:9" hidden="1" x14ac:dyDescent="0.2">
      <c r="A129" s="8" t="s">
        <v>5</v>
      </c>
      <c r="B129" s="5"/>
      <c r="C129" s="75"/>
      <c r="D129" s="6"/>
      <c r="E129" s="6"/>
      <c r="F129" s="6"/>
      <c r="G129" s="6"/>
      <c r="H129" s="6"/>
      <c r="I129" s="6"/>
    </row>
    <row r="130" spans="1:9" hidden="1" x14ac:dyDescent="0.2">
      <c r="A130" s="8" t="s">
        <v>6</v>
      </c>
      <c r="B130" s="5"/>
      <c r="C130" s="75"/>
      <c r="D130" s="6"/>
      <c r="E130" s="6"/>
      <c r="F130" s="6"/>
      <c r="G130" s="6"/>
      <c r="H130" s="6"/>
      <c r="I130" s="6"/>
    </row>
    <row r="131" spans="1:9" hidden="1" x14ac:dyDescent="0.2">
      <c r="A131" s="8" t="s">
        <v>7</v>
      </c>
      <c r="B131" s="5"/>
      <c r="C131" s="74"/>
      <c r="D131" s="6"/>
      <c r="E131" s="6"/>
      <c r="F131" s="6"/>
      <c r="G131" s="6"/>
      <c r="H131" s="6"/>
      <c r="I131" s="6"/>
    </row>
    <row r="132" spans="1:9" hidden="1" x14ac:dyDescent="0.2">
      <c r="A132" s="8" t="s">
        <v>8</v>
      </c>
      <c r="B132" s="5"/>
      <c r="C132" s="74"/>
      <c r="D132" s="6"/>
      <c r="E132" s="6"/>
      <c r="F132" s="6"/>
      <c r="G132" s="6"/>
      <c r="H132" s="6"/>
      <c r="I132" s="6"/>
    </row>
    <row r="133" spans="1:9" hidden="1" x14ac:dyDescent="0.2">
      <c r="A133" s="8" t="s">
        <v>9</v>
      </c>
      <c r="B133" s="5"/>
      <c r="C133" s="74"/>
      <c r="D133" s="6"/>
      <c r="E133" s="6"/>
      <c r="F133" s="6"/>
      <c r="G133" s="6"/>
      <c r="H133" s="6"/>
      <c r="I133" s="6"/>
    </row>
    <row r="134" spans="1:9" x14ac:dyDescent="0.2">
      <c r="A134" s="312" t="s">
        <v>10</v>
      </c>
      <c r="B134" s="313"/>
      <c r="C134" s="313"/>
      <c r="D134" s="313"/>
      <c r="E134" s="314"/>
      <c r="F134" s="11">
        <f>SUM(F124:F133)</f>
        <v>4</v>
      </c>
      <c r="G134" s="11">
        <f>SUM(G124:G133)</f>
        <v>1</v>
      </c>
      <c r="H134" s="11">
        <f>SUM(H124:H133)</f>
        <v>29</v>
      </c>
      <c r="I134" s="11"/>
    </row>
    <row r="135" spans="1:9" x14ac:dyDescent="0.2">
      <c r="A135" s="8" t="s">
        <v>0</v>
      </c>
      <c r="B135" s="5">
        <f>B124+1</f>
        <v>46118</v>
      </c>
      <c r="C135" s="75" t="s">
        <v>966</v>
      </c>
      <c r="D135" s="6" t="s">
        <v>242</v>
      </c>
      <c r="E135" s="6" t="s">
        <v>184</v>
      </c>
      <c r="F135" s="6">
        <v>1</v>
      </c>
      <c r="G135" s="6"/>
      <c r="H135" s="6">
        <v>1</v>
      </c>
      <c r="I135" s="6"/>
    </row>
    <row r="136" spans="1:9" x14ac:dyDescent="0.2">
      <c r="A136" s="8" t="s">
        <v>1</v>
      </c>
      <c r="B136" s="5"/>
      <c r="C136" s="75" t="s">
        <v>967</v>
      </c>
      <c r="D136" s="6" t="s">
        <v>347</v>
      </c>
      <c r="E136" s="6" t="s">
        <v>441</v>
      </c>
      <c r="F136" s="6">
        <v>1</v>
      </c>
      <c r="G136" s="6"/>
      <c r="H136" s="6">
        <v>5</v>
      </c>
      <c r="I136" s="6"/>
    </row>
    <row r="137" spans="1:9" x14ac:dyDescent="0.2">
      <c r="A137" s="8" t="s">
        <v>2</v>
      </c>
      <c r="B137" s="5"/>
      <c r="C137" s="75" t="s">
        <v>968</v>
      </c>
      <c r="D137" s="6" t="s">
        <v>242</v>
      </c>
      <c r="E137" s="6" t="s">
        <v>171</v>
      </c>
      <c r="F137" s="6">
        <v>1</v>
      </c>
      <c r="G137" s="6"/>
      <c r="H137" s="6">
        <v>6</v>
      </c>
      <c r="I137" s="6"/>
    </row>
    <row r="138" spans="1:9" x14ac:dyDescent="0.2">
      <c r="A138" s="8" t="s">
        <v>3</v>
      </c>
      <c r="B138" s="5"/>
      <c r="C138" s="75" t="s">
        <v>969</v>
      </c>
      <c r="D138" s="6" t="s">
        <v>242</v>
      </c>
      <c r="E138" s="6" t="s">
        <v>171</v>
      </c>
      <c r="F138" s="6">
        <v>1</v>
      </c>
      <c r="G138" s="6"/>
      <c r="H138" s="6">
        <v>6</v>
      </c>
      <c r="I138" s="6"/>
    </row>
    <row r="139" spans="1:9" x14ac:dyDescent="0.2">
      <c r="A139" s="8" t="s">
        <v>4</v>
      </c>
      <c r="B139" s="5"/>
      <c r="C139" s="75" t="s">
        <v>970</v>
      </c>
      <c r="D139" s="6" t="s">
        <v>170</v>
      </c>
      <c r="E139" s="6" t="s">
        <v>171</v>
      </c>
      <c r="F139" s="6"/>
      <c r="G139" s="6">
        <v>1</v>
      </c>
      <c r="H139" s="6">
        <v>6</v>
      </c>
      <c r="I139" s="6"/>
    </row>
    <row r="140" spans="1:9" x14ac:dyDescent="0.2">
      <c r="A140" s="8" t="s">
        <v>5</v>
      </c>
      <c r="B140" s="5"/>
      <c r="C140" s="75" t="s">
        <v>971</v>
      </c>
      <c r="D140" s="6" t="s">
        <v>242</v>
      </c>
      <c r="E140" s="6" t="s">
        <v>171</v>
      </c>
      <c r="F140" s="6"/>
      <c r="G140" s="6">
        <v>1</v>
      </c>
      <c r="H140" s="6">
        <v>3</v>
      </c>
      <c r="I140" s="6"/>
    </row>
    <row r="141" spans="1:9" x14ac:dyDescent="0.2">
      <c r="A141" s="8" t="s">
        <v>6</v>
      </c>
      <c r="B141" s="5"/>
      <c r="C141" s="74" t="s">
        <v>972</v>
      </c>
      <c r="D141" s="6" t="s">
        <v>170</v>
      </c>
      <c r="E141" s="6" t="s">
        <v>171</v>
      </c>
      <c r="F141" s="6"/>
      <c r="G141" s="6">
        <v>1</v>
      </c>
      <c r="H141" s="6">
        <v>6</v>
      </c>
      <c r="I141" s="6"/>
    </row>
    <row r="142" spans="1:9" x14ac:dyDescent="0.2">
      <c r="A142" s="8" t="s">
        <v>7</v>
      </c>
      <c r="B142" s="5"/>
      <c r="C142" s="74" t="s">
        <v>973</v>
      </c>
      <c r="D142" s="6" t="s">
        <v>170</v>
      </c>
      <c r="E142" s="6" t="s">
        <v>171</v>
      </c>
      <c r="F142" s="6"/>
      <c r="G142" s="6">
        <v>1</v>
      </c>
      <c r="H142" s="6">
        <v>6</v>
      </c>
      <c r="I142" s="6"/>
    </row>
    <row r="143" spans="1:9" hidden="1" x14ac:dyDescent="0.2">
      <c r="A143" s="8" t="s">
        <v>8</v>
      </c>
      <c r="B143" s="5"/>
      <c r="C143" s="74"/>
      <c r="D143" s="6"/>
      <c r="E143" s="6"/>
      <c r="F143" s="6"/>
      <c r="G143" s="6"/>
      <c r="H143" s="6"/>
      <c r="I143" s="6"/>
    </row>
    <row r="144" spans="1:9" hidden="1" x14ac:dyDescent="0.2">
      <c r="A144" s="8" t="s">
        <v>9</v>
      </c>
      <c r="B144" s="5"/>
      <c r="C144" s="74"/>
      <c r="D144" s="6"/>
      <c r="E144" s="6"/>
      <c r="F144" s="6"/>
      <c r="G144" s="6"/>
      <c r="H144" s="6"/>
      <c r="I144" s="6"/>
    </row>
    <row r="145" spans="1:9" x14ac:dyDescent="0.2">
      <c r="A145" s="312" t="s">
        <v>10</v>
      </c>
      <c r="B145" s="313"/>
      <c r="C145" s="313"/>
      <c r="D145" s="313"/>
      <c r="E145" s="314"/>
      <c r="F145" s="11">
        <f>SUM(F135:F144)</f>
        <v>4</v>
      </c>
      <c r="G145" s="11">
        <f>SUM(G135:G144)</f>
        <v>4</v>
      </c>
      <c r="H145" s="11">
        <f>SUM(H135:H144)</f>
        <v>39</v>
      </c>
      <c r="I145" s="11"/>
    </row>
    <row r="146" spans="1:9" x14ac:dyDescent="0.2">
      <c r="A146" s="8" t="s">
        <v>0</v>
      </c>
      <c r="B146" s="5">
        <f>B135+1</f>
        <v>46119</v>
      </c>
      <c r="C146" s="75" t="s">
        <v>1037</v>
      </c>
      <c r="D146" s="6" t="s">
        <v>173</v>
      </c>
      <c r="E146" s="6" t="s">
        <v>441</v>
      </c>
      <c r="F146" s="6">
        <v>1</v>
      </c>
      <c r="G146" s="6"/>
      <c r="H146" s="6">
        <v>6</v>
      </c>
      <c r="I146" s="6"/>
    </row>
    <row r="147" spans="1:9" x14ac:dyDescent="0.2">
      <c r="A147" s="8" t="s">
        <v>1</v>
      </c>
      <c r="B147" s="5"/>
      <c r="C147" s="75" t="s">
        <v>1038</v>
      </c>
      <c r="D147" s="6" t="s">
        <v>211</v>
      </c>
      <c r="E147" s="6" t="s">
        <v>171</v>
      </c>
      <c r="F147" s="6">
        <v>1</v>
      </c>
      <c r="G147" s="6"/>
      <c r="H147" s="6">
        <v>6</v>
      </c>
      <c r="I147" s="6"/>
    </row>
    <row r="148" spans="1:9" x14ac:dyDescent="0.2">
      <c r="A148" s="8" t="s">
        <v>2</v>
      </c>
      <c r="B148" s="5"/>
      <c r="C148" s="75" t="s">
        <v>1039</v>
      </c>
      <c r="D148" s="6" t="s">
        <v>332</v>
      </c>
      <c r="E148" s="6" t="s">
        <v>216</v>
      </c>
      <c r="F148" s="6">
        <v>1</v>
      </c>
      <c r="G148" s="6"/>
      <c r="H148" s="6">
        <v>4.5</v>
      </c>
      <c r="I148" s="6"/>
    </row>
    <row r="149" spans="1:9" x14ac:dyDescent="0.2">
      <c r="A149" s="8" t="s">
        <v>3</v>
      </c>
      <c r="B149" s="5"/>
      <c r="C149" s="75" t="s">
        <v>1040</v>
      </c>
      <c r="D149" s="6" t="s">
        <v>342</v>
      </c>
      <c r="E149" s="6" t="s">
        <v>165</v>
      </c>
      <c r="F149" s="6">
        <v>1</v>
      </c>
      <c r="G149" s="6"/>
      <c r="H149" s="6">
        <v>6</v>
      </c>
      <c r="I149" s="6"/>
    </row>
    <row r="150" spans="1:9" x14ac:dyDescent="0.2">
      <c r="A150" s="8" t="s">
        <v>4</v>
      </c>
      <c r="B150" s="5"/>
      <c r="C150" s="75" t="s">
        <v>1041</v>
      </c>
      <c r="D150" s="6" t="s">
        <v>342</v>
      </c>
      <c r="E150" s="6" t="s">
        <v>165</v>
      </c>
      <c r="F150" s="6">
        <v>1</v>
      </c>
      <c r="G150" s="6"/>
      <c r="H150" s="6">
        <v>6</v>
      </c>
      <c r="I150" s="6"/>
    </row>
    <row r="151" spans="1:9" x14ac:dyDescent="0.2">
      <c r="A151" s="8" t="s">
        <v>5</v>
      </c>
      <c r="B151" s="5"/>
      <c r="C151" s="75" t="s">
        <v>1042</v>
      </c>
      <c r="D151" s="6" t="s">
        <v>347</v>
      </c>
      <c r="E151" s="6" t="s">
        <v>441</v>
      </c>
      <c r="F151" s="6"/>
      <c r="G151" s="6">
        <v>1</v>
      </c>
      <c r="H151" s="6">
        <v>5</v>
      </c>
      <c r="I151" s="6"/>
    </row>
    <row r="152" spans="1:9" hidden="1" x14ac:dyDescent="0.2">
      <c r="A152" s="8" t="s">
        <v>6</v>
      </c>
      <c r="B152" s="5"/>
      <c r="C152" s="75"/>
      <c r="D152" s="6"/>
      <c r="E152" s="6"/>
      <c r="F152" s="6"/>
      <c r="G152" s="6"/>
      <c r="H152" s="6"/>
      <c r="I152" s="6"/>
    </row>
    <row r="153" spans="1:9" hidden="1" x14ac:dyDescent="0.2">
      <c r="A153" s="8" t="s">
        <v>7</v>
      </c>
      <c r="B153" s="5"/>
      <c r="C153" s="75"/>
      <c r="D153" s="6"/>
      <c r="E153" s="6"/>
      <c r="F153" s="6"/>
      <c r="G153" s="6"/>
      <c r="H153" s="6"/>
      <c r="I153" s="6"/>
    </row>
    <row r="154" spans="1:9" hidden="1" x14ac:dyDescent="0.2">
      <c r="A154" s="8" t="s">
        <v>8</v>
      </c>
      <c r="B154" s="5"/>
      <c r="C154" s="75"/>
      <c r="D154" s="6"/>
      <c r="E154" s="6"/>
      <c r="F154" s="6"/>
      <c r="G154" s="6"/>
      <c r="H154" s="6"/>
      <c r="I154" s="6"/>
    </row>
    <row r="155" spans="1:9" hidden="1" x14ac:dyDescent="0.2">
      <c r="A155" s="8" t="s">
        <v>9</v>
      </c>
      <c r="B155" s="5"/>
      <c r="C155" s="75"/>
      <c r="D155" s="6"/>
      <c r="E155" s="6"/>
      <c r="F155" s="6"/>
      <c r="G155" s="6"/>
      <c r="H155" s="6"/>
      <c r="I155" s="6"/>
    </row>
    <row r="156" spans="1:9" x14ac:dyDescent="0.2">
      <c r="A156" s="312" t="s">
        <v>10</v>
      </c>
      <c r="B156" s="313"/>
      <c r="C156" s="313"/>
      <c r="D156" s="313"/>
      <c r="E156" s="314"/>
      <c r="F156" s="11">
        <f>SUM(F146:F155)</f>
        <v>5</v>
      </c>
      <c r="G156" s="11">
        <f>SUM(G146:G155)</f>
        <v>1</v>
      </c>
      <c r="H156" s="11">
        <f>SUM(H146:H155)</f>
        <v>33.5</v>
      </c>
      <c r="I156" s="11"/>
    </row>
    <row r="157" spans="1:9" x14ac:dyDescent="0.2">
      <c r="A157" s="8" t="s">
        <v>0</v>
      </c>
      <c r="B157" s="5">
        <f>B146+1</f>
        <v>46120</v>
      </c>
      <c r="C157" s="74" t="s">
        <v>1096</v>
      </c>
      <c r="D157" s="6" t="s">
        <v>428</v>
      </c>
      <c r="E157" s="6" t="s">
        <v>168</v>
      </c>
      <c r="F157" s="6">
        <v>1</v>
      </c>
      <c r="G157" s="6"/>
      <c r="H157" s="6">
        <v>3</v>
      </c>
      <c r="I157" s="6"/>
    </row>
    <row r="158" spans="1:9" x14ac:dyDescent="0.2">
      <c r="A158" s="8" t="s">
        <v>1</v>
      </c>
      <c r="B158" s="5"/>
      <c r="C158" s="74" t="s">
        <v>1097</v>
      </c>
      <c r="D158" s="6" t="s">
        <v>211</v>
      </c>
      <c r="E158" s="6" t="s">
        <v>165</v>
      </c>
      <c r="F158" s="6">
        <v>1</v>
      </c>
      <c r="G158" s="6"/>
      <c r="H158" s="6">
        <v>6</v>
      </c>
      <c r="I158" s="6"/>
    </row>
    <row r="159" spans="1:9" x14ac:dyDescent="0.2">
      <c r="A159" s="8" t="s">
        <v>2</v>
      </c>
      <c r="B159" s="5"/>
      <c r="C159" s="74" t="s">
        <v>1098</v>
      </c>
      <c r="D159" s="6" t="s">
        <v>170</v>
      </c>
      <c r="E159" s="6" t="s">
        <v>165</v>
      </c>
      <c r="F159" s="6"/>
      <c r="G159" s="6">
        <v>1</v>
      </c>
      <c r="H159" s="6">
        <v>4</v>
      </c>
      <c r="I159" s="6"/>
    </row>
    <row r="160" spans="1:9" hidden="1" x14ac:dyDescent="0.2">
      <c r="A160" s="8" t="s">
        <v>3</v>
      </c>
      <c r="B160" s="5"/>
      <c r="C160" s="74"/>
      <c r="D160" s="6"/>
      <c r="E160" s="6"/>
      <c r="F160" s="6"/>
      <c r="G160" s="6"/>
      <c r="H160" s="6"/>
      <c r="I160" s="6"/>
    </row>
    <row r="161" spans="1:9" hidden="1" x14ac:dyDescent="0.2">
      <c r="A161" s="8" t="s">
        <v>4</v>
      </c>
      <c r="B161" s="5"/>
      <c r="C161" s="74"/>
      <c r="D161" s="6"/>
      <c r="E161" s="6"/>
      <c r="F161" s="6"/>
      <c r="G161" s="6"/>
      <c r="H161" s="6"/>
      <c r="I161" s="6"/>
    </row>
    <row r="162" spans="1:9" hidden="1" x14ac:dyDescent="0.2">
      <c r="A162" s="8" t="s">
        <v>5</v>
      </c>
      <c r="B162" s="5"/>
      <c r="C162" s="74"/>
      <c r="D162" s="6"/>
      <c r="E162" s="6"/>
      <c r="F162" s="6"/>
      <c r="G162" s="6"/>
      <c r="H162" s="6"/>
      <c r="I162" s="6"/>
    </row>
    <row r="163" spans="1:9" hidden="1" x14ac:dyDescent="0.2">
      <c r="A163" s="8" t="s">
        <v>6</v>
      </c>
      <c r="B163" s="5"/>
      <c r="C163" s="74"/>
      <c r="D163" s="6"/>
      <c r="E163" s="6"/>
      <c r="F163" s="6"/>
      <c r="G163" s="6"/>
      <c r="H163" s="6"/>
      <c r="I163" s="6"/>
    </row>
    <row r="164" spans="1:9" hidden="1" x14ac:dyDescent="0.2">
      <c r="A164" s="8" t="s">
        <v>7</v>
      </c>
      <c r="B164" s="5"/>
      <c r="C164" s="74"/>
      <c r="D164" s="6"/>
      <c r="E164" s="6"/>
      <c r="F164" s="6"/>
      <c r="G164" s="6"/>
      <c r="H164" s="6"/>
      <c r="I164" s="6"/>
    </row>
    <row r="165" spans="1:9" hidden="1" x14ac:dyDescent="0.2">
      <c r="A165" s="8" t="s">
        <v>8</v>
      </c>
      <c r="B165" s="5"/>
      <c r="C165" s="74"/>
      <c r="D165" s="6"/>
      <c r="E165" s="6"/>
      <c r="F165" s="6"/>
      <c r="G165" s="6"/>
      <c r="H165" s="6"/>
      <c r="I165" s="6"/>
    </row>
    <row r="166" spans="1:9" hidden="1" x14ac:dyDescent="0.2">
      <c r="A166" s="8" t="s">
        <v>9</v>
      </c>
      <c r="B166" s="5"/>
      <c r="C166" s="74"/>
      <c r="D166" s="6"/>
      <c r="E166" s="6"/>
      <c r="F166" s="6"/>
      <c r="G166" s="6"/>
      <c r="H166" s="6"/>
      <c r="I166" s="6"/>
    </row>
    <row r="167" spans="1:9" x14ac:dyDescent="0.2">
      <c r="A167" s="312" t="s">
        <v>10</v>
      </c>
      <c r="B167" s="313"/>
      <c r="C167" s="313"/>
      <c r="D167" s="313"/>
      <c r="E167" s="314"/>
      <c r="F167" s="11">
        <f>SUM(F157:F166)</f>
        <v>2</v>
      </c>
      <c r="G167" s="11">
        <f>SUM(G157:G166)</f>
        <v>1</v>
      </c>
      <c r="H167" s="11">
        <f>SUM(H157:H166)</f>
        <v>13</v>
      </c>
      <c r="I167" s="11"/>
    </row>
    <row r="168" spans="1:9" s="25" customFormat="1" ht="18" x14ac:dyDescent="0.2">
      <c r="A168" s="315" t="s">
        <v>39</v>
      </c>
      <c r="B168" s="316"/>
      <c r="C168" s="316"/>
      <c r="D168" s="316"/>
      <c r="E168" s="317"/>
      <c r="F168" s="22">
        <f>F101+F112+F123+F134+F145+F156+F167+F84</f>
        <v>58</v>
      </c>
      <c r="G168" s="22">
        <f>G101+G112+G123+G134+G145+G156+G167+G84</f>
        <v>18</v>
      </c>
      <c r="H168" s="22">
        <f>H101+H112+H123+H134+H145+H156+H167+H84</f>
        <v>405</v>
      </c>
      <c r="I168" s="22"/>
    </row>
    <row r="169" spans="1:9" ht="21.95" customHeight="1" x14ac:dyDescent="0.2">
      <c r="A169" s="319" t="s">
        <v>14</v>
      </c>
      <c r="B169" s="319"/>
      <c r="C169" s="319"/>
      <c r="D169" s="319"/>
      <c r="E169" s="319"/>
      <c r="F169" s="319"/>
      <c r="G169" s="319"/>
      <c r="H169" s="319"/>
      <c r="I169" s="319"/>
    </row>
    <row r="170" spans="1:9" s="53" customFormat="1" ht="20.100000000000001" customHeight="1" x14ac:dyDescent="0.2">
      <c r="A170" s="323" t="s">
        <v>86</v>
      </c>
      <c r="B170" s="323"/>
      <c r="C170" s="323"/>
      <c r="D170" s="323"/>
      <c r="E170" s="323"/>
      <c r="F170" s="50" t="str">
        <f>F86</f>
        <v>เมษายน</v>
      </c>
      <c r="G170" s="50" t="s">
        <v>87</v>
      </c>
      <c r="H170" s="51">
        <f>H86</f>
        <v>2569</v>
      </c>
      <c r="I170" s="52"/>
    </row>
    <row r="171" spans="1:9" s="3" customFormat="1" ht="20.100000000000001" customHeight="1" x14ac:dyDescent="0.35">
      <c r="A171" s="318" t="s">
        <v>36</v>
      </c>
      <c r="B171" s="318"/>
      <c r="C171" s="318"/>
      <c r="D171" s="2"/>
      <c r="F171" s="4"/>
      <c r="G171" s="4"/>
      <c r="H171" s="4" t="s">
        <v>21</v>
      </c>
      <c r="I171" s="40">
        <f>I87+1</f>
        <v>3</v>
      </c>
    </row>
    <row r="172" spans="1:9" s="3" customFormat="1" ht="20.100000000000001" customHeight="1" x14ac:dyDescent="0.35">
      <c r="A172" s="311" t="s">
        <v>79</v>
      </c>
      <c r="B172" s="311"/>
      <c r="C172" s="311"/>
      <c r="D172" s="2"/>
      <c r="E172" s="39" t="s">
        <v>81</v>
      </c>
      <c r="F172" s="308">
        <f>F88</f>
        <v>46107</v>
      </c>
      <c r="G172" s="308"/>
      <c r="H172" s="39" t="s">
        <v>82</v>
      </c>
      <c r="I172" s="34">
        <f>I88</f>
        <v>46136</v>
      </c>
    </row>
    <row r="173" spans="1:9" x14ac:dyDescent="0.2">
      <c r="A173" s="12" t="s">
        <v>23</v>
      </c>
      <c r="B173" s="13" t="s">
        <v>11</v>
      </c>
      <c r="C173" s="72" t="s">
        <v>26</v>
      </c>
      <c r="D173" s="12" t="s">
        <v>16</v>
      </c>
      <c r="E173" s="12" t="s">
        <v>17</v>
      </c>
      <c r="F173" s="310" t="s">
        <v>46</v>
      </c>
      <c r="G173" s="310"/>
      <c r="H173" s="310"/>
      <c r="I173" s="12" t="s">
        <v>19</v>
      </c>
    </row>
    <row r="174" spans="1:9" x14ac:dyDescent="0.2">
      <c r="A174" s="15"/>
      <c r="B174" s="16"/>
      <c r="C174" s="73"/>
      <c r="D174" s="15"/>
      <c r="E174" s="15"/>
      <c r="F174" s="21" t="s">
        <v>113</v>
      </c>
      <c r="G174" s="21" t="s">
        <v>114</v>
      </c>
      <c r="H174" s="21" t="s">
        <v>20</v>
      </c>
      <c r="I174" s="15"/>
    </row>
    <row r="175" spans="1:9" x14ac:dyDescent="0.2">
      <c r="A175" s="8" t="s">
        <v>0</v>
      </c>
      <c r="B175" s="5">
        <f>B157+1</f>
        <v>46121</v>
      </c>
      <c r="C175" s="74" t="s">
        <v>1148</v>
      </c>
      <c r="D175" s="6" t="s">
        <v>342</v>
      </c>
      <c r="E175" s="6" t="s">
        <v>165</v>
      </c>
      <c r="F175" s="6">
        <v>1</v>
      </c>
      <c r="G175" s="6"/>
      <c r="H175" s="6">
        <v>6</v>
      </c>
      <c r="I175" s="6"/>
    </row>
    <row r="176" spans="1:9" x14ac:dyDescent="0.2">
      <c r="A176" s="8" t="s">
        <v>1</v>
      </c>
      <c r="B176" s="5"/>
      <c r="C176" s="74" t="s">
        <v>1149</v>
      </c>
      <c r="D176" s="6" t="s">
        <v>276</v>
      </c>
      <c r="E176" s="6" t="s">
        <v>168</v>
      </c>
      <c r="F176" s="6">
        <v>1</v>
      </c>
      <c r="G176" s="6"/>
      <c r="H176" s="6">
        <v>4</v>
      </c>
      <c r="I176" s="6"/>
    </row>
    <row r="177" spans="1:9" x14ac:dyDescent="0.2">
      <c r="A177" s="8" t="s">
        <v>2</v>
      </c>
      <c r="B177" s="5"/>
      <c r="C177" s="74" t="s">
        <v>1150</v>
      </c>
      <c r="D177" s="6" t="s">
        <v>839</v>
      </c>
      <c r="E177" s="6" t="s">
        <v>190</v>
      </c>
      <c r="F177" s="6">
        <v>1</v>
      </c>
      <c r="G177" s="6"/>
      <c r="H177" s="6">
        <v>5</v>
      </c>
      <c r="I177" s="6"/>
    </row>
    <row r="178" spans="1:9" x14ac:dyDescent="0.2">
      <c r="A178" s="8" t="s">
        <v>3</v>
      </c>
      <c r="B178" s="5"/>
      <c r="C178" s="74" t="s">
        <v>1139</v>
      </c>
      <c r="D178" s="6" t="s">
        <v>206</v>
      </c>
      <c r="E178" s="6" t="s">
        <v>632</v>
      </c>
      <c r="F178" s="6">
        <v>1</v>
      </c>
      <c r="G178" s="6"/>
      <c r="H178" s="6">
        <v>6</v>
      </c>
      <c r="I178" s="6"/>
    </row>
    <row r="179" spans="1:9" x14ac:dyDescent="0.2">
      <c r="A179" s="8" t="s">
        <v>4</v>
      </c>
      <c r="B179" s="5"/>
      <c r="C179" s="74" t="s">
        <v>1151</v>
      </c>
      <c r="D179" s="6" t="s">
        <v>242</v>
      </c>
      <c r="E179" s="6" t="s">
        <v>165</v>
      </c>
      <c r="F179" s="6">
        <v>1</v>
      </c>
      <c r="G179" s="6"/>
      <c r="H179" s="6">
        <v>5</v>
      </c>
      <c r="I179" s="6"/>
    </row>
    <row r="180" spans="1:9" x14ac:dyDescent="0.2">
      <c r="A180" s="8" t="s">
        <v>5</v>
      </c>
      <c r="B180" s="5"/>
      <c r="C180" s="74" t="s">
        <v>1152</v>
      </c>
      <c r="D180" s="6" t="s">
        <v>347</v>
      </c>
      <c r="E180" s="6" t="s">
        <v>441</v>
      </c>
      <c r="F180" s="6">
        <v>1</v>
      </c>
      <c r="G180" s="6"/>
      <c r="H180" s="6">
        <v>3</v>
      </c>
      <c r="I180" s="6"/>
    </row>
    <row r="181" spans="1:9" hidden="1" x14ac:dyDescent="0.2">
      <c r="A181" s="8" t="s">
        <v>6</v>
      </c>
      <c r="B181" s="5"/>
      <c r="C181" s="74"/>
      <c r="D181" s="6"/>
      <c r="E181" s="6"/>
      <c r="F181" s="6"/>
      <c r="G181" s="6"/>
      <c r="H181" s="6"/>
      <c r="I181" s="6"/>
    </row>
    <row r="182" spans="1:9" hidden="1" x14ac:dyDescent="0.2">
      <c r="A182" s="8" t="s">
        <v>7</v>
      </c>
      <c r="B182" s="5"/>
      <c r="C182" s="74"/>
      <c r="D182" s="6"/>
      <c r="E182" s="6"/>
      <c r="F182" s="6"/>
      <c r="G182" s="6"/>
      <c r="H182" s="6"/>
      <c r="I182" s="6"/>
    </row>
    <row r="183" spans="1:9" hidden="1" x14ac:dyDescent="0.2">
      <c r="A183" s="8" t="s">
        <v>8</v>
      </c>
      <c r="B183" s="5"/>
      <c r="C183" s="74"/>
      <c r="D183" s="6"/>
      <c r="E183" s="6"/>
      <c r="F183" s="6"/>
      <c r="G183" s="6"/>
      <c r="H183" s="6"/>
      <c r="I183" s="6"/>
    </row>
    <row r="184" spans="1:9" hidden="1" x14ac:dyDescent="0.2">
      <c r="A184" s="8" t="s">
        <v>9</v>
      </c>
      <c r="B184" s="5"/>
      <c r="C184" s="74"/>
      <c r="D184" s="6"/>
      <c r="E184" s="6"/>
      <c r="F184" s="6"/>
      <c r="G184" s="6"/>
      <c r="H184" s="6"/>
      <c r="I184" s="6"/>
    </row>
    <row r="185" spans="1:9" x14ac:dyDescent="0.2">
      <c r="A185" s="312" t="s">
        <v>10</v>
      </c>
      <c r="B185" s="313"/>
      <c r="C185" s="313"/>
      <c r="D185" s="313"/>
      <c r="E185" s="314"/>
      <c r="F185" s="11">
        <f>SUM(F175:F184)</f>
        <v>6</v>
      </c>
      <c r="G185" s="11">
        <f>SUM(G175:G184)</f>
        <v>0</v>
      </c>
      <c r="H185" s="11">
        <f>SUM(H175:H184)</f>
        <v>29</v>
      </c>
      <c r="I185" s="11"/>
    </row>
    <row r="186" spans="1:9" x14ac:dyDescent="0.2">
      <c r="A186" s="8" t="s">
        <v>0</v>
      </c>
      <c r="B186" s="5">
        <f>B175+1</f>
        <v>46122</v>
      </c>
      <c r="C186" s="74" t="s">
        <v>1205</v>
      </c>
      <c r="D186" s="6" t="s">
        <v>250</v>
      </c>
      <c r="E186" s="6" t="s">
        <v>168</v>
      </c>
      <c r="F186" s="6">
        <v>1</v>
      </c>
      <c r="G186" s="6"/>
      <c r="H186" s="6">
        <v>3</v>
      </c>
      <c r="I186" s="6"/>
    </row>
    <row r="187" spans="1:9" x14ac:dyDescent="0.2">
      <c r="A187" s="8" t="s">
        <v>1</v>
      </c>
      <c r="B187" s="5"/>
      <c r="C187" s="74" t="s">
        <v>1191</v>
      </c>
      <c r="D187" s="6" t="s">
        <v>276</v>
      </c>
      <c r="E187" s="6" t="s">
        <v>168</v>
      </c>
      <c r="F187" s="6">
        <v>1</v>
      </c>
      <c r="G187" s="6"/>
      <c r="H187" s="6">
        <v>6</v>
      </c>
      <c r="I187" s="6"/>
    </row>
    <row r="188" spans="1:9" x14ac:dyDescent="0.2">
      <c r="A188" s="8" t="s">
        <v>2</v>
      </c>
      <c r="B188" s="5"/>
      <c r="C188" s="74" t="s">
        <v>1206</v>
      </c>
      <c r="D188" s="6" t="s">
        <v>188</v>
      </c>
      <c r="E188" s="6" t="s">
        <v>165</v>
      </c>
      <c r="F188" s="6">
        <v>1</v>
      </c>
      <c r="G188" s="6"/>
      <c r="H188" s="6">
        <v>6</v>
      </c>
      <c r="I188" s="6"/>
    </row>
    <row r="189" spans="1:9" x14ac:dyDescent="0.2">
      <c r="A189" s="8" t="s">
        <v>3</v>
      </c>
      <c r="B189" s="5"/>
      <c r="C189" s="74" t="s">
        <v>1207</v>
      </c>
      <c r="D189" s="6" t="s">
        <v>253</v>
      </c>
      <c r="E189" s="6" t="s">
        <v>165</v>
      </c>
      <c r="F189" s="6">
        <v>1</v>
      </c>
      <c r="G189" s="6"/>
      <c r="H189" s="6">
        <v>6</v>
      </c>
      <c r="I189" s="6"/>
    </row>
    <row r="190" spans="1:9" x14ac:dyDescent="0.2">
      <c r="A190" s="8" t="s">
        <v>4</v>
      </c>
      <c r="B190" s="5"/>
      <c r="C190" s="74" t="s">
        <v>1208</v>
      </c>
      <c r="D190" s="6" t="s">
        <v>188</v>
      </c>
      <c r="E190" s="6" t="s">
        <v>165</v>
      </c>
      <c r="F190" s="6"/>
      <c r="G190" s="6">
        <v>1</v>
      </c>
      <c r="H190" s="6">
        <v>6</v>
      </c>
      <c r="I190" s="6"/>
    </row>
    <row r="191" spans="1:9" x14ac:dyDescent="0.2">
      <c r="A191" s="8" t="s">
        <v>5</v>
      </c>
      <c r="B191" s="5"/>
      <c r="C191" s="74" t="s">
        <v>1209</v>
      </c>
      <c r="D191" s="6" t="s">
        <v>188</v>
      </c>
      <c r="E191" s="6" t="s">
        <v>165</v>
      </c>
      <c r="F191" s="6"/>
      <c r="G191" s="6">
        <v>1</v>
      </c>
      <c r="H191" s="6">
        <v>6</v>
      </c>
      <c r="I191" s="6"/>
    </row>
    <row r="192" spans="1:9" hidden="1" x14ac:dyDescent="0.2">
      <c r="A192" s="8" t="s">
        <v>6</v>
      </c>
      <c r="B192" s="5"/>
      <c r="C192" s="74"/>
      <c r="D192" s="6"/>
      <c r="E192" s="6"/>
      <c r="F192" s="6"/>
      <c r="G192" s="6"/>
      <c r="H192" s="6"/>
      <c r="I192" s="6"/>
    </row>
    <row r="193" spans="1:9" hidden="1" x14ac:dyDescent="0.2">
      <c r="A193" s="8" t="s">
        <v>7</v>
      </c>
      <c r="B193" s="5"/>
      <c r="C193" s="74"/>
      <c r="D193" s="6"/>
      <c r="E193" s="6"/>
      <c r="F193" s="6"/>
      <c r="G193" s="6"/>
      <c r="H193" s="6"/>
      <c r="I193" s="6"/>
    </row>
    <row r="194" spans="1:9" hidden="1" x14ac:dyDescent="0.2">
      <c r="A194" s="8" t="s">
        <v>8</v>
      </c>
      <c r="B194" s="5"/>
      <c r="C194" s="74"/>
      <c r="D194" s="6"/>
      <c r="E194" s="6"/>
      <c r="F194" s="6"/>
      <c r="G194" s="6"/>
      <c r="H194" s="6"/>
      <c r="I194" s="6"/>
    </row>
    <row r="195" spans="1:9" hidden="1" x14ac:dyDescent="0.2">
      <c r="A195" s="8" t="s">
        <v>9</v>
      </c>
      <c r="B195" s="5"/>
      <c r="C195" s="74"/>
      <c r="D195" s="6"/>
      <c r="E195" s="6"/>
      <c r="F195" s="6"/>
      <c r="G195" s="6"/>
      <c r="H195" s="6"/>
      <c r="I195" s="6"/>
    </row>
    <row r="196" spans="1:9" x14ac:dyDescent="0.2">
      <c r="A196" s="312" t="s">
        <v>10</v>
      </c>
      <c r="B196" s="313"/>
      <c r="C196" s="313"/>
      <c r="D196" s="313"/>
      <c r="E196" s="314"/>
      <c r="F196" s="11">
        <f>SUM(F186:F195)</f>
        <v>4</v>
      </c>
      <c r="G196" s="11">
        <f>SUM(G186:G195)</f>
        <v>2</v>
      </c>
      <c r="H196" s="11">
        <f>SUM(H186:H195)</f>
        <v>33</v>
      </c>
      <c r="I196" s="11"/>
    </row>
    <row r="197" spans="1:9" x14ac:dyDescent="0.2">
      <c r="A197" s="8" t="s">
        <v>0</v>
      </c>
      <c r="B197" s="5">
        <f>B186+1</f>
        <v>46123</v>
      </c>
      <c r="C197" s="74" t="s">
        <v>1257</v>
      </c>
      <c r="D197" s="6" t="s">
        <v>342</v>
      </c>
      <c r="E197" s="6" t="s">
        <v>165</v>
      </c>
      <c r="F197" s="6">
        <v>1</v>
      </c>
      <c r="G197" s="6"/>
      <c r="H197" s="6">
        <v>6</v>
      </c>
      <c r="I197" s="6"/>
    </row>
    <row r="198" spans="1:9" x14ac:dyDescent="0.2">
      <c r="A198" s="8" t="s">
        <v>1</v>
      </c>
      <c r="B198" s="5"/>
      <c r="C198" s="74" t="s">
        <v>1258</v>
      </c>
      <c r="D198" s="6" t="s">
        <v>342</v>
      </c>
      <c r="E198" s="6" t="s">
        <v>165</v>
      </c>
      <c r="F198" s="6">
        <v>1</v>
      </c>
      <c r="G198" s="6"/>
      <c r="H198" s="6">
        <v>6</v>
      </c>
      <c r="I198" s="6"/>
    </row>
    <row r="199" spans="1:9" x14ac:dyDescent="0.2">
      <c r="A199" s="8" t="s">
        <v>2</v>
      </c>
      <c r="B199" s="5"/>
      <c r="C199" s="74" t="s">
        <v>1248</v>
      </c>
      <c r="D199" s="6" t="s">
        <v>347</v>
      </c>
      <c r="E199" s="6" t="s">
        <v>441</v>
      </c>
      <c r="F199" s="6">
        <v>1</v>
      </c>
      <c r="G199" s="6"/>
      <c r="H199" s="6">
        <v>6</v>
      </c>
      <c r="I199" s="6"/>
    </row>
    <row r="200" spans="1:9" x14ac:dyDescent="0.2">
      <c r="A200" s="8" t="s">
        <v>3</v>
      </c>
      <c r="B200" s="5"/>
      <c r="C200" s="74" t="s">
        <v>1256</v>
      </c>
      <c r="D200" s="6" t="s">
        <v>347</v>
      </c>
      <c r="E200" s="6" t="s">
        <v>441</v>
      </c>
      <c r="F200" s="6">
        <v>1</v>
      </c>
      <c r="G200" s="6"/>
      <c r="H200" s="6">
        <v>6</v>
      </c>
      <c r="I200" s="6"/>
    </row>
    <row r="201" spans="1:9" hidden="1" x14ac:dyDescent="0.2">
      <c r="A201" s="8" t="s">
        <v>4</v>
      </c>
      <c r="B201" s="5"/>
      <c r="C201" s="74"/>
      <c r="D201" s="6"/>
      <c r="E201" s="6"/>
      <c r="F201" s="6"/>
      <c r="G201" s="6"/>
      <c r="H201" s="6"/>
      <c r="I201" s="6"/>
    </row>
    <row r="202" spans="1:9" hidden="1" x14ac:dyDescent="0.2">
      <c r="A202" s="8" t="s">
        <v>5</v>
      </c>
      <c r="B202" s="5"/>
      <c r="C202" s="74"/>
      <c r="D202" s="6"/>
      <c r="E202" s="6"/>
      <c r="F202" s="6"/>
      <c r="G202" s="6"/>
      <c r="H202" s="6"/>
      <c r="I202" s="6"/>
    </row>
    <row r="203" spans="1:9" hidden="1" x14ac:dyDescent="0.2">
      <c r="A203" s="8" t="s">
        <v>6</v>
      </c>
      <c r="B203" s="5"/>
      <c r="C203" s="74"/>
      <c r="D203" s="6"/>
      <c r="E203" s="6"/>
      <c r="F203" s="6"/>
      <c r="G203" s="6"/>
      <c r="H203" s="6"/>
      <c r="I203" s="6"/>
    </row>
    <row r="204" spans="1:9" hidden="1" x14ac:dyDescent="0.2">
      <c r="A204" s="8" t="s">
        <v>7</v>
      </c>
      <c r="B204" s="5"/>
      <c r="C204" s="74"/>
      <c r="D204" s="6"/>
      <c r="E204" s="6"/>
      <c r="F204" s="6"/>
      <c r="G204" s="6"/>
      <c r="H204" s="6"/>
      <c r="I204" s="6"/>
    </row>
    <row r="205" spans="1:9" hidden="1" x14ac:dyDescent="0.2">
      <c r="A205" s="8" t="s">
        <v>8</v>
      </c>
      <c r="B205" s="5"/>
      <c r="C205" s="74"/>
      <c r="D205" s="6"/>
      <c r="E205" s="6"/>
      <c r="F205" s="6"/>
      <c r="G205" s="6"/>
      <c r="H205" s="6"/>
      <c r="I205" s="6"/>
    </row>
    <row r="206" spans="1:9" hidden="1" x14ac:dyDescent="0.2">
      <c r="A206" s="8" t="s">
        <v>9</v>
      </c>
      <c r="B206" s="5"/>
      <c r="C206" s="74"/>
      <c r="D206" s="6"/>
      <c r="E206" s="6"/>
      <c r="F206" s="6"/>
      <c r="G206" s="6"/>
      <c r="H206" s="6"/>
      <c r="I206" s="6"/>
    </row>
    <row r="207" spans="1:9" x14ac:dyDescent="0.2">
      <c r="A207" s="312" t="s">
        <v>10</v>
      </c>
      <c r="B207" s="313"/>
      <c r="C207" s="313"/>
      <c r="D207" s="313"/>
      <c r="E207" s="314"/>
      <c r="F207" s="11">
        <f>SUM(F197:F206)</f>
        <v>4</v>
      </c>
      <c r="G207" s="11">
        <f>SUM(G197:G206)</f>
        <v>0</v>
      </c>
      <c r="H207" s="11">
        <f>SUM(H197:H206)</f>
        <v>24</v>
      </c>
      <c r="I207" s="11"/>
    </row>
    <row r="208" spans="1:9" hidden="1" x14ac:dyDescent="0.2">
      <c r="A208" s="8" t="s">
        <v>0</v>
      </c>
      <c r="B208" s="5">
        <f>B197+1</f>
        <v>46124</v>
      </c>
      <c r="C208" s="75"/>
      <c r="D208" s="6"/>
      <c r="E208" s="6"/>
      <c r="F208" s="6"/>
      <c r="G208" s="6"/>
      <c r="H208" s="6"/>
      <c r="I208" s="6"/>
    </row>
    <row r="209" spans="1:9" hidden="1" x14ac:dyDescent="0.2">
      <c r="A209" s="8" t="s">
        <v>1</v>
      </c>
      <c r="B209" s="5"/>
      <c r="C209" s="75"/>
      <c r="D209" s="6"/>
      <c r="E209" s="6"/>
      <c r="F209" s="6"/>
      <c r="G209" s="6"/>
      <c r="H209" s="6"/>
      <c r="I209" s="6"/>
    </row>
    <row r="210" spans="1:9" hidden="1" x14ac:dyDescent="0.2">
      <c r="A210" s="8" t="s">
        <v>2</v>
      </c>
      <c r="B210" s="5"/>
      <c r="C210" s="75"/>
      <c r="D210" s="6"/>
      <c r="E210" s="6"/>
      <c r="F210" s="6"/>
      <c r="G210" s="6"/>
      <c r="H210" s="6"/>
      <c r="I210" s="6"/>
    </row>
    <row r="211" spans="1:9" hidden="1" x14ac:dyDescent="0.2">
      <c r="A211" s="8" t="s">
        <v>3</v>
      </c>
      <c r="B211" s="5"/>
      <c r="C211" s="75"/>
      <c r="D211" s="6"/>
      <c r="E211" s="6"/>
      <c r="F211" s="6"/>
      <c r="G211" s="6"/>
      <c r="H211" s="6"/>
      <c r="I211" s="6"/>
    </row>
    <row r="212" spans="1:9" hidden="1" x14ac:dyDescent="0.2">
      <c r="A212" s="8" t="s">
        <v>4</v>
      </c>
      <c r="B212" s="5"/>
      <c r="C212" s="75"/>
      <c r="D212" s="6"/>
      <c r="E212" s="6"/>
      <c r="F212" s="6"/>
      <c r="G212" s="6"/>
      <c r="H212" s="6"/>
      <c r="I212" s="6"/>
    </row>
    <row r="213" spans="1:9" hidden="1" x14ac:dyDescent="0.2">
      <c r="A213" s="8" t="s">
        <v>5</v>
      </c>
      <c r="B213" s="5"/>
      <c r="C213" s="75"/>
      <c r="D213" s="6"/>
      <c r="E213" s="6"/>
      <c r="F213" s="6"/>
      <c r="G213" s="6"/>
      <c r="H213" s="6"/>
      <c r="I213" s="6"/>
    </row>
    <row r="214" spans="1:9" hidden="1" x14ac:dyDescent="0.2">
      <c r="A214" s="8" t="s">
        <v>6</v>
      </c>
      <c r="B214" s="5"/>
      <c r="C214" s="75"/>
      <c r="D214" s="6"/>
      <c r="E214" s="6"/>
      <c r="F214" s="6"/>
      <c r="G214" s="6"/>
      <c r="H214" s="6"/>
      <c r="I214" s="6"/>
    </row>
    <row r="215" spans="1:9" hidden="1" x14ac:dyDescent="0.2">
      <c r="A215" s="8" t="s">
        <v>7</v>
      </c>
      <c r="B215" s="5"/>
      <c r="C215" s="74"/>
      <c r="D215" s="6"/>
      <c r="E215" s="6"/>
      <c r="F215" s="6"/>
      <c r="G215" s="6"/>
      <c r="H215" s="6"/>
      <c r="I215" s="6"/>
    </row>
    <row r="216" spans="1:9" hidden="1" x14ac:dyDescent="0.2">
      <c r="A216" s="8" t="s">
        <v>8</v>
      </c>
      <c r="B216" s="5"/>
      <c r="C216" s="74"/>
      <c r="D216" s="6"/>
      <c r="E216" s="6"/>
      <c r="F216" s="6"/>
      <c r="G216" s="6"/>
      <c r="H216" s="6"/>
      <c r="I216" s="6"/>
    </row>
    <row r="217" spans="1:9" hidden="1" x14ac:dyDescent="0.2">
      <c r="A217" s="8" t="s">
        <v>9</v>
      </c>
      <c r="B217" s="5"/>
      <c r="C217" s="74"/>
      <c r="D217" s="6"/>
      <c r="E217" s="6"/>
      <c r="F217" s="6"/>
      <c r="G217" s="6"/>
      <c r="H217" s="6"/>
      <c r="I217" s="6"/>
    </row>
    <row r="218" spans="1:9" hidden="1" x14ac:dyDescent="0.2">
      <c r="A218" s="312" t="s">
        <v>10</v>
      </c>
      <c r="B218" s="313"/>
      <c r="C218" s="313"/>
      <c r="D218" s="313"/>
      <c r="E218" s="314"/>
      <c r="F218" s="11">
        <f>SUM(F208:F217)</f>
        <v>0</v>
      </c>
      <c r="G218" s="11">
        <f>SUM(G208:G217)</f>
        <v>0</v>
      </c>
      <c r="H218" s="11">
        <f>SUM(H208:H217)</f>
        <v>0</v>
      </c>
      <c r="I218" s="11"/>
    </row>
    <row r="219" spans="1:9" hidden="1" x14ac:dyDescent="0.2">
      <c r="A219" s="8" t="s">
        <v>0</v>
      </c>
      <c r="B219" s="5">
        <f>B208+1</f>
        <v>46125</v>
      </c>
      <c r="C219" s="75"/>
      <c r="D219" s="6"/>
      <c r="E219" s="6"/>
      <c r="F219" s="6"/>
      <c r="G219" s="6"/>
      <c r="H219" s="6"/>
      <c r="I219" s="6"/>
    </row>
    <row r="220" spans="1:9" hidden="1" x14ac:dyDescent="0.2">
      <c r="A220" s="8" t="s">
        <v>1</v>
      </c>
      <c r="B220" s="5"/>
      <c r="C220" s="75"/>
      <c r="D220" s="6"/>
      <c r="E220" s="6"/>
      <c r="F220" s="6"/>
      <c r="G220" s="6"/>
      <c r="H220" s="6"/>
      <c r="I220" s="6"/>
    </row>
    <row r="221" spans="1:9" hidden="1" x14ac:dyDescent="0.2">
      <c r="A221" s="8" t="s">
        <v>2</v>
      </c>
      <c r="B221" s="5"/>
      <c r="C221" s="75"/>
      <c r="D221" s="6"/>
      <c r="E221" s="6"/>
      <c r="F221" s="6"/>
      <c r="G221" s="6"/>
      <c r="H221" s="6"/>
      <c r="I221" s="6"/>
    </row>
    <row r="222" spans="1:9" hidden="1" x14ac:dyDescent="0.2">
      <c r="A222" s="8" t="s">
        <v>3</v>
      </c>
      <c r="B222" s="5"/>
      <c r="C222" s="75"/>
      <c r="D222" s="6"/>
      <c r="E222" s="6"/>
      <c r="F222" s="6"/>
      <c r="G222" s="6"/>
      <c r="H222" s="6"/>
      <c r="I222" s="6"/>
    </row>
    <row r="223" spans="1:9" hidden="1" x14ac:dyDescent="0.2">
      <c r="A223" s="8" t="s">
        <v>4</v>
      </c>
      <c r="B223" s="5"/>
      <c r="C223" s="75"/>
      <c r="D223" s="6"/>
      <c r="E223" s="6"/>
      <c r="F223" s="6"/>
      <c r="G223" s="6"/>
      <c r="H223" s="6"/>
      <c r="I223" s="6"/>
    </row>
    <row r="224" spans="1:9" hidden="1" x14ac:dyDescent="0.2">
      <c r="A224" s="8" t="s">
        <v>5</v>
      </c>
      <c r="B224" s="5"/>
      <c r="C224" s="75"/>
      <c r="D224" s="6"/>
      <c r="E224" s="6"/>
      <c r="F224" s="6"/>
      <c r="G224" s="6"/>
      <c r="H224" s="6"/>
      <c r="I224" s="6"/>
    </row>
    <row r="225" spans="1:9" hidden="1" x14ac:dyDescent="0.2">
      <c r="A225" s="8" t="s">
        <v>6</v>
      </c>
      <c r="B225" s="5"/>
      <c r="C225" s="74"/>
      <c r="D225" s="6"/>
      <c r="E225" s="6"/>
      <c r="F225" s="6"/>
      <c r="G225" s="6"/>
      <c r="H225" s="6"/>
      <c r="I225" s="6"/>
    </row>
    <row r="226" spans="1:9" hidden="1" x14ac:dyDescent="0.2">
      <c r="A226" s="8" t="s">
        <v>7</v>
      </c>
      <c r="B226" s="5"/>
      <c r="C226" s="74"/>
      <c r="D226" s="6"/>
      <c r="E226" s="6"/>
      <c r="F226" s="6"/>
      <c r="G226" s="6"/>
      <c r="H226" s="6"/>
      <c r="I226" s="6"/>
    </row>
    <row r="227" spans="1:9" hidden="1" x14ac:dyDescent="0.2">
      <c r="A227" s="8" t="s">
        <v>8</v>
      </c>
      <c r="B227" s="5"/>
      <c r="C227" s="74"/>
      <c r="D227" s="6"/>
      <c r="E227" s="6"/>
      <c r="F227" s="6"/>
      <c r="G227" s="6"/>
      <c r="H227" s="6"/>
      <c r="I227" s="6"/>
    </row>
    <row r="228" spans="1:9" hidden="1" x14ac:dyDescent="0.2">
      <c r="A228" s="8" t="s">
        <v>9</v>
      </c>
      <c r="B228" s="5"/>
      <c r="C228" s="74"/>
      <c r="D228" s="6"/>
      <c r="E228" s="6"/>
      <c r="F228" s="6"/>
      <c r="G228" s="6"/>
      <c r="H228" s="6"/>
      <c r="I228" s="6"/>
    </row>
    <row r="229" spans="1:9" hidden="1" x14ac:dyDescent="0.2">
      <c r="A229" s="312" t="s">
        <v>10</v>
      </c>
      <c r="B229" s="313"/>
      <c r="C229" s="313"/>
      <c r="D229" s="313"/>
      <c r="E229" s="314"/>
      <c r="F229" s="11">
        <f>SUM(F219:F228)</f>
        <v>0</v>
      </c>
      <c r="G229" s="11">
        <f>SUM(G219:G228)</f>
        <v>0</v>
      </c>
      <c r="H229" s="11">
        <f>SUM(H219:H228)</f>
        <v>0</v>
      </c>
      <c r="I229" s="11"/>
    </row>
    <row r="230" spans="1:9" hidden="1" x14ac:dyDescent="0.2">
      <c r="A230" s="8" t="s">
        <v>0</v>
      </c>
      <c r="B230" s="5">
        <f>B219+1</f>
        <v>46126</v>
      </c>
      <c r="C230" s="75"/>
      <c r="D230" s="6"/>
      <c r="E230" s="6"/>
      <c r="F230" s="6"/>
      <c r="G230" s="6"/>
      <c r="H230" s="6"/>
      <c r="I230" s="6"/>
    </row>
    <row r="231" spans="1:9" hidden="1" x14ac:dyDescent="0.2">
      <c r="A231" s="8" t="s">
        <v>1</v>
      </c>
      <c r="B231" s="5"/>
      <c r="C231" s="75"/>
      <c r="D231" s="6"/>
      <c r="E231" s="6"/>
      <c r="F231" s="6"/>
      <c r="G231" s="6"/>
      <c r="H231" s="6"/>
      <c r="I231" s="6"/>
    </row>
    <row r="232" spans="1:9" hidden="1" x14ac:dyDescent="0.2">
      <c r="A232" s="8" t="s">
        <v>2</v>
      </c>
      <c r="B232" s="5"/>
      <c r="C232" s="75"/>
      <c r="D232" s="6"/>
      <c r="E232" s="6"/>
      <c r="F232" s="6"/>
      <c r="G232" s="6"/>
      <c r="H232" s="6"/>
      <c r="I232" s="6"/>
    </row>
    <row r="233" spans="1:9" hidden="1" x14ac:dyDescent="0.2">
      <c r="A233" s="8" t="s">
        <v>3</v>
      </c>
      <c r="B233" s="5"/>
      <c r="C233" s="75"/>
      <c r="D233" s="6"/>
      <c r="E233" s="6"/>
      <c r="F233" s="6"/>
      <c r="G233" s="6"/>
      <c r="H233" s="6"/>
      <c r="I233" s="6"/>
    </row>
    <row r="234" spans="1:9" hidden="1" x14ac:dyDescent="0.2">
      <c r="A234" s="8" t="s">
        <v>4</v>
      </c>
      <c r="B234" s="5"/>
      <c r="C234" s="75"/>
      <c r="D234" s="6"/>
      <c r="E234" s="6"/>
      <c r="F234" s="6"/>
      <c r="G234" s="6"/>
      <c r="H234" s="6"/>
      <c r="I234" s="6"/>
    </row>
    <row r="235" spans="1:9" hidden="1" x14ac:dyDescent="0.2">
      <c r="A235" s="8" t="s">
        <v>5</v>
      </c>
      <c r="B235" s="5"/>
      <c r="C235" s="75"/>
      <c r="D235" s="6"/>
      <c r="E235" s="6"/>
      <c r="F235" s="6"/>
      <c r="G235" s="6"/>
      <c r="H235" s="6"/>
      <c r="I235" s="6"/>
    </row>
    <row r="236" spans="1:9" hidden="1" x14ac:dyDescent="0.2">
      <c r="A236" s="8" t="s">
        <v>6</v>
      </c>
      <c r="B236" s="5"/>
      <c r="C236" s="75"/>
      <c r="D236" s="6"/>
      <c r="E236" s="6"/>
      <c r="F236" s="6"/>
      <c r="G236" s="6"/>
      <c r="H236" s="6"/>
      <c r="I236" s="6"/>
    </row>
    <row r="237" spans="1:9" hidden="1" x14ac:dyDescent="0.2">
      <c r="A237" s="8" t="s">
        <v>7</v>
      </c>
      <c r="B237" s="5"/>
      <c r="C237" s="75"/>
      <c r="D237" s="6"/>
      <c r="E237" s="6"/>
      <c r="F237" s="6"/>
      <c r="G237" s="6"/>
      <c r="H237" s="6"/>
      <c r="I237" s="6"/>
    </row>
    <row r="238" spans="1:9" hidden="1" x14ac:dyDescent="0.2">
      <c r="A238" s="8" t="s">
        <v>8</v>
      </c>
      <c r="B238" s="5"/>
      <c r="C238" s="75"/>
      <c r="D238" s="6"/>
      <c r="E238" s="6"/>
      <c r="F238" s="6"/>
      <c r="G238" s="6"/>
      <c r="H238" s="6"/>
      <c r="I238" s="6"/>
    </row>
    <row r="239" spans="1:9" hidden="1" x14ac:dyDescent="0.2">
      <c r="A239" s="8" t="s">
        <v>9</v>
      </c>
      <c r="B239" s="5"/>
      <c r="C239" s="75"/>
      <c r="D239" s="6"/>
      <c r="E239" s="6"/>
      <c r="F239" s="6"/>
      <c r="G239" s="6"/>
      <c r="H239" s="6"/>
      <c r="I239" s="6"/>
    </row>
    <row r="240" spans="1:9" hidden="1" x14ac:dyDescent="0.2">
      <c r="A240" s="312" t="s">
        <v>10</v>
      </c>
      <c r="B240" s="313"/>
      <c r="C240" s="313"/>
      <c r="D240" s="313"/>
      <c r="E240" s="314"/>
      <c r="F240" s="11">
        <f>SUM(F230:F239)</f>
        <v>0</v>
      </c>
      <c r="G240" s="11">
        <f>SUM(G230:G239)</f>
        <v>0</v>
      </c>
      <c r="H240" s="11">
        <f>SUM(H230:H239)</f>
        <v>0</v>
      </c>
      <c r="I240" s="11"/>
    </row>
    <row r="241" spans="1:9" hidden="1" x14ac:dyDescent="0.2">
      <c r="A241" s="8" t="s">
        <v>0</v>
      </c>
      <c r="B241" s="5">
        <f>B230+1</f>
        <v>46127</v>
      </c>
      <c r="C241" s="74"/>
      <c r="D241" s="6"/>
      <c r="E241" s="6"/>
      <c r="F241" s="6"/>
      <c r="G241" s="6"/>
      <c r="H241" s="6"/>
      <c r="I241" s="6"/>
    </row>
    <row r="242" spans="1:9" hidden="1" x14ac:dyDescent="0.2">
      <c r="A242" s="8" t="s">
        <v>1</v>
      </c>
      <c r="B242" s="5"/>
      <c r="C242" s="74"/>
      <c r="D242" s="6"/>
      <c r="E242" s="6"/>
      <c r="F242" s="6"/>
      <c r="G242" s="6"/>
      <c r="H242" s="6"/>
      <c r="I242" s="6"/>
    </row>
    <row r="243" spans="1:9" hidden="1" x14ac:dyDescent="0.2">
      <c r="A243" s="8" t="s">
        <v>2</v>
      </c>
      <c r="B243" s="5"/>
      <c r="C243" s="74"/>
      <c r="D243" s="6"/>
      <c r="E243" s="6"/>
      <c r="F243" s="6"/>
      <c r="G243" s="6"/>
      <c r="H243" s="6"/>
      <c r="I243" s="6"/>
    </row>
    <row r="244" spans="1:9" hidden="1" x14ac:dyDescent="0.2">
      <c r="A244" s="8" t="s">
        <v>3</v>
      </c>
      <c r="B244" s="5"/>
      <c r="C244" s="74"/>
      <c r="D244" s="6"/>
      <c r="E244" s="6"/>
      <c r="F244" s="6"/>
      <c r="G244" s="6"/>
      <c r="H244" s="6"/>
      <c r="I244" s="6"/>
    </row>
    <row r="245" spans="1:9" hidden="1" x14ac:dyDescent="0.2">
      <c r="A245" s="8" t="s">
        <v>4</v>
      </c>
      <c r="B245" s="5"/>
      <c r="C245" s="74"/>
      <c r="D245" s="6"/>
      <c r="E245" s="6"/>
      <c r="F245" s="6"/>
      <c r="G245" s="6"/>
      <c r="H245" s="6"/>
      <c r="I245" s="6"/>
    </row>
    <row r="246" spans="1:9" hidden="1" x14ac:dyDescent="0.2">
      <c r="A246" s="8" t="s">
        <v>5</v>
      </c>
      <c r="B246" s="5"/>
      <c r="C246" s="74"/>
      <c r="D246" s="6"/>
      <c r="E246" s="6"/>
      <c r="F246" s="6"/>
      <c r="G246" s="6"/>
      <c r="H246" s="6"/>
      <c r="I246" s="6"/>
    </row>
    <row r="247" spans="1:9" hidden="1" x14ac:dyDescent="0.2">
      <c r="A247" s="8" t="s">
        <v>6</v>
      </c>
      <c r="B247" s="5"/>
      <c r="C247" s="74"/>
      <c r="D247" s="6"/>
      <c r="E247" s="6"/>
      <c r="F247" s="6"/>
      <c r="G247" s="6"/>
      <c r="H247" s="6"/>
      <c r="I247" s="6"/>
    </row>
    <row r="248" spans="1:9" hidden="1" x14ac:dyDescent="0.2">
      <c r="A248" s="8" t="s">
        <v>7</v>
      </c>
      <c r="B248" s="5"/>
      <c r="C248" s="74"/>
      <c r="D248" s="6"/>
      <c r="E248" s="6"/>
      <c r="F248" s="6"/>
      <c r="G248" s="6"/>
      <c r="H248" s="6"/>
      <c r="I248" s="6"/>
    </row>
    <row r="249" spans="1:9" hidden="1" x14ac:dyDescent="0.2">
      <c r="A249" s="8" t="s">
        <v>8</v>
      </c>
      <c r="B249" s="5"/>
      <c r="C249" s="74"/>
      <c r="D249" s="6"/>
      <c r="E249" s="6"/>
      <c r="F249" s="6"/>
      <c r="G249" s="6"/>
      <c r="H249" s="6"/>
      <c r="I249" s="6"/>
    </row>
    <row r="250" spans="1:9" hidden="1" x14ac:dyDescent="0.2">
      <c r="A250" s="8" t="s">
        <v>9</v>
      </c>
      <c r="B250" s="5"/>
      <c r="C250" s="74"/>
      <c r="D250" s="6"/>
      <c r="E250" s="6"/>
      <c r="F250" s="6"/>
      <c r="G250" s="6"/>
      <c r="H250" s="6"/>
      <c r="I250" s="6"/>
    </row>
    <row r="251" spans="1:9" hidden="1" x14ac:dyDescent="0.2">
      <c r="A251" s="312" t="s">
        <v>10</v>
      </c>
      <c r="B251" s="313"/>
      <c r="C251" s="313"/>
      <c r="D251" s="313"/>
      <c r="E251" s="314"/>
      <c r="F251" s="11">
        <f>SUM(F241:F250)</f>
        <v>0</v>
      </c>
      <c r="G251" s="11">
        <f>SUM(G241:G250)</f>
        <v>0</v>
      </c>
      <c r="H251" s="11">
        <f>SUM(H241:H250)</f>
        <v>0</v>
      </c>
      <c r="I251" s="11"/>
    </row>
    <row r="252" spans="1:9" s="25" customFormat="1" ht="18" x14ac:dyDescent="0.2">
      <c r="A252" s="315" t="s">
        <v>39</v>
      </c>
      <c r="B252" s="316"/>
      <c r="C252" s="316"/>
      <c r="D252" s="316"/>
      <c r="E252" s="317"/>
      <c r="F252" s="22">
        <f>F185+F196+F207+F218+F229+F240+F251+F168</f>
        <v>72</v>
      </c>
      <c r="G252" s="22">
        <f>G185+G196+G207+G218+G229+G240+G251+G168</f>
        <v>20</v>
      </c>
      <c r="H252" s="22">
        <f>H185+H196+H207+H218+H229+H240+H251+H168</f>
        <v>491</v>
      </c>
      <c r="I252" s="22"/>
    </row>
    <row r="253" spans="1:9" ht="21.95" customHeight="1" x14ac:dyDescent="0.2">
      <c r="A253" s="319" t="s">
        <v>14</v>
      </c>
      <c r="B253" s="319"/>
      <c r="C253" s="319"/>
      <c r="D253" s="319"/>
      <c r="E253" s="319"/>
      <c r="F253" s="319"/>
      <c r="G253" s="319"/>
      <c r="H253" s="319"/>
      <c r="I253" s="319"/>
    </row>
    <row r="254" spans="1:9" s="53" customFormat="1" ht="20.100000000000001" customHeight="1" x14ac:dyDescent="0.2">
      <c r="A254" s="323" t="s">
        <v>86</v>
      </c>
      <c r="B254" s="323"/>
      <c r="C254" s="323"/>
      <c r="D254" s="323"/>
      <c r="E254" s="323"/>
      <c r="F254" s="50" t="str">
        <f>F170</f>
        <v>เมษายน</v>
      </c>
      <c r="G254" s="50" t="s">
        <v>87</v>
      </c>
      <c r="H254" s="51">
        <f>H170</f>
        <v>2569</v>
      </c>
      <c r="I254" s="52"/>
    </row>
    <row r="255" spans="1:9" s="3" customFormat="1" ht="20.100000000000001" customHeight="1" x14ac:dyDescent="0.35">
      <c r="A255" s="318" t="s">
        <v>36</v>
      </c>
      <c r="B255" s="318"/>
      <c r="C255" s="318"/>
      <c r="D255" s="2"/>
      <c r="F255" s="4"/>
      <c r="G255" s="4"/>
      <c r="H255" s="4" t="s">
        <v>21</v>
      </c>
      <c r="I255" s="40">
        <f>I171+1</f>
        <v>4</v>
      </c>
    </row>
    <row r="256" spans="1:9" s="3" customFormat="1" ht="20.100000000000001" customHeight="1" x14ac:dyDescent="0.35">
      <c r="A256" s="311" t="s">
        <v>79</v>
      </c>
      <c r="B256" s="311"/>
      <c r="C256" s="311"/>
      <c r="D256" s="2"/>
      <c r="E256" s="39" t="s">
        <v>81</v>
      </c>
      <c r="F256" s="308">
        <f>F172</f>
        <v>46107</v>
      </c>
      <c r="G256" s="308"/>
      <c r="H256" s="39" t="s">
        <v>82</v>
      </c>
      <c r="I256" s="34">
        <f>I172</f>
        <v>46136</v>
      </c>
    </row>
    <row r="257" spans="1:9" x14ac:dyDescent="0.2">
      <c r="A257" s="12" t="s">
        <v>23</v>
      </c>
      <c r="B257" s="13" t="s">
        <v>11</v>
      </c>
      <c r="C257" s="72" t="s">
        <v>26</v>
      </c>
      <c r="D257" s="12" t="s">
        <v>16</v>
      </c>
      <c r="E257" s="12" t="s">
        <v>17</v>
      </c>
      <c r="F257" s="310" t="s">
        <v>46</v>
      </c>
      <c r="G257" s="310"/>
      <c r="H257" s="310"/>
      <c r="I257" s="12" t="s">
        <v>19</v>
      </c>
    </row>
    <row r="258" spans="1:9" x14ac:dyDescent="0.2">
      <c r="A258" s="15"/>
      <c r="B258" s="16"/>
      <c r="C258" s="73"/>
      <c r="D258" s="15"/>
      <c r="E258" s="15"/>
      <c r="F258" s="21" t="s">
        <v>113</v>
      </c>
      <c r="G258" s="21" t="s">
        <v>114</v>
      </c>
      <c r="H258" s="21" t="s">
        <v>20</v>
      </c>
      <c r="I258" s="15"/>
    </row>
    <row r="259" spans="1:9" hidden="1" x14ac:dyDescent="0.2">
      <c r="A259" s="8" t="s">
        <v>0</v>
      </c>
      <c r="B259" s="5">
        <f>B241+1</f>
        <v>46128</v>
      </c>
      <c r="C259" s="74"/>
      <c r="D259" s="6"/>
      <c r="E259" s="6"/>
      <c r="F259" s="6"/>
      <c r="G259" s="6"/>
      <c r="H259" s="6"/>
      <c r="I259" s="6"/>
    </row>
    <row r="260" spans="1:9" hidden="1" x14ac:dyDescent="0.2">
      <c r="A260" s="8" t="s">
        <v>1</v>
      </c>
      <c r="B260" s="5"/>
      <c r="C260" s="74"/>
      <c r="D260" s="6"/>
      <c r="E260" s="6"/>
      <c r="F260" s="6"/>
      <c r="G260" s="6"/>
      <c r="H260" s="6"/>
      <c r="I260" s="6"/>
    </row>
    <row r="261" spans="1:9" hidden="1" x14ac:dyDescent="0.2">
      <c r="A261" s="8" t="s">
        <v>2</v>
      </c>
      <c r="B261" s="5"/>
      <c r="C261" s="74"/>
      <c r="D261" s="6"/>
      <c r="E261" s="6"/>
      <c r="F261" s="6"/>
      <c r="G261" s="6"/>
      <c r="H261" s="6"/>
      <c r="I261" s="6"/>
    </row>
    <row r="262" spans="1:9" hidden="1" x14ac:dyDescent="0.2">
      <c r="A262" s="8" t="s">
        <v>3</v>
      </c>
      <c r="B262" s="5"/>
      <c r="C262" s="74"/>
      <c r="D262" s="6"/>
      <c r="E262" s="6"/>
      <c r="F262" s="6"/>
      <c r="G262" s="6"/>
      <c r="H262" s="6"/>
      <c r="I262" s="6"/>
    </row>
    <row r="263" spans="1:9" hidden="1" x14ac:dyDescent="0.2">
      <c r="A263" s="8" t="s">
        <v>4</v>
      </c>
      <c r="B263" s="5"/>
      <c r="C263" s="74"/>
      <c r="D263" s="6"/>
      <c r="E263" s="6"/>
      <c r="F263" s="6"/>
      <c r="G263" s="6"/>
      <c r="H263" s="6"/>
      <c r="I263" s="6"/>
    </row>
    <row r="264" spans="1:9" hidden="1" x14ac:dyDescent="0.2">
      <c r="A264" s="8" t="s">
        <v>5</v>
      </c>
      <c r="B264" s="5"/>
      <c r="C264" s="74"/>
      <c r="D264" s="6"/>
      <c r="E264" s="6"/>
      <c r="F264" s="6"/>
      <c r="G264" s="6"/>
      <c r="H264" s="6"/>
      <c r="I264" s="6"/>
    </row>
    <row r="265" spans="1:9" hidden="1" x14ac:dyDescent="0.2">
      <c r="A265" s="8" t="s">
        <v>6</v>
      </c>
      <c r="B265" s="5"/>
      <c r="C265" s="74"/>
      <c r="D265" s="6"/>
      <c r="E265" s="6"/>
      <c r="F265" s="6"/>
      <c r="G265" s="6"/>
      <c r="H265" s="6"/>
      <c r="I265" s="6"/>
    </row>
    <row r="266" spans="1:9" hidden="1" x14ac:dyDescent="0.2">
      <c r="A266" s="8" t="s">
        <v>7</v>
      </c>
      <c r="B266" s="5"/>
      <c r="C266" s="74"/>
      <c r="D266" s="6"/>
      <c r="E266" s="6"/>
      <c r="F266" s="6"/>
      <c r="G266" s="6"/>
      <c r="H266" s="6"/>
      <c r="I266" s="6"/>
    </row>
    <row r="267" spans="1:9" hidden="1" x14ac:dyDescent="0.2">
      <c r="A267" s="8" t="s">
        <v>8</v>
      </c>
      <c r="B267" s="5"/>
      <c r="C267" s="74"/>
      <c r="D267" s="6"/>
      <c r="E267" s="6"/>
      <c r="F267" s="6"/>
      <c r="G267" s="6"/>
      <c r="H267" s="6"/>
      <c r="I267" s="6"/>
    </row>
    <row r="268" spans="1:9" hidden="1" x14ac:dyDescent="0.2">
      <c r="A268" s="8" t="s">
        <v>9</v>
      </c>
      <c r="B268" s="5"/>
      <c r="C268" s="74"/>
      <c r="D268" s="6"/>
      <c r="E268" s="6"/>
      <c r="F268" s="6"/>
      <c r="G268" s="6"/>
      <c r="H268" s="6"/>
      <c r="I268" s="6"/>
    </row>
    <row r="269" spans="1:9" hidden="1" x14ac:dyDescent="0.2">
      <c r="A269" s="312" t="s">
        <v>10</v>
      </c>
      <c r="B269" s="313"/>
      <c r="C269" s="313"/>
      <c r="D269" s="313"/>
      <c r="E269" s="314"/>
      <c r="F269" s="11">
        <f>SUM(F259:F268)</f>
        <v>0</v>
      </c>
      <c r="G269" s="11">
        <f>SUM(G259:G268)</f>
        <v>0</v>
      </c>
      <c r="H269" s="11">
        <f>SUM(H259:H268)</f>
        <v>0</v>
      </c>
      <c r="I269" s="11"/>
    </row>
    <row r="270" spans="1:9" hidden="1" x14ac:dyDescent="0.2">
      <c r="A270" s="8" t="s">
        <v>0</v>
      </c>
      <c r="B270" s="5">
        <f>B259+1</f>
        <v>46129</v>
      </c>
      <c r="C270" s="74"/>
      <c r="D270" s="6"/>
      <c r="E270" s="6"/>
      <c r="F270" s="6"/>
      <c r="G270" s="6"/>
      <c r="H270" s="6"/>
      <c r="I270" s="6"/>
    </row>
    <row r="271" spans="1:9" hidden="1" x14ac:dyDescent="0.2">
      <c r="A271" s="8" t="s">
        <v>1</v>
      </c>
      <c r="B271" s="5"/>
      <c r="C271" s="74"/>
      <c r="D271" s="6"/>
      <c r="E271" s="6"/>
      <c r="F271" s="6"/>
      <c r="G271" s="6"/>
      <c r="H271" s="6"/>
      <c r="I271" s="6"/>
    </row>
    <row r="272" spans="1:9" hidden="1" x14ac:dyDescent="0.2">
      <c r="A272" s="8" t="s">
        <v>2</v>
      </c>
      <c r="B272" s="5"/>
      <c r="C272" s="74"/>
      <c r="D272" s="6"/>
      <c r="E272" s="6"/>
      <c r="F272" s="6"/>
      <c r="G272" s="6"/>
      <c r="H272" s="6"/>
      <c r="I272" s="6"/>
    </row>
    <row r="273" spans="1:9" hidden="1" x14ac:dyDescent="0.2">
      <c r="A273" s="8" t="s">
        <v>3</v>
      </c>
      <c r="B273" s="5"/>
      <c r="C273" s="74"/>
      <c r="D273" s="6"/>
      <c r="E273" s="6"/>
      <c r="F273" s="6"/>
      <c r="G273" s="6"/>
      <c r="H273" s="6"/>
      <c r="I273" s="6"/>
    </row>
    <row r="274" spans="1:9" hidden="1" x14ac:dyDescent="0.2">
      <c r="A274" s="8" t="s">
        <v>4</v>
      </c>
      <c r="B274" s="5"/>
      <c r="C274" s="74"/>
      <c r="D274" s="6"/>
      <c r="E274" s="6"/>
      <c r="F274" s="6"/>
      <c r="G274" s="6"/>
      <c r="H274" s="6"/>
      <c r="I274" s="6"/>
    </row>
    <row r="275" spans="1:9" hidden="1" x14ac:dyDescent="0.2">
      <c r="A275" s="8" t="s">
        <v>5</v>
      </c>
      <c r="B275" s="5"/>
      <c r="C275" s="74"/>
      <c r="D275" s="6"/>
      <c r="E275" s="6"/>
      <c r="F275" s="6"/>
      <c r="G275" s="6"/>
      <c r="H275" s="6"/>
      <c r="I275" s="6"/>
    </row>
    <row r="276" spans="1:9" hidden="1" x14ac:dyDescent="0.2">
      <c r="A276" s="8" t="s">
        <v>6</v>
      </c>
      <c r="B276" s="5"/>
      <c r="C276" s="74"/>
      <c r="D276" s="6"/>
      <c r="E276" s="6"/>
      <c r="F276" s="6"/>
      <c r="G276" s="6"/>
      <c r="H276" s="6"/>
      <c r="I276" s="6"/>
    </row>
    <row r="277" spans="1:9" hidden="1" x14ac:dyDescent="0.2">
      <c r="A277" s="8" t="s">
        <v>7</v>
      </c>
      <c r="B277" s="5"/>
      <c r="C277" s="74"/>
      <c r="D277" s="6"/>
      <c r="E277" s="6"/>
      <c r="F277" s="6"/>
      <c r="G277" s="6"/>
      <c r="H277" s="6"/>
      <c r="I277" s="6"/>
    </row>
    <row r="278" spans="1:9" hidden="1" x14ac:dyDescent="0.2">
      <c r="A278" s="8" t="s">
        <v>8</v>
      </c>
      <c r="B278" s="5"/>
      <c r="C278" s="74"/>
      <c r="D278" s="6"/>
      <c r="E278" s="6"/>
      <c r="F278" s="6"/>
      <c r="G278" s="6"/>
      <c r="H278" s="6"/>
      <c r="I278" s="6"/>
    </row>
    <row r="279" spans="1:9" hidden="1" x14ac:dyDescent="0.2">
      <c r="A279" s="8" t="s">
        <v>9</v>
      </c>
      <c r="B279" s="5"/>
      <c r="C279" s="74"/>
      <c r="D279" s="6"/>
      <c r="E279" s="6"/>
      <c r="F279" s="6"/>
      <c r="G279" s="6"/>
      <c r="H279" s="6"/>
      <c r="I279" s="6"/>
    </row>
    <row r="280" spans="1:9" hidden="1" x14ac:dyDescent="0.2">
      <c r="A280" s="312" t="s">
        <v>10</v>
      </c>
      <c r="B280" s="313"/>
      <c r="C280" s="313"/>
      <c r="D280" s="313"/>
      <c r="E280" s="314"/>
      <c r="F280" s="11">
        <f>SUM(F270:F279)</f>
        <v>0</v>
      </c>
      <c r="G280" s="11">
        <f>SUM(G270:G279)</f>
        <v>0</v>
      </c>
      <c r="H280" s="11">
        <f>SUM(H270:H279)</f>
        <v>0</v>
      </c>
      <c r="I280" s="11"/>
    </row>
    <row r="281" spans="1:9" hidden="1" x14ac:dyDescent="0.2">
      <c r="A281" s="8" t="s">
        <v>0</v>
      </c>
      <c r="B281" s="5">
        <f>B270+1</f>
        <v>46130</v>
      </c>
      <c r="C281" s="74"/>
      <c r="D281" s="6"/>
      <c r="E281" s="6"/>
      <c r="F281" s="6"/>
      <c r="G281" s="6"/>
      <c r="H281" s="6"/>
      <c r="I281" s="6"/>
    </row>
    <row r="282" spans="1:9" hidden="1" x14ac:dyDescent="0.2">
      <c r="A282" s="8" t="s">
        <v>1</v>
      </c>
      <c r="B282" s="5"/>
      <c r="C282" s="74"/>
      <c r="D282" s="6"/>
      <c r="E282" s="6"/>
      <c r="F282" s="6"/>
      <c r="G282" s="6"/>
      <c r="H282" s="6"/>
      <c r="I282" s="6"/>
    </row>
    <row r="283" spans="1:9" hidden="1" x14ac:dyDescent="0.2">
      <c r="A283" s="8" t="s">
        <v>2</v>
      </c>
      <c r="B283" s="5"/>
      <c r="C283" s="74"/>
      <c r="D283" s="6"/>
      <c r="E283" s="6"/>
      <c r="F283" s="6"/>
      <c r="G283" s="6"/>
      <c r="H283" s="6"/>
      <c r="I283" s="6"/>
    </row>
    <row r="284" spans="1:9" hidden="1" x14ac:dyDescent="0.2">
      <c r="A284" s="8" t="s">
        <v>3</v>
      </c>
      <c r="B284" s="5"/>
      <c r="C284" s="74"/>
      <c r="D284" s="6"/>
      <c r="E284" s="6"/>
      <c r="F284" s="6"/>
      <c r="G284" s="6"/>
      <c r="H284" s="6"/>
      <c r="I284" s="6"/>
    </row>
    <row r="285" spans="1:9" hidden="1" x14ac:dyDescent="0.2">
      <c r="A285" s="8" t="s">
        <v>4</v>
      </c>
      <c r="B285" s="5"/>
      <c r="C285" s="74"/>
      <c r="D285" s="6"/>
      <c r="E285" s="6"/>
      <c r="F285" s="6"/>
      <c r="G285" s="6"/>
      <c r="H285" s="6"/>
      <c r="I285" s="6"/>
    </row>
    <row r="286" spans="1:9" hidden="1" x14ac:dyDescent="0.2">
      <c r="A286" s="8" t="s">
        <v>5</v>
      </c>
      <c r="B286" s="5"/>
      <c r="C286" s="74"/>
      <c r="D286" s="6"/>
      <c r="E286" s="6"/>
      <c r="F286" s="6"/>
      <c r="G286" s="6"/>
      <c r="H286" s="6"/>
      <c r="I286" s="6"/>
    </row>
    <row r="287" spans="1:9" hidden="1" x14ac:dyDescent="0.2">
      <c r="A287" s="8" t="s">
        <v>6</v>
      </c>
      <c r="B287" s="5"/>
      <c r="C287" s="74"/>
      <c r="D287" s="6"/>
      <c r="E287" s="6"/>
      <c r="F287" s="6"/>
      <c r="G287" s="6"/>
      <c r="H287" s="6"/>
      <c r="I287" s="6"/>
    </row>
    <row r="288" spans="1:9" hidden="1" x14ac:dyDescent="0.2">
      <c r="A288" s="8" t="s">
        <v>7</v>
      </c>
      <c r="B288" s="5"/>
      <c r="C288" s="74"/>
      <c r="D288" s="6"/>
      <c r="E288" s="6"/>
      <c r="F288" s="6"/>
      <c r="G288" s="6"/>
      <c r="H288" s="6"/>
      <c r="I288" s="6"/>
    </row>
    <row r="289" spans="1:9" hidden="1" x14ac:dyDescent="0.2">
      <c r="A289" s="8" t="s">
        <v>8</v>
      </c>
      <c r="B289" s="5"/>
      <c r="C289" s="74"/>
      <c r="D289" s="6"/>
      <c r="E289" s="6"/>
      <c r="F289" s="6"/>
      <c r="G289" s="6"/>
      <c r="H289" s="6"/>
      <c r="I289" s="6"/>
    </row>
    <row r="290" spans="1:9" hidden="1" x14ac:dyDescent="0.2">
      <c r="A290" s="8" t="s">
        <v>9</v>
      </c>
      <c r="B290" s="5"/>
      <c r="C290" s="74"/>
      <c r="D290" s="6"/>
      <c r="E290" s="6"/>
      <c r="F290" s="6"/>
      <c r="G290" s="6"/>
      <c r="H290" s="6"/>
      <c r="I290" s="6"/>
    </row>
    <row r="291" spans="1:9" hidden="1" x14ac:dyDescent="0.2">
      <c r="A291" s="312" t="s">
        <v>10</v>
      </c>
      <c r="B291" s="313"/>
      <c r="C291" s="313"/>
      <c r="D291" s="313"/>
      <c r="E291" s="314"/>
      <c r="F291" s="11">
        <f>SUM(F281:F290)</f>
        <v>0</v>
      </c>
      <c r="G291" s="11">
        <f>SUM(G281:G290)</f>
        <v>0</v>
      </c>
      <c r="H291" s="11">
        <f>SUM(H281:H290)</f>
        <v>0</v>
      </c>
      <c r="I291" s="11"/>
    </row>
    <row r="292" spans="1:9" x14ac:dyDescent="0.2">
      <c r="A292" s="8" t="s">
        <v>0</v>
      </c>
      <c r="B292" s="5">
        <f>B281+1</f>
        <v>46131</v>
      </c>
      <c r="C292" s="75" t="s">
        <v>1286</v>
      </c>
      <c r="D292" s="6" t="s">
        <v>173</v>
      </c>
      <c r="E292" s="6" t="s">
        <v>1287</v>
      </c>
      <c r="F292" s="6">
        <v>1</v>
      </c>
      <c r="G292" s="6"/>
      <c r="H292" s="6">
        <v>5.5</v>
      </c>
      <c r="I292" s="6"/>
    </row>
    <row r="293" spans="1:9" x14ac:dyDescent="0.2">
      <c r="A293" s="8" t="s">
        <v>1</v>
      </c>
      <c r="B293" s="5"/>
      <c r="C293" s="75" t="s">
        <v>1288</v>
      </c>
      <c r="D293" s="6" t="s">
        <v>173</v>
      </c>
      <c r="E293" s="6" t="s">
        <v>165</v>
      </c>
      <c r="F293" s="6">
        <v>1</v>
      </c>
      <c r="G293" s="6"/>
      <c r="H293" s="6">
        <v>5.5</v>
      </c>
      <c r="I293" s="6"/>
    </row>
    <row r="294" spans="1:9" hidden="1" x14ac:dyDescent="0.2">
      <c r="A294" s="8" t="s">
        <v>2</v>
      </c>
      <c r="B294" s="5"/>
      <c r="C294" s="75"/>
      <c r="D294" s="6"/>
      <c r="E294" s="6"/>
      <c r="F294" s="6"/>
      <c r="G294" s="6"/>
      <c r="H294" s="6"/>
      <c r="I294" s="6"/>
    </row>
    <row r="295" spans="1:9" hidden="1" x14ac:dyDescent="0.2">
      <c r="A295" s="8" t="s">
        <v>3</v>
      </c>
      <c r="B295" s="5"/>
      <c r="C295" s="75"/>
      <c r="D295" s="6"/>
      <c r="E295" s="6"/>
      <c r="F295" s="6"/>
      <c r="G295" s="6"/>
      <c r="H295" s="6"/>
      <c r="I295" s="6"/>
    </row>
    <row r="296" spans="1:9" hidden="1" x14ac:dyDescent="0.2">
      <c r="A296" s="8" t="s">
        <v>4</v>
      </c>
      <c r="B296" s="5"/>
      <c r="C296" s="75"/>
      <c r="D296" s="6"/>
      <c r="E296" s="6"/>
      <c r="F296" s="6"/>
      <c r="G296" s="6"/>
      <c r="H296" s="6"/>
      <c r="I296" s="6"/>
    </row>
    <row r="297" spans="1:9" hidden="1" x14ac:dyDescent="0.2">
      <c r="A297" s="8" t="s">
        <v>5</v>
      </c>
      <c r="B297" s="5"/>
      <c r="C297" s="75"/>
      <c r="D297" s="6"/>
      <c r="E297" s="6"/>
      <c r="F297" s="6"/>
      <c r="G297" s="6"/>
      <c r="H297" s="6"/>
      <c r="I297" s="6"/>
    </row>
    <row r="298" spans="1:9" hidden="1" x14ac:dyDescent="0.2">
      <c r="A298" s="8" t="s">
        <v>6</v>
      </c>
      <c r="B298" s="5"/>
      <c r="C298" s="75"/>
      <c r="D298" s="6"/>
      <c r="E298" s="6"/>
      <c r="F298" s="6"/>
      <c r="G298" s="6"/>
      <c r="H298" s="6"/>
      <c r="I298" s="6"/>
    </row>
    <row r="299" spans="1:9" hidden="1" x14ac:dyDescent="0.2">
      <c r="A299" s="8" t="s">
        <v>7</v>
      </c>
      <c r="B299" s="5"/>
      <c r="C299" s="74"/>
      <c r="D299" s="6"/>
      <c r="E299" s="6"/>
      <c r="F299" s="6"/>
      <c r="G299" s="6"/>
      <c r="H299" s="6"/>
      <c r="I299" s="6"/>
    </row>
    <row r="300" spans="1:9" hidden="1" x14ac:dyDescent="0.2">
      <c r="A300" s="8" t="s">
        <v>8</v>
      </c>
      <c r="B300" s="5"/>
      <c r="C300" s="74"/>
      <c r="D300" s="6"/>
      <c r="E300" s="6"/>
      <c r="F300" s="6"/>
      <c r="G300" s="6"/>
      <c r="H300" s="6"/>
      <c r="I300" s="6"/>
    </row>
    <row r="301" spans="1:9" hidden="1" x14ac:dyDescent="0.2">
      <c r="A301" s="8" t="s">
        <v>9</v>
      </c>
      <c r="B301" s="5"/>
      <c r="C301" s="74"/>
      <c r="D301" s="6"/>
      <c r="E301" s="6"/>
      <c r="F301" s="6"/>
      <c r="G301" s="6"/>
      <c r="H301" s="6"/>
      <c r="I301" s="6"/>
    </row>
    <row r="302" spans="1:9" x14ac:dyDescent="0.2">
      <c r="A302" s="312" t="s">
        <v>10</v>
      </c>
      <c r="B302" s="313"/>
      <c r="C302" s="313"/>
      <c r="D302" s="313"/>
      <c r="E302" s="314"/>
      <c r="F302" s="11">
        <f>SUM(F292:F301)</f>
        <v>2</v>
      </c>
      <c r="G302" s="11">
        <f>SUM(G292:G301)</f>
        <v>0</v>
      </c>
      <c r="H302" s="11">
        <f>SUM(H292:H301)</f>
        <v>11</v>
      </c>
      <c r="I302" s="11"/>
    </row>
    <row r="303" spans="1:9" x14ac:dyDescent="0.2">
      <c r="A303" s="8" t="s">
        <v>0</v>
      </c>
      <c r="B303" s="5">
        <f>B292+1</f>
        <v>46132</v>
      </c>
      <c r="C303" s="75" t="s">
        <v>1329</v>
      </c>
      <c r="D303" s="6" t="s">
        <v>334</v>
      </c>
      <c r="E303" s="6" t="s">
        <v>168</v>
      </c>
      <c r="F303" s="6">
        <v>1</v>
      </c>
      <c r="G303" s="6"/>
      <c r="H303" s="6">
        <v>4</v>
      </c>
      <c r="I303" s="6"/>
    </row>
    <row r="304" spans="1:9" x14ac:dyDescent="0.2">
      <c r="A304" s="8" t="s">
        <v>1</v>
      </c>
      <c r="B304" s="5"/>
      <c r="C304" s="75" t="s">
        <v>1330</v>
      </c>
      <c r="D304" s="6" t="s">
        <v>188</v>
      </c>
      <c r="E304" s="6" t="s">
        <v>165</v>
      </c>
      <c r="F304" s="6">
        <v>1</v>
      </c>
      <c r="G304" s="6"/>
      <c r="H304" s="6">
        <v>6</v>
      </c>
      <c r="I304" s="6"/>
    </row>
    <row r="305" spans="1:9" x14ac:dyDescent="0.2">
      <c r="A305" s="8" t="s">
        <v>2</v>
      </c>
      <c r="B305" s="5"/>
      <c r="C305" s="75" t="s">
        <v>1331</v>
      </c>
      <c r="D305" s="6" t="s">
        <v>170</v>
      </c>
      <c r="E305" s="6" t="s">
        <v>165</v>
      </c>
      <c r="F305" s="6">
        <v>1</v>
      </c>
      <c r="G305" s="6"/>
      <c r="H305" s="6">
        <v>6</v>
      </c>
      <c r="I305" s="6"/>
    </row>
    <row r="306" spans="1:9" x14ac:dyDescent="0.2">
      <c r="A306" s="8" t="s">
        <v>3</v>
      </c>
      <c r="B306" s="5"/>
      <c r="C306" s="75" t="s">
        <v>1332</v>
      </c>
      <c r="D306" s="6" t="s">
        <v>211</v>
      </c>
      <c r="E306" s="6" t="s">
        <v>165</v>
      </c>
      <c r="F306" s="6">
        <v>1</v>
      </c>
      <c r="G306" s="6"/>
      <c r="H306" s="6">
        <v>3.5</v>
      </c>
      <c r="I306" s="6"/>
    </row>
    <row r="307" spans="1:9" x14ac:dyDescent="0.2">
      <c r="A307" s="8" t="s">
        <v>4</v>
      </c>
      <c r="B307" s="5"/>
      <c r="C307" s="75" t="s">
        <v>1333</v>
      </c>
      <c r="D307" s="6" t="s">
        <v>188</v>
      </c>
      <c r="E307" s="6" t="s">
        <v>165</v>
      </c>
      <c r="F307" s="6">
        <v>1</v>
      </c>
      <c r="G307" s="6"/>
      <c r="H307" s="6">
        <v>6</v>
      </c>
      <c r="I307" s="6"/>
    </row>
    <row r="308" spans="1:9" x14ac:dyDescent="0.2">
      <c r="A308" s="8" t="s">
        <v>5</v>
      </c>
      <c r="B308" s="5"/>
      <c r="C308" s="75" t="s">
        <v>1335</v>
      </c>
      <c r="D308" s="6" t="s">
        <v>347</v>
      </c>
      <c r="E308" s="6" t="s">
        <v>174</v>
      </c>
      <c r="F308" s="6"/>
      <c r="G308" s="6">
        <v>1</v>
      </c>
      <c r="H308" s="6">
        <v>6</v>
      </c>
      <c r="I308" s="6"/>
    </row>
    <row r="309" spans="1:9" hidden="1" x14ac:dyDescent="0.2">
      <c r="A309" s="8" t="s">
        <v>6</v>
      </c>
      <c r="B309" s="5"/>
      <c r="C309" s="74"/>
      <c r="D309" s="6"/>
      <c r="E309" s="6"/>
      <c r="F309" s="6"/>
      <c r="G309" s="6"/>
      <c r="H309" s="6"/>
      <c r="I309" s="6"/>
    </row>
    <row r="310" spans="1:9" hidden="1" x14ac:dyDescent="0.2">
      <c r="A310" s="8" t="s">
        <v>7</v>
      </c>
      <c r="B310" s="5"/>
      <c r="C310" s="74"/>
      <c r="D310" s="6"/>
      <c r="E310" s="6"/>
      <c r="F310" s="6"/>
      <c r="G310" s="6"/>
      <c r="H310" s="6"/>
      <c r="I310" s="6"/>
    </row>
    <row r="311" spans="1:9" hidden="1" x14ac:dyDescent="0.2">
      <c r="A311" s="8" t="s">
        <v>8</v>
      </c>
      <c r="B311" s="5"/>
      <c r="C311" s="74"/>
      <c r="D311" s="6"/>
      <c r="E311" s="6"/>
      <c r="F311" s="6"/>
      <c r="G311" s="6"/>
      <c r="H311" s="6"/>
      <c r="I311" s="6"/>
    </row>
    <row r="312" spans="1:9" hidden="1" x14ac:dyDescent="0.2">
      <c r="A312" s="8" t="s">
        <v>9</v>
      </c>
      <c r="B312" s="5"/>
      <c r="C312" s="74"/>
      <c r="D312" s="6"/>
      <c r="E312" s="6"/>
      <c r="F312" s="6"/>
      <c r="G312" s="6"/>
      <c r="H312" s="6"/>
      <c r="I312" s="6"/>
    </row>
    <row r="313" spans="1:9" x14ac:dyDescent="0.2">
      <c r="A313" s="312" t="s">
        <v>10</v>
      </c>
      <c r="B313" s="313"/>
      <c r="C313" s="313"/>
      <c r="D313" s="313"/>
      <c r="E313" s="314"/>
      <c r="F313" s="11">
        <f>SUM(F303:F312)</f>
        <v>5</v>
      </c>
      <c r="G313" s="11">
        <f>SUM(G303:G312)</f>
        <v>1</v>
      </c>
      <c r="H313" s="11">
        <f>SUM(H303:H312)</f>
        <v>31.5</v>
      </c>
      <c r="I313" s="11"/>
    </row>
    <row r="314" spans="1:9" x14ac:dyDescent="0.2">
      <c r="A314" s="8" t="s">
        <v>0</v>
      </c>
      <c r="B314" s="5">
        <f>B303+1</f>
        <v>46133</v>
      </c>
      <c r="C314" s="75" t="s">
        <v>1406</v>
      </c>
      <c r="D314" s="6" t="s">
        <v>342</v>
      </c>
      <c r="E314" s="6" t="s">
        <v>165</v>
      </c>
      <c r="F314" s="6">
        <v>1</v>
      </c>
      <c r="G314" s="6"/>
      <c r="H314" s="6">
        <v>6</v>
      </c>
      <c r="I314" s="6"/>
    </row>
    <row r="315" spans="1:9" x14ac:dyDescent="0.2">
      <c r="A315" s="8" t="s">
        <v>1</v>
      </c>
      <c r="B315" s="5"/>
      <c r="C315" s="75" t="s">
        <v>1410</v>
      </c>
      <c r="D315" s="6" t="s">
        <v>170</v>
      </c>
      <c r="E315" s="6" t="s">
        <v>171</v>
      </c>
      <c r="F315" s="6">
        <v>1</v>
      </c>
      <c r="G315" s="6"/>
      <c r="H315" s="6">
        <v>6</v>
      </c>
      <c r="I315" s="6"/>
    </row>
    <row r="316" spans="1:9" x14ac:dyDescent="0.2">
      <c r="A316" s="8" t="s">
        <v>2</v>
      </c>
      <c r="B316" s="5"/>
      <c r="C316" s="75" t="s">
        <v>1411</v>
      </c>
      <c r="D316" s="6" t="s">
        <v>170</v>
      </c>
      <c r="E316" s="6" t="s">
        <v>171</v>
      </c>
      <c r="F316" s="6">
        <v>1</v>
      </c>
      <c r="G316" s="6"/>
      <c r="H316" s="6">
        <v>6</v>
      </c>
      <c r="I316" s="6"/>
    </row>
    <row r="317" spans="1:9" x14ac:dyDescent="0.2">
      <c r="A317" s="8" t="s">
        <v>3</v>
      </c>
      <c r="B317" s="5"/>
      <c r="C317" s="75" t="s">
        <v>1412</v>
      </c>
      <c r="D317" s="6" t="s">
        <v>170</v>
      </c>
      <c r="E317" s="6" t="s">
        <v>171</v>
      </c>
      <c r="F317" s="6">
        <v>1</v>
      </c>
      <c r="G317" s="6"/>
      <c r="H317" s="6">
        <v>6</v>
      </c>
      <c r="I317" s="6"/>
    </row>
    <row r="318" spans="1:9" x14ac:dyDescent="0.2">
      <c r="A318" s="8" t="s">
        <v>4</v>
      </c>
      <c r="B318" s="5"/>
      <c r="C318" s="75" t="s">
        <v>1413</v>
      </c>
      <c r="D318" s="6" t="s">
        <v>170</v>
      </c>
      <c r="E318" s="6" t="s">
        <v>171</v>
      </c>
      <c r="F318" s="6">
        <v>1</v>
      </c>
      <c r="G318" s="6"/>
      <c r="H318" s="6">
        <v>6</v>
      </c>
      <c r="I318" s="6"/>
    </row>
    <row r="319" spans="1:9" x14ac:dyDescent="0.2">
      <c r="A319" s="8" t="s">
        <v>5</v>
      </c>
      <c r="B319" s="5"/>
      <c r="C319" s="75" t="s">
        <v>1414</v>
      </c>
      <c r="D319" s="6" t="s">
        <v>170</v>
      </c>
      <c r="E319" s="6" t="s">
        <v>171</v>
      </c>
      <c r="F319" s="6"/>
      <c r="G319" s="6">
        <v>1</v>
      </c>
      <c r="H319" s="6">
        <v>6</v>
      </c>
      <c r="I319" s="6"/>
    </row>
    <row r="320" spans="1:9" x14ac:dyDescent="0.2">
      <c r="A320" s="8" t="s">
        <v>6</v>
      </c>
      <c r="B320" s="5"/>
      <c r="C320" s="75" t="s">
        <v>1415</v>
      </c>
      <c r="D320" s="6" t="s">
        <v>170</v>
      </c>
      <c r="E320" s="6" t="s">
        <v>171</v>
      </c>
      <c r="F320" s="6"/>
      <c r="G320" s="6">
        <v>1</v>
      </c>
      <c r="H320" s="6">
        <v>6</v>
      </c>
      <c r="I320" s="6"/>
    </row>
    <row r="321" spans="1:9" hidden="1" x14ac:dyDescent="0.2">
      <c r="A321" s="8" t="s">
        <v>7</v>
      </c>
      <c r="B321" s="5"/>
      <c r="C321" s="75"/>
      <c r="D321" s="6"/>
      <c r="E321" s="6"/>
      <c r="F321" s="6"/>
      <c r="G321" s="6"/>
      <c r="H321" s="6"/>
      <c r="I321" s="6"/>
    </row>
    <row r="322" spans="1:9" hidden="1" x14ac:dyDescent="0.2">
      <c r="A322" s="8" t="s">
        <v>8</v>
      </c>
      <c r="B322" s="5"/>
      <c r="C322" s="75"/>
      <c r="D322" s="6"/>
      <c r="E322" s="6"/>
      <c r="F322" s="6"/>
      <c r="G322" s="6"/>
      <c r="H322" s="6"/>
      <c r="I322" s="6"/>
    </row>
    <row r="323" spans="1:9" hidden="1" x14ac:dyDescent="0.2">
      <c r="A323" s="8" t="s">
        <v>9</v>
      </c>
      <c r="B323" s="5"/>
      <c r="C323" s="75"/>
      <c r="D323" s="6"/>
      <c r="E323" s="6"/>
      <c r="F323" s="6"/>
      <c r="G323" s="6"/>
      <c r="H323" s="6"/>
      <c r="I323" s="6"/>
    </row>
    <row r="324" spans="1:9" x14ac:dyDescent="0.2">
      <c r="A324" s="312" t="s">
        <v>10</v>
      </c>
      <c r="B324" s="313"/>
      <c r="C324" s="313"/>
      <c r="D324" s="313"/>
      <c r="E324" s="314"/>
      <c r="F324" s="11">
        <f>SUM(F314:F323)</f>
        <v>5</v>
      </c>
      <c r="G324" s="11">
        <f>SUM(G314:G323)</f>
        <v>2</v>
      </c>
      <c r="H324" s="11">
        <f>SUM(H314:H323)</f>
        <v>42</v>
      </c>
      <c r="I324" s="11"/>
    </row>
    <row r="325" spans="1:9" x14ac:dyDescent="0.2">
      <c r="A325" s="8" t="s">
        <v>0</v>
      </c>
      <c r="B325" s="5">
        <f>B314+1</f>
        <v>46134</v>
      </c>
      <c r="C325" s="74" t="s">
        <v>1471</v>
      </c>
      <c r="D325" s="6" t="s">
        <v>1079</v>
      </c>
      <c r="E325" s="6" t="s">
        <v>190</v>
      </c>
      <c r="F325" s="6">
        <v>1</v>
      </c>
      <c r="G325" s="6"/>
      <c r="H325" s="6">
        <v>1</v>
      </c>
      <c r="I325" s="6"/>
    </row>
    <row r="326" spans="1:9" x14ac:dyDescent="0.2">
      <c r="A326" s="8" t="s">
        <v>1</v>
      </c>
      <c r="B326" s="5"/>
      <c r="C326" s="74" t="s">
        <v>1472</v>
      </c>
      <c r="D326" s="6" t="s">
        <v>173</v>
      </c>
      <c r="E326" s="6" t="s">
        <v>165</v>
      </c>
      <c r="F326" s="6">
        <v>1</v>
      </c>
      <c r="G326" s="6"/>
      <c r="H326" s="6">
        <v>6</v>
      </c>
      <c r="I326" s="6"/>
    </row>
    <row r="327" spans="1:9" x14ac:dyDescent="0.2">
      <c r="A327" s="8" t="s">
        <v>2</v>
      </c>
      <c r="B327" s="5"/>
      <c r="C327" s="74" t="s">
        <v>1473</v>
      </c>
      <c r="D327" s="6" t="s">
        <v>170</v>
      </c>
      <c r="E327" s="6" t="s">
        <v>171</v>
      </c>
      <c r="F327" s="6">
        <v>1</v>
      </c>
      <c r="G327" s="6"/>
      <c r="H327" s="6">
        <v>6</v>
      </c>
      <c r="I327" s="6"/>
    </row>
    <row r="328" spans="1:9" x14ac:dyDescent="0.2">
      <c r="A328" s="8" t="s">
        <v>3</v>
      </c>
      <c r="B328" s="5"/>
      <c r="C328" s="74" t="s">
        <v>1474</v>
      </c>
      <c r="D328" s="6" t="s">
        <v>170</v>
      </c>
      <c r="E328" s="6" t="s">
        <v>171</v>
      </c>
      <c r="F328" s="6">
        <v>1</v>
      </c>
      <c r="G328" s="6"/>
      <c r="H328" s="6">
        <v>6</v>
      </c>
      <c r="I328" s="6"/>
    </row>
    <row r="329" spans="1:9" hidden="1" x14ac:dyDescent="0.2">
      <c r="A329" s="8" t="s">
        <v>4</v>
      </c>
      <c r="B329" s="5"/>
      <c r="C329" s="74"/>
      <c r="D329" s="6"/>
      <c r="E329" s="6"/>
      <c r="F329" s="6"/>
      <c r="G329" s="6"/>
      <c r="H329" s="6"/>
      <c r="I329" s="6"/>
    </row>
    <row r="330" spans="1:9" hidden="1" x14ac:dyDescent="0.2">
      <c r="A330" s="8" t="s">
        <v>5</v>
      </c>
      <c r="B330" s="5"/>
      <c r="C330" s="74"/>
      <c r="D330" s="6"/>
      <c r="E330" s="6"/>
      <c r="F330" s="6"/>
      <c r="G330" s="6"/>
      <c r="H330" s="6"/>
      <c r="I330" s="6"/>
    </row>
    <row r="331" spans="1:9" hidden="1" x14ac:dyDescent="0.2">
      <c r="A331" s="8" t="s">
        <v>6</v>
      </c>
      <c r="B331" s="5"/>
      <c r="C331" s="74"/>
      <c r="D331" s="6"/>
      <c r="E331" s="6"/>
      <c r="F331" s="6"/>
      <c r="G331" s="6"/>
      <c r="H331" s="6"/>
      <c r="I331" s="6"/>
    </row>
    <row r="332" spans="1:9" hidden="1" x14ac:dyDescent="0.2">
      <c r="A332" s="8" t="s">
        <v>7</v>
      </c>
      <c r="B332" s="5"/>
      <c r="C332" s="74"/>
      <c r="D332" s="6"/>
      <c r="E332" s="6"/>
      <c r="F332" s="6"/>
      <c r="G332" s="6"/>
      <c r="H332" s="6"/>
      <c r="I332" s="6"/>
    </row>
    <row r="333" spans="1:9" hidden="1" x14ac:dyDescent="0.2">
      <c r="A333" s="8" t="s">
        <v>8</v>
      </c>
      <c r="B333" s="5"/>
      <c r="C333" s="74"/>
      <c r="D333" s="6"/>
      <c r="E333" s="6"/>
      <c r="F333" s="6"/>
      <c r="G333" s="6"/>
      <c r="H333" s="6"/>
      <c r="I333" s="6"/>
    </row>
    <row r="334" spans="1:9" hidden="1" x14ac:dyDescent="0.2">
      <c r="A334" s="8" t="s">
        <v>9</v>
      </c>
      <c r="B334" s="5"/>
      <c r="C334" s="74"/>
      <c r="D334" s="6"/>
      <c r="E334" s="6"/>
      <c r="F334" s="6"/>
      <c r="G334" s="6"/>
      <c r="H334" s="6"/>
      <c r="I334" s="6"/>
    </row>
    <row r="335" spans="1:9" x14ac:dyDescent="0.2">
      <c r="A335" s="312" t="s">
        <v>10</v>
      </c>
      <c r="B335" s="313"/>
      <c r="C335" s="313"/>
      <c r="D335" s="313"/>
      <c r="E335" s="314"/>
      <c r="F335" s="11">
        <f>SUM(F325:F334)</f>
        <v>4</v>
      </c>
      <c r="G335" s="11">
        <f>SUM(G325:G334)</f>
        <v>0</v>
      </c>
      <c r="H335" s="11">
        <f>SUM(H325:H334)</f>
        <v>19</v>
      </c>
      <c r="I335" s="11"/>
    </row>
    <row r="336" spans="1:9" s="25" customFormat="1" ht="18" x14ac:dyDescent="0.2">
      <c r="A336" s="315" t="s">
        <v>39</v>
      </c>
      <c r="B336" s="316"/>
      <c r="C336" s="316"/>
      <c r="D336" s="316"/>
      <c r="E336" s="317"/>
      <c r="F336" s="22">
        <f>F269+F280+F291+F302+F313+F324+F335+F252</f>
        <v>88</v>
      </c>
      <c r="G336" s="22">
        <f>G269+G280+G291+G302+G313+G324+G335+G252</f>
        <v>23</v>
      </c>
      <c r="H336" s="22">
        <f>H269+H280+H291+H302+H313+H324+H335+H252</f>
        <v>594.5</v>
      </c>
      <c r="I336" s="22"/>
    </row>
    <row r="337" spans="1:9" ht="21.95" customHeight="1" x14ac:dyDescent="0.2">
      <c r="A337" s="319" t="s">
        <v>14</v>
      </c>
      <c r="B337" s="319"/>
      <c r="C337" s="319"/>
      <c r="D337" s="319"/>
      <c r="E337" s="319"/>
      <c r="F337" s="319"/>
      <c r="G337" s="319"/>
      <c r="H337" s="319"/>
      <c r="I337" s="319"/>
    </row>
    <row r="338" spans="1:9" s="53" customFormat="1" ht="20.100000000000001" customHeight="1" x14ac:dyDescent="0.2">
      <c r="A338" s="323" t="s">
        <v>86</v>
      </c>
      <c r="B338" s="323"/>
      <c r="C338" s="323"/>
      <c r="D338" s="323"/>
      <c r="E338" s="323"/>
      <c r="F338" s="50" t="str">
        <f>F254</f>
        <v>เมษายน</v>
      </c>
      <c r="G338" s="50" t="s">
        <v>87</v>
      </c>
      <c r="H338" s="51">
        <f>H254</f>
        <v>2569</v>
      </c>
      <c r="I338" s="52"/>
    </row>
    <row r="339" spans="1:9" s="3" customFormat="1" ht="20.100000000000001" customHeight="1" x14ac:dyDescent="0.35">
      <c r="A339" s="318" t="s">
        <v>36</v>
      </c>
      <c r="B339" s="318"/>
      <c r="C339" s="318"/>
      <c r="D339" s="2"/>
      <c r="F339" s="4"/>
      <c r="G339" s="4"/>
      <c r="H339" s="4" t="s">
        <v>21</v>
      </c>
      <c r="I339" s="40">
        <f>I255+1</f>
        <v>5</v>
      </c>
    </row>
    <row r="340" spans="1:9" s="3" customFormat="1" ht="20.100000000000001" customHeight="1" x14ac:dyDescent="0.35">
      <c r="A340" s="311" t="s">
        <v>79</v>
      </c>
      <c r="B340" s="311"/>
      <c r="C340" s="311"/>
      <c r="D340" s="2"/>
      <c r="E340" s="39" t="s">
        <v>81</v>
      </c>
      <c r="F340" s="308">
        <f>F256</f>
        <v>46107</v>
      </c>
      <c r="G340" s="308"/>
      <c r="H340" s="39" t="s">
        <v>82</v>
      </c>
      <c r="I340" s="34">
        <f>I256</f>
        <v>46136</v>
      </c>
    </row>
    <row r="341" spans="1:9" x14ac:dyDescent="0.2">
      <c r="A341" s="12" t="s">
        <v>23</v>
      </c>
      <c r="B341" s="13" t="s">
        <v>11</v>
      </c>
      <c r="C341" s="72" t="s">
        <v>26</v>
      </c>
      <c r="D341" s="12" t="s">
        <v>16</v>
      </c>
      <c r="E341" s="12" t="s">
        <v>17</v>
      </c>
      <c r="F341" s="310" t="s">
        <v>46</v>
      </c>
      <c r="G341" s="310"/>
      <c r="H341" s="310"/>
      <c r="I341" s="12" t="s">
        <v>19</v>
      </c>
    </row>
    <row r="342" spans="1:9" x14ac:dyDescent="0.2">
      <c r="A342" s="15"/>
      <c r="B342" s="16"/>
      <c r="C342" s="73"/>
      <c r="D342" s="15"/>
      <c r="E342" s="15"/>
      <c r="F342" s="21" t="s">
        <v>113</v>
      </c>
      <c r="G342" s="21" t="s">
        <v>114</v>
      </c>
      <c r="H342" s="21" t="s">
        <v>20</v>
      </c>
      <c r="I342" s="15"/>
    </row>
    <row r="343" spans="1:9" x14ac:dyDescent="0.2">
      <c r="A343" s="8" t="s">
        <v>0</v>
      </c>
      <c r="B343" s="5">
        <f>B325+1</f>
        <v>46135</v>
      </c>
      <c r="C343" s="74" t="s">
        <v>1535</v>
      </c>
      <c r="D343" s="6" t="s">
        <v>1536</v>
      </c>
      <c r="E343" s="6" t="s">
        <v>174</v>
      </c>
      <c r="F343" s="6">
        <v>1</v>
      </c>
      <c r="G343" s="6"/>
      <c r="H343" s="6">
        <v>5</v>
      </c>
      <c r="I343" s="6"/>
    </row>
    <row r="344" spans="1:9" x14ac:dyDescent="0.2">
      <c r="A344" s="8" t="s">
        <v>1</v>
      </c>
      <c r="B344" s="5"/>
      <c r="C344" s="74" t="s">
        <v>1528</v>
      </c>
      <c r="D344" s="6" t="s">
        <v>188</v>
      </c>
      <c r="E344" s="6" t="s">
        <v>165</v>
      </c>
      <c r="F344" s="6">
        <v>1</v>
      </c>
      <c r="G344" s="6"/>
      <c r="H344" s="6">
        <v>6</v>
      </c>
      <c r="I344" s="6"/>
    </row>
    <row r="345" spans="1:9" x14ac:dyDescent="0.2">
      <c r="A345" s="8" t="s">
        <v>2</v>
      </c>
      <c r="B345" s="5"/>
      <c r="C345" s="74" t="s">
        <v>1537</v>
      </c>
      <c r="D345" s="6" t="s">
        <v>178</v>
      </c>
      <c r="E345" s="6" t="s">
        <v>165</v>
      </c>
      <c r="F345" s="6">
        <v>1</v>
      </c>
      <c r="G345" s="6"/>
      <c r="H345" s="6">
        <v>6</v>
      </c>
      <c r="I345" s="6"/>
    </row>
    <row r="346" spans="1:9" x14ac:dyDescent="0.2">
      <c r="A346" s="8" t="s">
        <v>3</v>
      </c>
      <c r="B346" s="5"/>
      <c r="C346" s="74" t="s">
        <v>1512</v>
      </c>
      <c r="D346" s="6" t="s">
        <v>347</v>
      </c>
      <c r="E346" s="6" t="s">
        <v>190</v>
      </c>
      <c r="F346" s="6">
        <v>1</v>
      </c>
      <c r="G346" s="6"/>
      <c r="H346" s="6">
        <v>5</v>
      </c>
      <c r="I346" s="6"/>
    </row>
    <row r="347" spans="1:9" x14ac:dyDescent="0.2">
      <c r="A347" s="8" t="s">
        <v>4</v>
      </c>
      <c r="B347" s="5"/>
      <c r="C347" s="74" t="s">
        <v>1503</v>
      </c>
      <c r="D347" s="6" t="s">
        <v>188</v>
      </c>
      <c r="E347" s="6" t="s">
        <v>165</v>
      </c>
      <c r="F347" s="6">
        <v>1</v>
      </c>
      <c r="G347" s="6"/>
      <c r="H347" s="6">
        <v>6</v>
      </c>
      <c r="I347" s="6"/>
    </row>
    <row r="348" spans="1:9" x14ac:dyDescent="0.2">
      <c r="A348" s="8" t="s">
        <v>5</v>
      </c>
      <c r="B348" s="5"/>
      <c r="C348" s="74" t="s">
        <v>1538</v>
      </c>
      <c r="D348" s="6" t="s">
        <v>428</v>
      </c>
      <c r="E348" s="6" t="s">
        <v>168</v>
      </c>
      <c r="F348" s="6">
        <v>1</v>
      </c>
      <c r="G348" s="6"/>
      <c r="H348" s="6">
        <v>6</v>
      </c>
      <c r="I348" s="6"/>
    </row>
    <row r="349" spans="1:9" x14ac:dyDescent="0.2">
      <c r="A349" s="8" t="s">
        <v>6</v>
      </c>
      <c r="B349" s="5"/>
      <c r="C349" s="74" t="s">
        <v>1539</v>
      </c>
      <c r="D349" s="6" t="s">
        <v>170</v>
      </c>
      <c r="E349" s="6" t="s">
        <v>165</v>
      </c>
      <c r="F349" s="6"/>
      <c r="G349" s="6">
        <v>1</v>
      </c>
      <c r="H349" s="6">
        <v>6</v>
      </c>
      <c r="I349" s="6"/>
    </row>
    <row r="350" spans="1:9" hidden="1" x14ac:dyDescent="0.2">
      <c r="A350" s="8" t="s">
        <v>7</v>
      </c>
      <c r="B350" s="5"/>
      <c r="C350" s="74"/>
      <c r="D350" s="6"/>
      <c r="E350" s="6"/>
      <c r="F350" s="6"/>
      <c r="G350" s="6"/>
      <c r="H350" s="6"/>
      <c r="I350" s="6"/>
    </row>
    <row r="351" spans="1:9" hidden="1" x14ac:dyDescent="0.2">
      <c r="A351" s="8" t="s">
        <v>8</v>
      </c>
      <c r="B351" s="5"/>
      <c r="C351" s="74"/>
      <c r="D351" s="6"/>
      <c r="E351" s="6"/>
      <c r="F351" s="6"/>
      <c r="G351" s="6"/>
      <c r="H351" s="6"/>
      <c r="I351" s="6"/>
    </row>
    <row r="352" spans="1:9" hidden="1" x14ac:dyDescent="0.2">
      <c r="A352" s="8" t="s">
        <v>9</v>
      </c>
      <c r="B352" s="5"/>
      <c r="C352" s="74"/>
      <c r="D352" s="6"/>
      <c r="E352" s="6"/>
      <c r="F352" s="6"/>
      <c r="G352" s="6"/>
      <c r="H352" s="6"/>
      <c r="I352" s="6"/>
    </row>
    <row r="353" spans="1:9" x14ac:dyDescent="0.2">
      <c r="A353" s="312" t="s">
        <v>10</v>
      </c>
      <c r="B353" s="313"/>
      <c r="C353" s="313"/>
      <c r="D353" s="313"/>
      <c r="E353" s="314"/>
      <c r="F353" s="11">
        <f>SUM(F343:F352)</f>
        <v>6</v>
      </c>
      <c r="G353" s="11">
        <f>SUM(G343:G352)</f>
        <v>1</v>
      </c>
      <c r="H353" s="11">
        <f>SUM(H343:H352)</f>
        <v>40</v>
      </c>
      <c r="I353" s="11"/>
    </row>
    <row r="354" spans="1:9" hidden="1" x14ac:dyDescent="0.2">
      <c r="A354" s="8" t="s">
        <v>0</v>
      </c>
      <c r="B354" s="5">
        <f>B343+1</f>
        <v>46136</v>
      </c>
      <c r="C354" s="74"/>
      <c r="D354" s="6"/>
      <c r="E354" s="6"/>
      <c r="F354" s="6"/>
      <c r="G354" s="6"/>
      <c r="H354" s="6"/>
      <c r="I354" s="6"/>
    </row>
    <row r="355" spans="1:9" hidden="1" x14ac:dyDescent="0.2">
      <c r="A355" s="8" t="s">
        <v>1</v>
      </c>
      <c r="B355" s="5"/>
      <c r="C355" s="74"/>
      <c r="D355" s="6"/>
      <c r="E355" s="6"/>
      <c r="F355" s="6"/>
      <c r="G355" s="6"/>
      <c r="H355" s="6"/>
      <c r="I355" s="6"/>
    </row>
    <row r="356" spans="1:9" hidden="1" x14ac:dyDescent="0.2">
      <c r="A356" s="8" t="s">
        <v>2</v>
      </c>
      <c r="B356" s="5"/>
      <c r="C356" s="74"/>
      <c r="D356" s="6"/>
      <c r="E356" s="6"/>
      <c r="F356" s="6"/>
      <c r="G356" s="6"/>
      <c r="H356" s="6"/>
      <c r="I356" s="6"/>
    </row>
    <row r="357" spans="1:9" hidden="1" x14ac:dyDescent="0.2">
      <c r="A357" s="8" t="s">
        <v>3</v>
      </c>
      <c r="B357" s="5"/>
      <c r="C357" s="74"/>
      <c r="D357" s="6"/>
      <c r="E357" s="6"/>
      <c r="F357" s="6"/>
      <c r="G357" s="6"/>
      <c r="H357" s="6"/>
      <c r="I357" s="6"/>
    </row>
    <row r="358" spans="1:9" hidden="1" x14ac:dyDescent="0.2">
      <c r="A358" s="8" t="s">
        <v>4</v>
      </c>
      <c r="B358" s="5"/>
      <c r="C358" s="74"/>
      <c r="D358" s="6"/>
      <c r="E358" s="6"/>
      <c r="F358" s="6"/>
      <c r="G358" s="6"/>
      <c r="H358" s="6"/>
      <c r="I358" s="6"/>
    </row>
    <row r="359" spans="1:9" hidden="1" x14ac:dyDescent="0.2">
      <c r="A359" s="8" t="s">
        <v>5</v>
      </c>
      <c r="B359" s="5"/>
      <c r="C359" s="74"/>
      <c r="D359" s="6"/>
      <c r="E359" s="6"/>
      <c r="F359" s="6"/>
      <c r="G359" s="6"/>
      <c r="H359" s="6"/>
      <c r="I359" s="6"/>
    </row>
    <row r="360" spans="1:9" hidden="1" x14ac:dyDescent="0.2">
      <c r="A360" s="8" t="s">
        <v>6</v>
      </c>
      <c r="B360" s="5"/>
      <c r="C360" s="74"/>
      <c r="D360" s="6"/>
      <c r="E360" s="6"/>
      <c r="F360" s="6"/>
      <c r="G360" s="6"/>
      <c r="H360" s="6"/>
      <c r="I360" s="6"/>
    </row>
    <row r="361" spans="1:9" hidden="1" x14ac:dyDescent="0.2">
      <c r="A361" s="8" t="s">
        <v>7</v>
      </c>
      <c r="B361" s="5"/>
      <c r="C361" s="74"/>
      <c r="D361" s="6"/>
      <c r="E361" s="6"/>
      <c r="F361" s="6"/>
      <c r="G361" s="6"/>
      <c r="H361" s="6"/>
      <c r="I361" s="6"/>
    </row>
    <row r="362" spans="1:9" hidden="1" x14ac:dyDescent="0.2">
      <c r="A362" s="8" t="s">
        <v>8</v>
      </c>
      <c r="B362" s="5"/>
      <c r="C362" s="74"/>
      <c r="D362" s="6"/>
      <c r="E362" s="6"/>
      <c r="F362" s="6"/>
      <c r="G362" s="6"/>
      <c r="H362" s="6"/>
      <c r="I362" s="6"/>
    </row>
    <row r="363" spans="1:9" hidden="1" x14ac:dyDescent="0.2">
      <c r="A363" s="8" t="s">
        <v>9</v>
      </c>
      <c r="B363" s="5"/>
      <c r="C363" s="74"/>
      <c r="D363" s="6"/>
      <c r="E363" s="6"/>
      <c r="F363" s="6"/>
      <c r="G363" s="6"/>
      <c r="H363" s="6"/>
      <c r="I363" s="6"/>
    </row>
    <row r="364" spans="1:9" hidden="1" x14ac:dyDescent="0.2">
      <c r="A364" s="312" t="s">
        <v>10</v>
      </c>
      <c r="B364" s="313"/>
      <c r="C364" s="313"/>
      <c r="D364" s="313"/>
      <c r="E364" s="314"/>
      <c r="F364" s="11">
        <f>SUM(F354:F363)</f>
        <v>0</v>
      </c>
      <c r="G364" s="11">
        <f>SUM(G354:G363)</f>
        <v>0</v>
      </c>
      <c r="H364" s="11">
        <f>SUM(H354:H363)</f>
        <v>0</v>
      </c>
      <c r="I364" s="11"/>
    </row>
    <row r="365" spans="1:9" hidden="1" x14ac:dyDescent="0.2">
      <c r="A365" s="8" t="s">
        <v>0</v>
      </c>
      <c r="B365" s="5">
        <f>B354+1</f>
        <v>46137</v>
      </c>
      <c r="C365" s="74"/>
      <c r="D365" s="6"/>
      <c r="E365" s="6"/>
      <c r="F365" s="6"/>
      <c r="G365" s="6"/>
      <c r="H365" s="6"/>
      <c r="I365" s="6"/>
    </row>
    <row r="366" spans="1:9" hidden="1" x14ac:dyDescent="0.2">
      <c r="A366" s="8" t="s">
        <v>1</v>
      </c>
      <c r="B366" s="5"/>
      <c r="C366" s="74"/>
      <c r="D366" s="6"/>
      <c r="E366" s="6"/>
      <c r="F366" s="6"/>
      <c r="G366" s="6"/>
      <c r="H366" s="6"/>
      <c r="I366" s="6"/>
    </row>
    <row r="367" spans="1:9" hidden="1" x14ac:dyDescent="0.2">
      <c r="A367" s="8" t="s">
        <v>2</v>
      </c>
      <c r="B367" s="5"/>
      <c r="C367" s="74"/>
      <c r="D367" s="6"/>
      <c r="E367" s="6"/>
      <c r="F367" s="6"/>
      <c r="G367" s="6"/>
      <c r="H367" s="6"/>
      <c r="I367" s="6"/>
    </row>
    <row r="368" spans="1:9" hidden="1" x14ac:dyDescent="0.2">
      <c r="A368" s="8" t="s">
        <v>3</v>
      </c>
      <c r="B368" s="5"/>
      <c r="C368" s="74"/>
      <c r="D368" s="6"/>
      <c r="E368" s="6"/>
      <c r="F368" s="6"/>
      <c r="G368" s="6"/>
      <c r="H368" s="6"/>
      <c r="I368" s="6"/>
    </row>
    <row r="369" spans="1:9" hidden="1" x14ac:dyDescent="0.2">
      <c r="A369" s="8" t="s">
        <v>4</v>
      </c>
      <c r="B369" s="5"/>
      <c r="C369" s="74"/>
      <c r="D369" s="6"/>
      <c r="E369" s="6"/>
      <c r="F369" s="6"/>
      <c r="G369" s="6"/>
      <c r="H369" s="6"/>
      <c r="I369" s="6"/>
    </row>
    <row r="370" spans="1:9" hidden="1" x14ac:dyDescent="0.2">
      <c r="A370" s="8" t="s">
        <v>5</v>
      </c>
      <c r="B370" s="5"/>
      <c r="C370" s="74"/>
      <c r="D370" s="6"/>
      <c r="E370" s="6"/>
      <c r="F370" s="6"/>
      <c r="G370" s="6"/>
      <c r="H370" s="6"/>
      <c r="I370" s="6"/>
    </row>
    <row r="371" spans="1:9" hidden="1" x14ac:dyDescent="0.2">
      <c r="A371" s="8" t="s">
        <v>6</v>
      </c>
      <c r="B371" s="5"/>
      <c r="C371" s="74"/>
      <c r="D371" s="6"/>
      <c r="E371" s="6"/>
      <c r="F371" s="6"/>
      <c r="G371" s="6"/>
      <c r="H371" s="6"/>
      <c r="I371" s="6"/>
    </row>
    <row r="372" spans="1:9" hidden="1" x14ac:dyDescent="0.2">
      <c r="A372" s="8" t="s">
        <v>7</v>
      </c>
      <c r="B372" s="5"/>
      <c r="C372" s="74"/>
      <c r="D372" s="6"/>
      <c r="E372" s="6"/>
      <c r="F372" s="6"/>
      <c r="G372" s="6"/>
      <c r="H372" s="6"/>
      <c r="I372" s="6"/>
    </row>
    <row r="373" spans="1:9" hidden="1" x14ac:dyDescent="0.2">
      <c r="A373" s="8" t="s">
        <v>8</v>
      </c>
      <c r="B373" s="5"/>
      <c r="C373" s="74"/>
      <c r="D373" s="6"/>
      <c r="E373" s="6"/>
      <c r="F373" s="6"/>
      <c r="G373" s="6"/>
      <c r="H373" s="6"/>
      <c r="I373" s="6"/>
    </row>
    <row r="374" spans="1:9" hidden="1" x14ac:dyDescent="0.2">
      <c r="A374" s="8" t="s">
        <v>9</v>
      </c>
      <c r="B374" s="5"/>
      <c r="C374" s="74"/>
      <c r="D374" s="6"/>
      <c r="E374" s="6"/>
      <c r="F374" s="6"/>
      <c r="G374" s="6"/>
      <c r="H374" s="6"/>
      <c r="I374" s="6"/>
    </row>
    <row r="375" spans="1:9" hidden="1" x14ac:dyDescent="0.2">
      <c r="A375" s="312" t="s">
        <v>10</v>
      </c>
      <c r="B375" s="313"/>
      <c r="C375" s="313"/>
      <c r="D375" s="313"/>
      <c r="E375" s="314"/>
      <c r="F375" s="11">
        <f>SUM(F365:F374)</f>
        <v>0</v>
      </c>
      <c r="G375" s="11">
        <f>SUM(G365:G374)</f>
        <v>0</v>
      </c>
      <c r="H375" s="11">
        <f>SUM(H365:H374)</f>
        <v>0</v>
      </c>
      <c r="I375" s="11"/>
    </row>
    <row r="376" spans="1:9" hidden="1" x14ac:dyDescent="0.2">
      <c r="A376" s="8" t="s">
        <v>0</v>
      </c>
      <c r="B376" s="5">
        <f>B365+1</f>
        <v>46138</v>
      </c>
      <c r="C376" s="75"/>
      <c r="D376" s="6"/>
      <c r="E376" s="6"/>
      <c r="F376" s="6"/>
      <c r="G376" s="6"/>
      <c r="H376" s="6"/>
      <c r="I376" s="6"/>
    </row>
    <row r="377" spans="1:9" hidden="1" x14ac:dyDescent="0.2">
      <c r="A377" s="8" t="s">
        <v>1</v>
      </c>
      <c r="B377" s="5"/>
      <c r="C377" s="75"/>
      <c r="D377" s="6"/>
      <c r="E377" s="6"/>
      <c r="F377" s="6"/>
      <c r="G377" s="6"/>
      <c r="H377" s="6"/>
      <c r="I377" s="6"/>
    </row>
    <row r="378" spans="1:9" hidden="1" x14ac:dyDescent="0.2">
      <c r="A378" s="8" t="s">
        <v>2</v>
      </c>
      <c r="B378" s="5"/>
      <c r="C378" s="75"/>
      <c r="D378" s="6"/>
      <c r="E378" s="6"/>
      <c r="F378" s="6"/>
      <c r="G378" s="6"/>
      <c r="H378" s="6"/>
      <c r="I378" s="6"/>
    </row>
    <row r="379" spans="1:9" hidden="1" x14ac:dyDescent="0.2">
      <c r="A379" s="8" t="s">
        <v>3</v>
      </c>
      <c r="B379" s="5"/>
      <c r="C379" s="75"/>
      <c r="D379" s="6"/>
      <c r="E379" s="6"/>
      <c r="F379" s="6"/>
      <c r="G379" s="6"/>
      <c r="H379" s="6"/>
      <c r="I379" s="6"/>
    </row>
    <row r="380" spans="1:9" hidden="1" x14ac:dyDescent="0.2">
      <c r="A380" s="8" t="s">
        <v>4</v>
      </c>
      <c r="B380" s="5"/>
      <c r="C380" s="75"/>
      <c r="D380" s="6"/>
      <c r="E380" s="6"/>
      <c r="F380" s="6"/>
      <c r="G380" s="6"/>
      <c r="H380" s="6"/>
      <c r="I380" s="6"/>
    </row>
    <row r="381" spans="1:9" hidden="1" x14ac:dyDescent="0.2">
      <c r="A381" s="8" t="s">
        <v>5</v>
      </c>
      <c r="B381" s="5"/>
      <c r="C381" s="75"/>
      <c r="D381" s="6"/>
      <c r="E381" s="6"/>
      <c r="F381" s="6"/>
      <c r="G381" s="6"/>
      <c r="H381" s="6"/>
      <c r="I381" s="6"/>
    </row>
    <row r="382" spans="1:9" hidden="1" x14ac:dyDescent="0.2">
      <c r="A382" s="8" t="s">
        <v>6</v>
      </c>
      <c r="B382" s="5"/>
      <c r="C382" s="75"/>
      <c r="D382" s="6"/>
      <c r="E382" s="6"/>
      <c r="F382" s="6"/>
      <c r="G382" s="6"/>
      <c r="H382" s="6"/>
      <c r="I382" s="6"/>
    </row>
    <row r="383" spans="1:9" hidden="1" x14ac:dyDescent="0.2">
      <c r="A383" s="8" t="s">
        <v>7</v>
      </c>
      <c r="B383" s="5"/>
      <c r="C383" s="74"/>
      <c r="D383" s="6"/>
      <c r="E383" s="6"/>
      <c r="F383" s="6"/>
      <c r="G383" s="6"/>
      <c r="H383" s="6"/>
      <c r="I383" s="6"/>
    </row>
    <row r="384" spans="1:9" hidden="1" x14ac:dyDescent="0.2">
      <c r="A384" s="8" t="s">
        <v>8</v>
      </c>
      <c r="B384" s="5"/>
      <c r="C384" s="74"/>
      <c r="D384" s="6"/>
      <c r="E384" s="6"/>
      <c r="F384" s="6"/>
      <c r="G384" s="6"/>
      <c r="H384" s="6"/>
      <c r="I384" s="6"/>
    </row>
    <row r="385" spans="1:9" hidden="1" x14ac:dyDescent="0.2">
      <c r="A385" s="8" t="s">
        <v>9</v>
      </c>
      <c r="B385" s="5"/>
      <c r="C385" s="74"/>
      <c r="D385" s="6"/>
      <c r="E385" s="6"/>
      <c r="F385" s="6"/>
      <c r="G385" s="6"/>
      <c r="H385" s="6"/>
      <c r="I385" s="6"/>
    </row>
    <row r="386" spans="1:9" hidden="1" x14ac:dyDescent="0.2">
      <c r="A386" s="312" t="s">
        <v>10</v>
      </c>
      <c r="B386" s="313"/>
      <c r="C386" s="313"/>
      <c r="D386" s="313"/>
      <c r="E386" s="314"/>
      <c r="F386" s="11">
        <f>SUM(F376:F385)</f>
        <v>0</v>
      </c>
      <c r="G386" s="11">
        <f>SUM(G376:G385)</f>
        <v>0</v>
      </c>
      <c r="H386" s="11">
        <f>SUM(H376:H385)</f>
        <v>0</v>
      </c>
      <c r="I386" s="11"/>
    </row>
    <row r="387" spans="1:9" hidden="1" x14ac:dyDescent="0.2">
      <c r="A387" s="8" t="s">
        <v>0</v>
      </c>
      <c r="B387" s="5">
        <f>B376+1</f>
        <v>46139</v>
      </c>
      <c r="C387" s="75"/>
      <c r="D387" s="6"/>
      <c r="E387" s="6"/>
      <c r="F387" s="6"/>
      <c r="G387" s="6"/>
      <c r="H387" s="6"/>
      <c r="I387" s="6"/>
    </row>
    <row r="388" spans="1:9" hidden="1" x14ac:dyDescent="0.2">
      <c r="A388" s="8" t="s">
        <v>1</v>
      </c>
      <c r="B388" s="5"/>
      <c r="C388" s="75"/>
      <c r="D388" s="6"/>
      <c r="E388" s="6"/>
      <c r="F388" s="6"/>
      <c r="G388" s="6"/>
      <c r="H388" s="6"/>
      <c r="I388" s="6"/>
    </row>
    <row r="389" spans="1:9" hidden="1" x14ac:dyDescent="0.2">
      <c r="A389" s="8" t="s">
        <v>2</v>
      </c>
      <c r="B389" s="5"/>
      <c r="C389" s="75"/>
      <c r="D389" s="6"/>
      <c r="E389" s="6"/>
      <c r="F389" s="6"/>
      <c r="G389" s="6"/>
      <c r="H389" s="6"/>
      <c r="I389" s="6"/>
    </row>
    <row r="390" spans="1:9" hidden="1" x14ac:dyDescent="0.2">
      <c r="A390" s="8" t="s">
        <v>3</v>
      </c>
      <c r="B390" s="5"/>
      <c r="C390" s="75"/>
      <c r="D390" s="6"/>
      <c r="E390" s="6"/>
      <c r="F390" s="6"/>
      <c r="G390" s="6"/>
      <c r="H390" s="6"/>
      <c r="I390" s="6"/>
    </row>
    <row r="391" spans="1:9" hidden="1" x14ac:dyDescent="0.2">
      <c r="A391" s="8" t="s">
        <v>4</v>
      </c>
      <c r="B391" s="5"/>
      <c r="C391" s="75"/>
      <c r="D391" s="6"/>
      <c r="E391" s="6"/>
      <c r="F391" s="6"/>
      <c r="G391" s="6"/>
      <c r="H391" s="6"/>
      <c r="I391" s="6"/>
    </row>
    <row r="392" spans="1:9" hidden="1" x14ac:dyDescent="0.2">
      <c r="A392" s="8" t="s">
        <v>5</v>
      </c>
      <c r="B392" s="5"/>
      <c r="C392" s="75"/>
      <c r="D392" s="6"/>
      <c r="E392" s="6"/>
      <c r="F392" s="6"/>
      <c r="G392" s="6"/>
      <c r="H392" s="6"/>
      <c r="I392" s="6"/>
    </row>
    <row r="393" spans="1:9" hidden="1" x14ac:dyDescent="0.2">
      <c r="A393" s="8" t="s">
        <v>6</v>
      </c>
      <c r="B393" s="5"/>
      <c r="C393" s="74"/>
      <c r="D393" s="6"/>
      <c r="E393" s="6"/>
      <c r="F393" s="6"/>
      <c r="G393" s="6"/>
      <c r="H393" s="6"/>
      <c r="I393" s="6"/>
    </row>
    <row r="394" spans="1:9" hidden="1" x14ac:dyDescent="0.2">
      <c r="A394" s="8" t="s">
        <v>7</v>
      </c>
      <c r="B394" s="5"/>
      <c r="C394" s="74"/>
      <c r="D394" s="6"/>
      <c r="E394" s="6"/>
      <c r="F394" s="6"/>
      <c r="G394" s="6"/>
      <c r="H394" s="6"/>
      <c r="I394" s="6"/>
    </row>
    <row r="395" spans="1:9" hidden="1" x14ac:dyDescent="0.2">
      <c r="A395" s="8" t="s">
        <v>8</v>
      </c>
      <c r="B395" s="5"/>
      <c r="C395" s="74"/>
      <c r="D395" s="6"/>
      <c r="E395" s="6"/>
      <c r="F395" s="6"/>
      <c r="G395" s="6"/>
      <c r="H395" s="6"/>
      <c r="I395" s="6"/>
    </row>
    <row r="396" spans="1:9" hidden="1" x14ac:dyDescent="0.2">
      <c r="A396" s="8" t="s">
        <v>9</v>
      </c>
      <c r="B396" s="5"/>
      <c r="C396" s="74"/>
      <c r="D396" s="6"/>
      <c r="E396" s="6"/>
      <c r="F396" s="6"/>
      <c r="G396" s="6"/>
      <c r="H396" s="6"/>
      <c r="I396" s="6"/>
    </row>
    <row r="397" spans="1:9" hidden="1" x14ac:dyDescent="0.2">
      <c r="A397" s="312" t="s">
        <v>10</v>
      </c>
      <c r="B397" s="313"/>
      <c r="C397" s="313"/>
      <c r="D397" s="313"/>
      <c r="E397" s="314"/>
      <c r="F397" s="11">
        <f>SUM(F387:F396)</f>
        <v>0</v>
      </c>
      <c r="G397" s="11">
        <f>SUM(G387:G396)</f>
        <v>0</v>
      </c>
      <c r="H397" s="11">
        <f>SUM(H387:H396)</f>
        <v>0</v>
      </c>
      <c r="I397" s="11"/>
    </row>
    <row r="398" spans="1:9" hidden="1" x14ac:dyDescent="0.2">
      <c r="A398" s="8" t="s">
        <v>0</v>
      </c>
      <c r="B398" s="5"/>
      <c r="C398" s="75"/>
      <c r="D398" s="6"/>
      <c r="E398" s="6"/>
      <c r="F398" s="6"/>
      <c r="G398" s="6"/>
      <c r="H398" s="6"/>
      <c r="I398" s="6"/>
    </row>
    <row r="399" spans="1:9" hidden="1" x14ac:dyDescent="0.2">
      <c r="A399" s="8" t="s">
        <v>1</v>
      </c>
      <c r="B399" s="5"/>
      <c r="C399" s="75"/>
      <c r="D399" s="6"/>
      <c r="E399" s="6"/>
      <c r="F399" s="6"/>
      <c r="G399" s="6"/>
      <c r="H399" s="6"/>
      <c r="I399" s="6"/>
    </row>
    <row r="400" spans="1:9" hidden="1" x14ac:dyDescent="0.2">
      <c r="A400" s="8" t="s">
        <v>2</v>
      </c>
      <c r="B400" s="5"/>
      <c r="C400" s="75"/>
      <c r="D400" s="6"/>
      <c r="E400" s="6"/>
      <c r="F400" s="6"/>
      <c r="G400" s="6"/>
      <c r="H400" s="6"/>
      <c r="I400" s="6"/>
    </row>
    <row r="401" spans="1:9" hidden="1" x14ac:dyDescent="0.2">
      <c r="A401" s="8" t="s">
        <v>3</v>
      </c>
      <c r="B401" s="5"/>
      <c r="C401" s="75"/>
      <c r="D401" s="6"/>
      <c r="E401" s="6"/>
      <c r="F401" s="6"/>
      <c r="G401" s="6"/>
      <c r="H401" s="6"/>
      <c r="I401" s="6"/>
    </row>
    <row r="402" spans="1:9" hidden="1" x14ac:dyDescent="0.2">
      <c r="A402" s="8" t="s">
        <v>4</v>
      </c>
      <c r="B402" s="5"/>
      <c r="C402" s="75"/>
      <c r="D402" s="6"/>
      <c r="E402" s="6"/>
      <c r="F402" s="6"/>
      <c r="G402" s="6"/>
      <c r="H402" s="6"/>
      <c r="I402" s="6"/>
    </row>
    <row r="403" spans="1:9" hidden="1" x14ac:dyDescent="0.2">
      <c r="A403" s="8" t="s">
        <v>5</v>
      </c>
      <c r="B403" s="5"/>
      <c r="C403" s="75"/>
      <c r="D403" s="6"/>
      <c r="E403" s="6"/>
      <c r="F403" s="6"/>
      <c r="G403" s="6"/>
      <c r="H403" s="6"/>
      <c r="I403" s="6"/>
    </row>
    <row r="404" spans="1:9" hidden="1" x14ac:dyDescent="0.2">
      <c r="A404" s="8" t="s">
        <v>6</v>
      </c>
      <c r="B404" s="5"/>
      <c r="C404" s="75"/>
      <c r="D404" s="6"/>
      <c r="E404" s="6"/>
      <c r="F404" s="6"/>
      <c r="G404" s="6"/>
      <c r="H404" s="6"/>
      <c r="I404" s="6"/>
    </row>
    <row r="405" spans="1:9" hidden="1" x14ac:dyDescent="0.2">
      <c r="A405" s="8" t="s">
        <v>7</v>
      </c>
      <c r="B405" s="5"/>
      <c r="C405" s="75"/>
      <c r="D405" s="6"/>
      <c r="E405" s="6"/>
      <c r="F405" s="6"/>
      <c r="G405" s="6"/>
      <c r="H405" s="6"/>
      <c r="I405" s="6"/>
    </row>
    <row r="406" spans="1:9" hidden="1" x14ac:dyDescent="0.2">
      <c r="A406" s="8" t="s">
        <v>8</v>
      </c>
      <c r="B406" s="5"/>
      <c r="C406" s="75"/>
      <c r="D406" s="6"/>
      <c r="E406" s="6"/>
      <c r="F406" s="6"/>
      <c r="G406" s="6"/>
      <c r="H406" s="6"/>
      <c r="I406" s="6"/>
    </row>
    <row r="407" spans="1:9" hidden="1" x14ac:dyDescent="0.2">
      <c r="A407" s="8" t="s">
        <v>9</v>
      </c>
      <c r="B407" s="5"/>
      <c r="C407" s="75"/>
      <c r="D407" s="6"/>
      <c r="E407" s="6"/>
      <c r="F407" s="6"/>
      <c r="G407" s="6"/>
      <c r="H407" s="6"/>
      <c r="I407" s="6"/>
    </row>
    <row r="408" spans="1:9" hidden="1" x14ac:dyDescent="0.2">
      <c r="A408" s="312" t="s">
        <v>10</v>
      </c>
      <c r="B408" s="313"/>
      <c r="C408" s="313"/>
      <c r="D408" s="313"/>
      <c r="E408" s="314"/>
      <c r="F408" s="11">
        <f>SUM(F398:F407)</f>
        <v>0</v>
      </c>
      <c r="G408" s="11">
        <f>SUM(G398:G407)</f>
        <v>0</v>
      </c>
      <c r="H408" s="11">
        <f>SUM(H398:H407)</f>
        <v>0</v>
      </c>
      <c r="I408" s="11"/>
    </row>
    <row r="409" spans="1:9" hidden="1" x14ac:dyDescent="0.2">
      <c r="A409" s="8" t="s">
        <v>0</v>
      </c>
      <c r="B409" s="5"/>
      <c r="C409" s="74"/>
      <c r="D409" s="6"/>
      <c r="E409" s="6"/>
      <c r="F409" s="6"/>
      <c r="G409" s="6"/>
      <c r="H409" s="6"/>
      <c r="I409" s="6"/>
    </row>
    <row r="410" spans="1:9" hidden="1" x14ac:dyDescent="0.2">
      <c r="A410" s="8" t="s">
        <v>1</v>
      </c>
      <c r="B410" s="5"/>
      <c r="C410" s="74"/>
      <c r="D410" s="6"/>
      <c r="E410" s="6"/>
      <c r="F410" s="6"/>
      <c r="G410" s="6"/>
      <c r="H410" s="6"/>
      <c r="I410" s="6"/>
    </row>
    <row r="411" spans="1:9" hidden="1" x14ac:dyDescent="0.2">
      <c r="A411" s="8" t="s">
        <v>2</v>
      </c>
      <c r="B411" s="5"/>
      <c r="C411" s="74"/>
      <c r="D411" s="6"/>
      <c r="E411" s="6"/>
      <c r="F411" s="6"/>
      <c r="G411" s="6"/>
      <c r="H411" s="6"/>
      <c r="I411" s="6"/>
    </row>
    <row r="412" spans="1:9" hidden="1" x14ac:dyDescent="0.2">
      <c r="A412" s="8" t="s">
        <v>3</v>
      </c>
      <c r="B412" s="5"/>
      <c r="C412" s="74"/>
      <c r="D412" s="6"/>
      <c r="E412" s="6"/>
      <c r="F412" s="6"/>
      <c r="G412" s="6"/>
      <c r="H412" s="6"/>
      <c r="I412" s="6"/>
    </row>
    <row r="413" spans="1:9" hidden="1" x14ac:dyDescent="0.2">
      <c r="A413" s="8" t="s">
        <v>4</v>
      </c>
      <c r="B413" s="5"/>
      <c r="C413" s="74"/>
      <c r="D413" s="6"/>
      <c r="E413" s="6"/>
      <c r="F413" s="6"/>
      <c r="G413" s="6"/>
      <c r="H413" s="6"/>
      <c r="I413" s="6"/>
    </row>
    <row r="414" spans="1:9" hidden="1" x14ac:dyDescent="0.2">
      <c r="A414" s="8" t="s">
        <v>5</v>
      </c>
      <c r="B414" s="5"/>
      <c r="C414" s="74"/>
      <c r="D414" s="6"/>
      <c r="E414" s="6"/>
      <c r="F414" s="6"/>
      <c r="G414" s="6"/>
      <c r="H414" s="6"/>
      <c r="I414" s="6"/>
    </row>
    <row r="415" spans="1:9" hidden="1" x14ac:dyDescent="0.2">
      <c r="A415" s="8" t="s">
        <v>6</v>
      </c>
      <c r="B415" s="5"/>
      <c r="C415" s="74"/>
      <c r="D415" s="6"/>
      <c r="E415" s="6"/>
      <c r="F415" s="6"/>
      <c r="G415" s="6"/>
      <c r="H415" s="6"/>
      <c r="I415" s="6"/>
    </row>
    <row r="416" spans="1:9" hidden="1" x14ac:dyDescent="0.2">
      <c r="A416" s="8" t="s">
        <v>7</v>
      </c>
      <c r="B416" s="5"/>
      <c r="C416" s="74"/>
      <c r="D416" s="6"/>
      <c r="E416" s="6"/>
      <c r="F416" s="6"/>
      <c r="G416" s="6"/>
      <c r="H416" s="6"/>
      <c r="I416" s="6"/>
    </row>
    <row r="417" spans="1:9" hidden="1" x14ac:dyDescent="0.2">
      <c r="A417" s="8" t="s">
        <v>8</v>
      </c>
      <c r="B417" s="5"/>
      <c r="C417" s="74"/>
      <c r="D417" s="6"/>
      <c r="E417" s="6"/>
      <c r="F417" s="6"/>
      <c r="G417" s="6"/>
      <c r="H417" s="6"/>
      <c r="I417" s="6"/>
    </row>
    <row r="418" spans="1:9" hidden="1" x14ac:dyDescent="0.2">
      <c r="A418" s="8" t="s">
        <v>9</v>
      </c>
      <c r="B418" s="5"/>
      <c r="C418" s="74"/>
      <c r="D418" s="6"/>
      <c r="E418" s="6"/>
      <c r="F418" s="6"/>
      <c r="G418" s="6"/>
      <c r="H418" s="6"/>
      <c r="I418" s="6"/>
    </row>
    <row r="419" spans="1:9" hidden="1" x14ac:dyDescent="0.2">
      <c r="A419" s="312" t="s">
        <v>10</v>
      </c>
      <c r="B419" s="313"/>
      <c r="C419" s="313"/>
      <c r="D419" s="313"/>
      <c r="E419" s="314"/>
      <c r="F419" s="11">
        <f>SUM(F409:F418)</f>
        <v>0</v>
      </c>
      <c r="G419" s="11">
        <f>SUM(G409:G418)</f>
        <v>0</v>
      </c>
      <c r="H419" s="11">
        <f>SUM(H409:H418)</f>
        <v>0</v>
      </c>
      <c r="I419" s="11"/>
    </row>
    <row r="420" spans="1:9" s="25" customFormat="1" ht="18" x14ac:dyDescent="0.2">
      <c r="A420" s="315" t="s">
        <v>39</v>
      </c>
      <c r="B420" s="316"/>
      <c r="C420" s="316"/>
      <c r="D420" s="316"/>
      <c r="E420" s="317"/>
      <c r="F420" s="22">
        <f>F353+F364+F375+F386+F397+F408+F419+F336</f>
        <v>94</v>
      </c>
      <c r="G420" s="22">
        <f>G353+G364+G375+G386+G397+G408+G419+G336</f>
        <v>24</v>
      </c>
      <c r="H420" s="22">
        <f>H353+H364+H375+H386+H397+H408+H419+H336</f>
        <v>634.5</v>
      </c>
      <c r="I420" s="22"/>
    </row>
  </sheetData>
  <mergeCells count="70">
    <mergeCell ref="A251:E251"/>
    <mergeCell ref="A253:I253"/>
    <mergeCell ref="A255:C255"/>
    <mergeCell ref="A256:C256"/>
    <mergeCell ref="A302:E302"/>
    <mergeCell ref="F257:H257"/>
    <mergeCell ref="A269:E269"/>
    <mergeCell ref="A280:E280"/>
    <mergeCell ref="F341:H341"/>
    <mergeCell ref="A353:E353"/>
    <mergeCell ref="A335:E335"/>
    <mergeCell ref="A313:E313"/>
    <mergeCell ref="A337:I337"/>
    <mergeCell ref="A339:C339"/>
    <mergeCell ref="A340:C340"/>
    <mergeCell ref="F340:G340"/>
    <mergeCell ref="A240:E240"/>
    <mergeCell ref="A156:E156"/>
    <mergeCell ref="A167:E167"/>
    <mergeCell ref="A169:I169"/>
    <mergeCell ref="A171:C171"/>
    <mergeCell ref="A172:C172"/>
    <mergeCell ref="F173:H173"/>
    <mergeCell ref="A185:E185"/>
    <mergeCell ref="A196:E196"/>
    <mergeCell ref="A207:E207"/>
    <mergeCell ref="A218:E218"/>
    <mergeCell ref="A145:E145"/>
    <mergeCell ref="A87:C87"/>
    <mergeCell ref="F89:H89"/>
    <mergeCell ref="A101:E101"/>
    <mergeCell ref="A112:E112"/>
    <mergeCell ref="A123:E123"/>
    <mergeCell ref="A1:I1"/>
    <mergeCell ref="A3:C3"/>
    <mergeCell ref="A4:C4"/>
    <mergeCell ref="F5:H5"/>
    <mergeCell ref="A2:E2"/>
    <mergeCell ref="A420:E420"/>
    <mergeCell ref="A419:E419"/>
    <mergeCell ref="A84:E84"/>
    <mergeCell ref="A168:E168"/>
    <mergeCell ref="A252:E252"/>
    <mergeCell ref="A336:E336"/>
    <mergeCell ref="A364:E364"/>
    <mergeCell ref="A375:E375"/>
    <mergeCell ref="A386:E386"/>
    <mergeCell ref="A397:E397"/>
    <mergeCell ref="A408:E408"/>
    <mergeCell ref="A88:C88"/>
    <mergeCell ref="A229:E229"/>
    <mergeCell ref="A134:E134"/>
    <mergeCell ref="A324:E324"/>
    <mergeCell ref="A85:I85"/>
    <mergeCell ref="A86:E86"/>
    <mergeCell ref="A170:E170"/>
    <mergeCell ref="A254:E254"/>
    <mergeCell ref="A338:E338"/>
    <mergeCell ref="F4:G4"/>
    <mergeCell ref="F88:G88"/>
    <mergeCell ref="F172:G172"/>
    <mergeCell ref="F256:G256"/>
    <mergeCell ref="A17:E17"/>
    <mergeCell ref="A28:E28"/>
    <mergeCell ref="A39:E39"/>
    <mergeCell ref="A50:E50"/>
    <mergeCell ref="A61:E61"/>
    <mergeCell ref="A83:E83"/>
    <mergeCell ref="A72:E72"/>
    <mergeCell ref="A291:E291"/>
  </mergeCells>
  <phoneticPr fontId="1" type="noConversion"/>
  <pageMargins left="0.59055118110236227" right="0.39370078740157483" top="0.59055118110236227" bottom="0.39370078740157483" header="0.31496062992125984" footer="0.31496062992125984"/>
  <pageSetup paperSize="9" scale="99" fitToHeight="5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2"/>
  <sheetViews>
    <sheetView topLeftCell="A352" zoomScale="150" zoomScaleNormal="150" workbookViewId="0">
      <selection activeCell="A367" sqref="A367:XFD421"/>
    </sheetView>
  </sheetViews>
  <sheetFormatPr defaultColWidth="9" defaultRowHeight="17.25" x14ac:dyDescent="0.2"/>
  <cols>
    <col min="1" max="1" width="4" style="1" bestFit="1" customWidth="1"/>
    <col min="2" max="2" width="10.625" style="7" customWidth="1"/>
    <col min="3" max="3" width="11.25" style="76" customWidth="1"/>
    <col min="4" max="4" width="17.375" style="1" customWidth="1"/>
    <col min="5" max="5" width="10.625" style="1" customWidth="1"/>
    <col min="6" max="8" width="7.625" style="1" customWidth="1"/>
    <col min="9" max="9" width="18" style="1" customWidth="1"/>
    <col min="10" max="16384" width="9" style="1"/>
  </cols>
  <sheetData>
    <row r="1" spans="1:9" ht="21.95" customHeight="1" x14ac:dyDescent="0.2">
      <c r="A1" s="319" t="s">
        <v>14</v>
      </c>
      <c r="B1" s="319"/>
      <c r="C1" s="319"/>
      <c r="D1" s="319"/>
      <c r="E1" s="319"/>
      <c r="F1" s="319"/>
      <c r="G1" s="319"/>
      <c r="H1" s="319"/>
      <c r="I1" s="319"/>
    </row>
    <row r="2" spans="1:9" s="53" customFormat="1" ht="20.100000000000001" customHeight="1" x14ac:dyDescent="0.2">
      <c r="A2" s="323" t="s">
        <v>86</v>
      </c>
      <c r="B2" s="323"/>
      <c r="C2" s="323"/>
      <c r="D2" s="323"/>
      <c r="E2" s="323"/>
      <c r="F2" s="104" t="str">
        <f>'1'!$F$2</f>
        <v>เมษายน</v>
      </c>
      <c r="G2" s="50" t="s">
        <v>87</v>
      </c>
      <c r="H2" s="51">
        <f>'1'!$H$2</f>
        <v>2569</v>
      </c>
      <c r="I2" s="52"/>
    </row>
    <row r="3" spans="1:9" s="3" customFormat="1" ht="20.100000000000001" customHeight="1" x14ac:dyDescent="0.4">
      <c r="A3" s="318" t="s">
        <v>37</v>
      </c>
      <c r="B3" s="318"/>
      <c r="C3" s="318"/>
      <c r="D3" s="2"/>
      <c r="F3" s="4"/>
      <c r="G3" s="4"/>
      <c r="H3" s="4" t="s">
        <v>21</v>
      </c>
      <c r="I3" s="41">
        <v>1</v>
      </c>
    </row>
    <row r="4" spans="1:9" s="49" customFormat="1" ht="20.100000000000001" customHeight="1" x14ac:dyDescent="0.35">
      <c r="A4" s="327" t="s">
        <v>67</v>
      </c>
      <c r="B4" s="327"/>
      <c r="C4" s="327"/>
      <c r="D4" s="46"/>
      <c r="E4" s="47" t="s">
        <v>81</v>
      </c>
      <c r="F4" s="328">
        <f>'1'!$F$4</f>
        <v>46107</v>
      </c>
      <c r="G4" s="328"/>
      <c r="H4" s="47" t="s">
        <v>82</v>
      </c>
      <c r="I4" s="48">
        <f>'1'!$I$4</f>
        <v>46136</v>
      </c>
    </row>
    <row r="5" spans="1:9" x14ac:dyDescent="0.2">
      <c r="A5" s="12" t="s">
        <v>23</v>
      </c>
      <c r="B5" s="13" t="s">
        <v>11</v>
      </c>
      <c r="C5" s="72" t="s">
        <v>26</v>
      </c>
      <c r="D5" s="12" t="s">
        <v>16</v>
      </c>
      <c r="E5" s="12" t="s">
        <v>17</v>
      </c>
      <c r="F5" s="310" t="s">
        <v>46</v>
      </c>
      <c r="G5" s="310"/>
      <c r="H5" s="310"/>
      <c r="I5" s="12" t="s">
        <v>19</v>
      </c>
    </row>
    <row r="6" spans="1:9" x14ac:dyDescent="0.2">
      <c r="A6" s="15"/>
      <c r="B6" s="16"/>
      <c r="C6" s="73"/>
      <c r="D6" s="15"/>
      <c r="E6" s="15"/>
      <c r="F6" s="21" t="s">
        <v>113</v>
      </c>
      <c r="G6" s="21" t="s">
        <v>114</v>
      </c>
      <c r="H6" s="21" t="s">
        <v>20</v>
      </c>
      <c r="I6" s="15"/>
    </row>
    <row r="7" spans="1:9" x14ac:dyDescent="0.2">
      <c r="A7" s="8" t="s">
        <v>0</v>
      </c>
      <c r="B7" s="5">
        <f>'8'!B7</f>
        <v>46107</v>
      </c>
      <c r="C7" s="74" t="s">
        <v>214</v>
      </c>
      <c r="D7" s="6" t="s">
        <v>178</v>
      </c>
      <c r="E7" s="6" t="s">
        <v>165</v>
      </c>
      <c r="F7" s="6">
        <v>1</v>
      </c>
      <c r="G7" s="6"/>
      <c r="H7" s="6">
        <v>6</v>
      </c>
      <c r="I7" s="6"/>
    </row>
    <row r="8" spans="1:9" x14ac:dyDescent="0.2">
      <c r="A8" s="8" t="s">
        <v>1</v>
      </c>
      <c r="B8" s="5"/>
      <c r="C8" s="74" t="s">
        <v>209</v>
      </c>
      <c r="D8" s="6" t="s">
        <v>215</v>
      </c>
      <c r="E8" s="6" t="s">
        <v>216</v>
      </c>
      <c r="F8" s="6">
        <v>1</v>
      </c>
      <c r="G8" s="6"/>
      <c r="H8" s="6">
        <v>5.5</v>
      </c>
      <c r="I8" s="6"/>
    </row>
    <row r="9" spans="1:9" x14ac:dyDescent="0.2">
      <c r="A9" s="8" t="s">
        <v>2</v>
      </c>
      <c r="B9" s="5"/>
      <c r="C9" s="74" t="s">
        <v>217</v>
      </c>
      <c r="D9" s="6" t="s">
        <v>170</v>
      </c>
      <c r="E9" s="6" t="s">
        <v>171</v>
      </c>
      <c r="F9" s="54">
        <v>1</v>
      </c>
      <c r="G9" s="6"/>
      <c r="H9" s="6">
        <v>6</v>
      </c>
      <c r="I9" s="6"/>
    </row>
    <row r="10" spans="1:9" x14ac:dyDescent="0.2">
      <c r="A10" s="8">
        <v>4</v>
      </c>
      <c r="B10" s="5"/>
      <c r="C10" s="74" t="s">
        <v>218</v>
      </c>
      <c r="D10" s="6" t="s">
        <v>170</v>
      </c>
      <c r="E10" s="6" t="s">
        <v>171</v>
      </c>
      <c r="F10" s="6">
        <v>1</v>
      </c>
      <c r="G10" s="6"/>
      <c r="H10" s="6">
        <v>6</v>
      </c>
      <c r="I10" s="6"/>
    </row>
    <row r="11" spans="1:9" x14ac:dyDescent="0.2">
      <c r="A11" s="8">
        <v>5</v>
      </c>
      <c r="B11" s="5"/>
      <c r="C11" s="74" t="s">
        <v>219</v>
      </c>
      <c r="D11" s="6" t="s">
        <v>170</v>
      </c>
      <c r="E11" s="6" t="s">
        <v>171</v>
      </c>
      <c r="F11" s="6">
        <v>1</v>
      </c>
      <c r="G11" s="6"/>
      <c r="H11" s="6">
        <v>6</v>
      </c>
      <c r="I11" s="6"/>
    </row>
    <row r="12" spans="1:9" hidden="1" x14ac:dyDescent="0.2">
      <c r="A12" s="8">
        <v>6</v>
      </c>
      <c r="B12" s="5"/>
      <c r="C12" s="74"/>
      <c r="D12" s="6"/>
      <c r="E12" s="6"/>
      <c r="F12" s="6"/>
      <c r="G12" s="6"/>
      <c r="H12" s="6"/>
      <c r="I12" s="6"/>
    </row>
    <row r="13" spans="1:9" hidden="1" x14ac:dyDescent="0.2">
      <c r="A13" s="8" t="s">
        <v>6</v>
      </c>
      <c r="B13" s="5"/>
      <c r="C13" s="74"/>
      <c r="D13" s="6"/>
      <c r="E13" s="6"/>
      <c r="F13" s="6"/>
      <c r="G13" s="6"/>
      <c r="H13" s="6"/>
      <c r="I13" s="6"/>
    </row>
    <row r="14" spans="1:9" hidden="1" x14ac:dyDescent="0.2">
      <c r="A14" s="8" t="s">
        <v>7</v>
      </c>
      <c r="B14" s="5"/>
      <c r="C14" s="74"/>
      <c r="D14" s="6"/>
      <c r="E14" s="6"/>
      <c r="F14" s="6"/>
      <c r="G14" s="6"/>
      <c r="H14" s="6"/>
      <c r="I14" s="6"/>
    </row>
    <row r="15" spans="1:9" hidden="1" x14ac:dyDescent="0.2">
      <c r="A15" s="8" t="s">
        <v>8</v>
      </c>
      <c r="B15" s="5"/>
      <c r="C15" s="74"/>
      <c r="D15" s="6"/>
      <c r="E15" s="6"/>
      <c r="F15" s="6"/>
      <c r="G15" s="6"/>
      <c r="H15" s="6"/>
      <c r="I15" s="6"/>
    </row>
    <row r="16" spans="1:9" hidden="1" x14ac:dyDescent="0.2">
      <c r="A16" s="8" t="s">
        <v>9</v>
      </c>
      <c r="B16" s="5"/>
      <c r="C16" s="74"/>
      <c r="D16" s="6"/>
      <c r="E16" s="6"/>
      <c r="F16" s="6"/>
      <c r="G16" s="6"/>
      <c r="H16" s="6"/>
      <c r="I16" s="6"/>
    </row>
    <row r="17" spans="1:9" x14ac:dyDescent="0.2">
      <c r="A17" s="312" t="s">
        <v>10</v>
      </c>
      <c r="B17" s="313"/>
      <c r="C17" s="313"/>
      <c r="D17" s="313"/>
      <c r="E17" s="314"/>
      <c r="F17" s="11">
        <f>SUM(F7:F16)</f>
        <v>5</v>
      </c>
      <c r="G17" s="11">
        <f>SUM(G7:G16)</f>
        <v>0</v>
      </c>
      <c r="H17" s="11">
        <f>SUM(H7:H16)</f>
        <v>29.5</v>
      </c>
      <c r="I17" s="11"/>
    </row>
    <row r="18" spans="1:9" x14ac:dyDescent="0.2">
      <c r="A18" s="8" t="s">
        <v>0</v>
      </c>
      <c r="B18" s="5">
        <f>B7+1</f>
        <v>46108</v>
      </c>
      <c r="C18" s="75" t="s">
        <v>298</v>
      </c>
      <c r="D18" s="6" t="s">
        <v>282</v>
      </c>
      <c r="E18" s="6" t="s">
        <v>168</v>
      </c>
      <c r="F18" s="6">
        <v>1</v>
      </c>
      <c r="G18" s="6"/>
      <c r="H18" s="6">
        <v>5</v>
      </c>
      <c r="I18" s="6"/>
    </row>
    <row r="19" spans="1:9" x14ac:dyDescent="0.2">
      <c r="A19" s="8" t="s">
        <v>1</v>
      </c>
      <c r="B19" s="5"/>
      <c r="C19" s="75" t="s">
        <v>299</v>
      </c>
      <c r="D19" s="6" t="s">
        <v>242</v>
      </c>
      <c r="E19" s="6" t="s">
        <v>171</v>
      </c>
      <c r="F19" s="6">
        <v>1</v>
      </c>
      <c r="G19" s="6"/>
      <c r="H19" s="6">
        <v>5</v>
      </c>
      <c r="I19" s="6"/>
    </row>
    <row r="20" spans="1:9" x14ac:dyDescent="0.2">
      <c r="A20" s="8" t="s">
        <v>2</v>
      </c>
      <c r="B20" s="5"/>
      <c r="C20" s="75" t="s">
        <v>300</v>
      </c>
      <c r="D20" s="6" t="s">
        <v>170</v>
      </c>
      <c r="E20" s="6" t="s">
        <v>171</v>
      </c>
      <c r="F20" s="6">
        <v>1</v>
      </c>
      <c r="G20" s="6"/>
      <c r="H20" s="6">
        <v>6</v>
      </c>
      <c r="I20" s="6"/>
    </row>
    <row r="21" spans="1:9" x14ac:dyDescent="0.2">
      <c r="A21" s="8" t="s">
        <v>3</v>
      </c>
      <c r="B21" s="5"/>
      <c r="C21" s="75" t="s">
        <v>301</v>
      </c>
      <c r="D21" s="6" t="s">
        <v>242</v>
      </c>
      <c r="E21" s="6" t="s">
        <v>171</v>
      </c>
      <c r="F21" s="6">
        <v>1</v>
      </c>
      <c r="G21" s="6"/>
      <c r="H21" s="6">
        <v>5</v>
      </c>
      <c r="I21" s="6"/>
    </row>
    <row r="22" spans="1:9" x14ac:dyDescent="0.2">
      <c r="A22" s="8" t="s">
        <v>4</v>
      </c>
      <c r="B22" s="5"/>
      <c r="C22" s="75" t="s">
        <v>302</v>
      </c>
      <c r="D22" s="6" t="s">
        <v>242</v>
      </c>
      <c r="E22" s="6" t="s">
        <v>171</v>
      </c>
      <c r="F22" s="6">
        <v>1</v>
      </c>
      <c r="G22" s="6"/>
      <c r="H22" s="6">
        <v>6</v>
      </c>
      <c r="I22" s="6"/>
    </row>
    <row r="23" spans="1:9" x14ac:dyDescent="0.2">
      <c r="A23" s="8" t="s">
        <v>5</v>
      </c>
      <c r="B23" s="5"/>
      <c r="C23" s="75" t="s">
        <v>303</v>
      </c>
      <c r="D23" s="6" t="s">
        <v>242</v>
      </c>
      <c r="E23" s="6" t="s">
        <v>171</v>
      </c>
      <c r="F23" s="6"/>
      <c r="G23" s="6">
        <v>1</v>
      </c>
      <c r="H23" s="6">
        <v>6</v>
      </c>
      <c r="I23" s="6"/>
    </row>
    <row r="24" spans="1:9" x14ac:dyDescent="0.2">
      <c r="A24" s="8" t="s">
        <v>6</v>
      </c>
      <c r="B24" s="5"/>
      <c r="C24" s="75" t="s">
        <v>304</v>
      </c>
      <c r="D24" s="6" t="s">
        <v>170</v>
      </c>
      <c r="E24" s="6" t="s">
        <v>171</v>
      </c>
      <c r="F24" s="6"/>
      <c r="G24" s="6">
        <v>1</v>
      </c>
      <c r="H24" s="6">
        <v>6</v>
      </c>
      <c r="I24" s="6"/>
    </row>
    <row r="25" spans="1:9" hidden="1" x14ac:dyDescent="0.2">
      <c r="A25" s="8" t="s">
        <v>7</v>
      </c>
      <c r="B25" s="5"/>
      <c r="C25" s="75"/>
      <c r="D25" s="6"/>
      <c r="E25" s="6"/>
      <c r="F25" s="6"/>
      <c r="G25" s="6"/>
      <c r="H25" s="6"/>
      <c r="I25" s="6"/>
    </row>
    <row r="26" spans="1:9" hidden="1" x14ac:dyDescent="0.2">
      <c r="A26" s="8" t="s">
        <v>8</v>
      </c>
      <c r="B26" s="5"/>
      <c r="C26" s="74"/>
      <c r="D26" s="6"/>
      <c r="E26" s="6"/>
      <c r="F26" s="6"/>
      <c r="G26" s="6"/>
      <c r="H26" s="6"/>
      <c r="I26" s="6"/>
    </row>
    <row r="27" spans="1:9" hidden="1" x14ac:dyDescent="0.2">
      <c r="A27" s="8" t="s">
        <v>9</v>
      </c>
      <c r="B27" s="5"/>
      <c r="C27" s="74"/>
      <c r="D27" s="6"/>
      <c r="E27" s="6"/>
      <c r="F27" s="6"/>
      <c r="G27" s="6"/>
      <c r="H27" s="6"/>
      <c r="I27" s="6"/>
    </row>
    <row r="28" spans="1:9" x14ac:dyDescent="0.2">
      <c r="A28" s="312" t="s">
        <v>10</v>
      </c>
      <c r="B28" s="313"/>
      <c r="C28" s="313"/>
      <c r="D28" s="313"/>
      <c r="E28" s="314"/>
      <c r="F28" s="11">
        <f>SUM(F18:F27)</f>
        <v>5</v>
      </c>
      <c r="G28" s="11">
        <f>SUM(G18:G27)</f>
        <v>2</v>
      </c>
      <c r="H28" s="11">
        <f>SUM(H18:H27)</f>
        <v>39</v>
      </c>
      <c r="I28" s="11"/>
    </row>
    <row r="29" spans="1:9" x14ac:dyDescent="0.2">
      <c r="A29" s="8" t="s">
        <v>0</v>
      </c>
      <c r="B29" s="5">
        <f>B18+1</f>
        <v>46109</v>
      </c>
      <c r="C29" s="74" t="s">
        <v>359</v>
      </c>
      <c r="D29" s="6" t="s">
        <v>332</v>
      </c>
      <c r="E29" s="6" t="s">
        <v>216</v>
      </c>
      <c r="F29" s="6">
        <v>1</v>
      </c>
      <c r="G29" s="6"/>
      <c r="H29" s="6">
        <v>4.5</v>
      </c>
      <c r="I29" s="6"/>
    </row>
    <row r="30" spans="1:9" x14ac:dyDescent="0.2">
      <c r="A30" s="8" t="s">
        <v>1</v>
      </c>
      <c r="B30" s="5"/>
      <c r="C30" s="74" t="s">
        <v>360</v>
      </c>
      <c r="D30" s="6" t="s">
        <v>361</v>
      </c>
      <c r="E30" s="6" t="s">
        <v>168</v>
      </c>
      <c r="F30" s="6">
        <v>1</v>
      </c>
      <c r="G30" s="6"/>
      <c r="H30" s="6">
        <v>4.75</v>
      </c>
      <c r="I30" s="6"/>
    </row>
    <row r="31" spans="1:9" hidden="1" x14ac:dyDescent="0.2">
      <c r="A31" s="8" t="s">
        <v>2</v>
      </c>
      <c r="B31" s="5"/>
      <c r="C31" s="74"/>
      <c r="D31" s="6"/>
      <c r="E31" s="6"/>
      <c r="F31" s="6"/>
      <c r="G31" s="6"/>
      <c r="H31" s="6"/>
      <c r="I31" s="6"/>
    </row>
    <row r="32" spans="1:9" hidden="1" x14ac:dyDescent="0.2">
      <c r="A32" s="8" t="s">
        <v>3</v>
      </c>
      <c r="B32" s="5"/>
      <c r="C32" s="74"/>
      <c r="D32" s="6"/>
      <c r="E32" s="6"/>
      <c r="F32" s="6"/>
      <c r="G32" s="6"/>
      <c r="H32" s="6"/>
      <c r="I32" s="6"/>
    </row>
    <row r="33" spans="1:9" hidden="1" x14ac:dyDescent="0.2">
      <c r="A33" s="8" t="s">
        <v>4</v>
      </c>
      <c r="B33" s="5"/>
      <c r="C33" s="74"/>
      <c r="D33" s="6"/>
      <c r="E33" s="6"/>
      <c r="F33" s="6"/>
      <c r="G33" s="6"/>
      <c r="H33" s="6"/>
      <c r="I33" s="6"/>
    </row>
    <row r="34" spans="1:9" hidden="1" x14ac:dyDescent="0.2">
      <c r="A34" s="8" t="s">
        <v>5</v>
      </c>
      <c r="B34" s="5"/>
      <c r="C34" s="74"/>
      <c r="D34" s="6"/>
      <c r="E34" s="6"/>
      <c r="F34" s="6"/>
      <c r="G34" s="6"/>
      <c r="H34" s="6"/>
      <c r="I34" s="6"/>
    </row>
    <row r="35" spans="1:9" hidden="1" x14ac:dyDescent="0.2">
      <c r="A35" s="8" t="s">
        <v>6</v>
      </c>
      <c r="B35" s="5"/>
      <c r="C35" s="74"/>
      <c r="D35" s="6"/>
      <c r="E35" s="6"/>
      <c r="F35" s="6"/>
      <c r="G35" s="6"/>
      <c r="H35" s="6"/>
      <c r="I35" s="6"/>
    </row>
    <row r="36" spans="1:9" hidden="1" x14ac:dyDescent="0.2">
      <c r="A36" s="8" t="s">
        <v>7</v>
      </c>
      <c r="B36" s="5"/>
      <c r="C36" s="74"/>
      <c r="D36" s="6"/>
      <c r="E36" s="6"/>
      <c r="F36" s="6"/>
      <c r="G36" s="6"/>
      <c r="H36" s="6"/>
      <c r="I36" s="6"/>
    </row>
    <row r="37" spans="1:9" hidden="1" x14ac:dyDescent="0.2">
      <c r="A37" s="8" t="s">
        <v>8</v>
      </c>
      <c r="B37" s="5"/>
      <c r="C37" s="74"/>
      <c r="D37" s="6"/>
      <c r="E37" s="6"/>
      <c r="F37" s="6"/>
      <c r="G37" s="6"/>
      <c r="H37" s="6"/>
      <c r="I37" s="6"/>
    </row>
    <row r="38" spans="1:9" hidden="1" x14ac:dyDescent="0.2">
      <c r="A38" s="8" t="s">
        <v>9</v>
      </c>
      <c r="B38" s="5"/>
      <c r="C38" s="74"/>
      <c r="D38" s="6"/>
      <c r="E38" s="6"/>
      <c r="F38" s="6"/>
      <c r="G38" s="6"/>
      <c r="H38" s="6"/>
      <c r="I38" s="6"/>
    </row>
    <row r="39" spans="1:9" x14ac:dyDescent="0.2">
      <c r="A39" s="312" t="s">
        <v>10</v>
      </c>
      <c r="B39" s="313"/>
      <c r="C39" s="313"/>
      <c r="D39" s="313"/>
      <c r="E39" s="314"/>
      <c r="F39" s="11">
        <f>SUM(F29:F38)</f>
        <v>2</v>
      </c>
      <c r="G39" s="11">
        <f>SUM(G29:G38)</f>
        <v>0</v>
      </c>
      <c r="H39" s="11">
        <f>SUM(H29:H38)</f>
        <v>9.25</v>
      </c>
      <c r="I39" s="11"/>
    </row>
    <row r="40" spans="1:9" x14ac:dyDescent="0.2">
      <c r="A40" s="8" t="s">
        <v>0</v>
      </c>
      <c r="B40" s="5">
        <f>B29+1</f>
        <v>46110</v>
      </c>
      <c r="C40" s="75" t="s">
        <v>410</v>
      </c>
      <c r="D40" s="6" t="s">
        <v>242</v>
      </c>
      <c r="E40" s="6" t="s">
        <v>171</v>
      </c>
      <c r="F40" s="6">
        <v>1</v>
      </c>
      <c r="G40" s="6"/>
      <c r="H40" s="6">
        <v>5.5</v>
      </c>
      <c r="I40" s="6"/>
    </row>
    <row r="41" spans="1:9" x14ac:dyDescent="0.2">
      <c r="A41" s="8" t="s">
        <v>1</v>
      </c>
      <c r="B41" s="5"/>
      <c r="C41" s="75" t="s">
        <v>411</v>
      </c>
      <c r="D41" s="6" t="s">
        <v>242</v>
      </c>
      <c r="E41" s="6" t="s">
        <v>171</v>
      </c>
      <c r="F41" s="6">
        <v>1</v>
      </c>
      <c r="G41" s="6"/>
      <c r="H41" s="6">
        <v>5.5</v>
      </c>
      <c r="I41" s="6"/>
    </row>
    <row r="42" spans="1:9" x14ac:dyDescent="0.2">
      <c r="A42" s="8" t="s">
        <v>2</v>
      </c>
      <c r="B42" s="5"/>
      <c r="C42" s="75" t="s">
        <v>412</v>
      </c>
      <c r="D42" s="6" t="s">
        <v>242</v>
      </c>
      <c r="E42" s="6" t="s">
        <v>171</v>
      </c>
      <c r="F42" s="6">
        <v>1</v>
      </c>
      <c r="G42" s="6"/>
      <c r="H42" s="6">
        <v>5.5</v>
      </c>
      <c r="I42" s="6"/>
    </row>
    <row r="43" spans="1:9" x14ac:dyDescent="0.2">
      <c r="A43" s="8" t="s">
        <v>3</v>
      </c>
      <c r="B43" s="5"/>
      <c r="C43" s="75" t="s">
        <v>397</v>
      </c>
      <c r="D43" s="6" t="s">
        <v>211</v>
      </c>
      <c r="E43" s="6" t="s">
        <v>171</v>
      </c>
      <c r="F43" s="6">
        <v>1</v>
      </c>
      <c r="G43" s="6"/>
      <c r="H43" s="6">
        <v>4</v>
      </c>
      <c r="I43" s="6"/>
    </row>
    <row r="44" spans="1:9" x14ac:dyDescent="0.2">
      <c r="A44" s="8" t="s">
        <v>4</v>
      </c>
      <c r="B44" s="5"/>
      <c r="C44" s="75" t="s">
        <v>413</v>
      </c>
      <c r="D44" s="6" t="s">
        <v>371</v>
      </c>
      <c r="E44" s="6" t="s">
        <v>165</v>
      </c>
      <c r="F44" s="6">
        <v>1</v>
      </c>
      <c r="G44" s="6"/>
      <c r="H44" s="6">
        <v>6</v>
      </c>
      <c r="I44" s="6"/>
    </row>
    <row r="45" spans="1:9" x14ac:dyDescent="0.2">
      <c r="A45" s="8" t="s">
        <v>5</v>
      </c>
      <c r="B45" s="5"/>
      <c r="C45" s="75" t="s">
        <v>414</v>
      </c>
      <c r="D45" s="6" t="s">
        <v>415</v>
      </c>
      <c r="E45" s="6" t="s">
        <v>168</v>
      </c>
      <c r="F45" s="6"/>
      <c r="G45" s="6">
        <v>1</v>
      </c>
      <c r="H45" s="6">
        <v>4.5</v>
      </c>
      <c r="I45" s="6"/>
    </row>
    <row r="46" spans="1:9" hidden="1" x14ac:dyDescent="0.2">
      <c r="A46" s="8" t="s">
        <v>6</v>
      </c>
      <c r="B46" s="5"/>
      <c r="C46" s="75"/>
      <c r="D46" s="6"/>
      <c r="E46" s="6"/>
      <c r="F46" s="6"/>
      <c r="G46" s="6"/>
      <c r="H46" s="6"/>
      <c r="I46" s="6"/>
    </row>
    <row r="47" spans="1:9" hidden="1" x14ac:dyDescent="0.2">
      <c r="A47" s="8" t="s">
        <v>7</v>
      </c>
      <c r="B47" s="5"/>
      <c r="C47" s="74"/>
      <c r="D47" s="6"/>
      <c r="E47" s="6"/>
      <c r="F47" s="6"/>
      <c r="G47" s="6"/>
      <c r="H47" s="6"/>
      <c r="I47" s="6"/>
    </row>
    <row r="48" spans="1:9" hidden="1" x14ac:dyDescent="0.2">
      <c r="A48" s="8" t="s">
        <v>8</v>
      </c>
      <c r="B48" s="5"/>
      <c r="C48" s="74"/>
      <c r="D48" s="6"/>
      <c r="E48" s="6"/>
      <c r="F48" s="6"/>
      <c r="G48" s="6"/>
      <c r="H48" s="6"/>
      <c r="I48" s="6"/>
    </row>
    <row r="49" spans="1:9" hidden="1" x14ac:dyDescent="0.2">
      <c r="A49" s="8" t="s">
        <v>9</v>
      </c>
      <c r="B49" s="5"/>
      <c r="C49" s="74"/>
      <c r="D49" s="6"/>
      <c r="E49" s="6"/>
      <c r="F49" s="6"/>
      <c r="G49" s="6"/>
      <c r="H49" s="6"/>
      <c r="I49" s="6"/>
    </row>
    <row r="50" spans="1:9" x14ac:dyDescent="0.2">
      <c r="A50" s="312" t="s">
        <v>10</v>
      </c>
      <c r="B50" s="313"/>
      <c r="C50" s="313"/>
      <c r="D50" s="313"/>
      <c r="E50" s="314"/>
      <c r="F50" s="11">
        <f>SUM(F40:F49)</f>
        <v>5</v>
      </c>
      <c r="G50" s="11">
        <f>SUM(G40:G49)</f>
        <v>1</v>
      </c>
      <c r="H50" s="11">
        <f>SUM(H40:H49)</f>
        <v>31</v>
      </c>
      <c r="I50" s="11"/>
    </row>
    <row r="51" spans="1:9" x14ac:dyDescent="0.2">
      <c r="A51" s="8" t="s">
        <v>0</v>
      </c>
      <c r="B51" s="5">
        <f>B40+1</f>
        <v>46111</v>
      </c>
      <c r="C51" s="75" t="s">
        <v>489</v>
      </c>
      <c r="D51" s="6" t="s">
        <v>334</v>
      </c>
      <c r="E51" s="6" t="s">
        <v>168</v>
      </c>
      <c r="F51" s="6">
        <v>1</v>
      </c>
      <c r="G51" s="6"/>
      <c r="H51" s="6">
        <v>5</v>
      </c>
      <c r="I51" s="6"/>
    </row>
    <row r="52" spans="1:9" x14ac:dyDescent="0.2">
      <c r="A52" s="8" t="s">
        <v>1</v>
      </c>
      <c r="B52" s="5"/>
      <c r="C52" s="75" t="s">
        <v>480</v>
      </c>
      <c r="D52" s="6" t="s">
        <v>170</v>
      </c>
      <c r="E52" s="6" t="s">
        <v>171</v>
      </c>
      <c r="F52" s="6">
        <v>1</v>
      </c>
      <c r="G52" s="6"/>
      <c r="H52" s="6">
        <v>6</v>
      </c>
      <c r="I52" s="6"/>
    </row>
    <row r="53" spans="1:9" x14ac:dyDescent="0.2">
      <c r="A53" s="8" t="s">
        <v>2</v>
      </c>
      <c r="B53" s="5"/>
      <c r="C53" s="75" t="s">
        <v>482</v>
      </c>
      <c r="D53" s="6" t="s">
        <v>170</v>
      </c>
      <c r="E53" s="6" t="s">
        <v>171</v>
      </c>
      <c r="F53" s="6">
        <v>1</v>
      </c>
      <c r="G53" s="6"/>
      <c r="H53" s="6">
        <v>6</v>
      </c>
      <c r="I53" s="6"/>
    </row>
    <row r="54" spans="1:9" x14ac:dyDescent="0.2">
      <c r="A54" s="8" t="s">
        <v>3</v>
      </c>
      <c r="B54" s="5"/>
      <c r="C54" s="75" t="s">
        <v>490</v>
      </c>
      <c r="D54" s="6" t="s">
        <v>170</v>
      </c>
      <c r="E54" s="6" t="s">
        <v>171</v>
      </c>
      <c r="F54" s="6">
        <v>1</v>
      </c>
      <c r="G54" s="6"/>
      <c r="H54" s="6">
        <v>6</v>
      </c>
      <c r="I54" s="6"/>
    </row>
    <row r="55" spans="1:9" x14ac:dyDescent="0.2">
      <c r="A55" s="8" t="s">
        <v>4</v>
      </c>
      <c r="B55" s="5"/>
      <c r="C55" s="75" t="s">
        <v>491</v>
      </c>
      <c r="D55" s="6" t="s">
        <v>170</v>
      </c>
      <c r="E55" s="6" t="s">
        <v>171</v>
      </c>
      <c r="F55" s="6">
        <v>1</v>
      </c>
      <c r="G55" s="6"/>
      <c r="H55" s="6">
        <v>6</v>
      </c>
      <c r="I55" s="6"/>
    </row>
    <row r="56" spans="1:9" x14ac:dyDescent="0.2">
      <c r="A56" s="8" t="s">
        <v>5</v>
      </c>
      <c r="B56" s="5"/>
      <c r="C56" s="75" t="s">
        <v>492</v>
      </c>
      <c r="D56" s="6" t="s">
        <v>361</v>
      </c>
      <c r="E56" s="6" t="s">
        <v>463</v>
      </c>
      <c r="F56" s="6">
        <v>1</v>
      </c>
      <c r="G56" s="6"/>
      <c r="H56" s="6">
        <v>4.5</v>
      </c>
      <c r="I56" s="6"/>
    </row>
    <row r="57" spans="1:9" x14ac:dyDescent="0.2">
      <c r="A57" s="8" t="s">
        <v>6</v>
      </c>
      <c r="B57" s="5"/>
      <c r="C57" s="74" t="s">
        <v>493</v>
      </c>
      <c r="D57" s="6" t="s">
        <v>448</v>
      </c>
      <c r="E57" s="6" t="s">
        <v>165</v>
      </c>
      <c r="F57" s="6"/>
      <c r="G57" s="6">
        <v>1</v>
      </c>
      <c r="H57" s="6">
        <v>6</v>
      </c>
      <c r="I57" s="6"/>
    </row>
    <row r="58" spans="1:9" hidden="1" x14ac:dyDescent="0.2">
      <c r="A58" s="8" t="s">
        <v>7</v>
      </c>
      <c r="B58" s="5"/>
      <c r="C58" s="74"/>
      <c r="D58" s="6"/>
      <c r="E58" s="6"/>
      <c r="F58" s="6"/>
      <c r="G58" s="6"/>
      <c r="H58" s="6"/>
      <c r="I58" s="6"/>
    </row>
    <row r="59" spans="1:9" hidden="1" x14ac:dyDescent="0.2">
      <c r="A59" s="8" t="s">
        <v>8</v>
      </c>
      <c r="B59" s="5"/>
      <c r="C59" s="74"/>
      <c r="D59" s="6"/>
      <c r="E59" s="6"/>
      <c r="F59" s="6"/>
      <c r="G59" s="6"/>
      <c r="H59" s="6"/>
      <c r="I59" s="6"/>
    </row>
    <row r="60" spans="1:9" hidden="1" x14ac:dyDescent="0.2">
      <c r="A60" s="8" t="s">
        <v>9</v>
      </c>
      <c r="B60" s="5"/>
      <c r="C60" s="74"/>
      <c r="D60" s="6"/>
      <c r="E60" s="6"/>
      <c r="F60" s="6"/>
      <c r="G60" s="6"/>
      <c r="H60" s="6"/>
      <c r="I60" s="6"/>
    </row>
    <row r="61" spans="1:9" x14ac:dyDescent="0.2">
      <c r="A61" s="312" t="s">
        <v>10</v>
      </c>
      <c r="B61" s="313"/>
      <c r="C61" s="313"/>
      <c r="D61" s="313"/>
      <c r="E61" s="314"/>
      <c r="F61" s="11">
        <f>SUM(F51:F60)</f>
        <v>6</v>
      </c>
      <c r="G61" s="11">
        <f>SUM(G51:G60)</f>
        <v>1</v>
      </c>
      <c r="H61" s="11">
        <f>SUM(H51:H60)</f>
        <v>39.5</v>
      </c>
      <c r="I61" s="11"/>
    </row>
    <row r="62" spans="1:9" x14ac:dyDescent="0.2">
      <c r="A62" s="8" t="s">
        <v>0</v>
      </c>
      <c r="B62" s="5">
        <f>B51+1</f>
        <v>46112</v>
      </c>
      <c r="C62" s="74" t="s">
        <v>562</v>
      </c>
      <c r="D62" s="6" t="s">
        <v>342</v>
      </c>
      <c r="E62" s="6" t="s">
        <v>165</v>
      </c>
      <c r="F62" s="6">
        <v>1</v>
      </c>
      <c r="G62" s="6"/>
      <c r="H62" s="6">
        <v>6</v>
      </c>
      <c r="I62" s="6"/>
    </row>
    <row r="63" spans="1:9" x14ac:dyDescent="0.2">
      <c r="A63" s="8" t="s">
        <v>1</v>
      </c>
      <c r="B63" s="5"/>
      <c r="C63" s="74" t="s">
        <v>563</v>
      </c>
      <c r="D63" s="6" t="s">
        <v>178</v>
      </c>
      <c r="E63" s="6" t="s">
        <v>165</v>
      </c>
      <c r="F63" s="6">
        <v>1</v>
      </c>
      <c r="G63" s="6"/>
      <c r="H63" s="6">
        <v>6</v>
      </c>
      <c r="I63" s="6"/>
    </row>
    <row r="64" spans="1:9" x14ac:dyDescent="0.2">
      <c r="A64" s="8" t="s">
        <v>2</v>
      </c>
      <c r="B64" s="5"/>
      <c r="C64" s="74" t="s">
        <v>564</v>
      </c>
      <c r="D64" s="6" t="s">
        <v>211</v>
      </c>
      <c r="E64" s="6" t="s">
        <v>222</v>
      </c>
      <c r="F64" s="6">
        <v>1</v>
      </c>
      <c r="G64" s="6"/>
      <c r="H64" s="6">
        <v>5</v>
      </c>
      <c r="I64" s="6"/>
    </row>
    <row r="65" spans="1:9" x14ac:dyDescent="0.2">
      <c r="A65" s="8" t="s">
        <v>3</v>
      </c>
      <c r="B65" s="5"/>
      <c r="C65" s="74" t="s">
        <v>565</v>
      </c>
      <c r="D65" s="6" t="s">
        <v>170</v>
      </c>
      <c r="E65" s="6" t="s">
        <v>171</v>
      </c>
      <c r="F65" s="6">
        <v>1</v>
      </c>
      <c r="G65" s="6"/>
      <c r="H65" s="6">
        <v>6</v>
      </c>
      <c r="I65" s="6"/>
    </row>
    <row r="66" spans="1:9" x14ac:dyDescent="0.2">
      <c r="A66" s="8" t="s">
        <v>4</v>
      </c>
      <c r="B66" s="5"/>
      <c r="C66" s="74" t="s">
        <v>566</v>
      </c>
      <c r="D66" s="6" t="s">
        <v>170</v>
      </c>
      <c r="E66" s="6" t="s">
        <v>171</v>
      </c>
      <c r="F66" s="6">
        <v>1</v>
      </c>
      <c r="G66" s="6"/>
      <c r="H66" s="6">
        <v>6</v>
      </c>
      <c r="I66" s="6"/>
    </row>
    <row r="67" spans="1:9" x14ac:dyDescent="0.2">
      <c r="A67" s="8" t="s">
        <v>5</v>
      </c>
      <c r="B67" s="5"/>
      <c r="C67" s="74" t="s">
        <v>567</v>
      </c>
      <c r="D67" s="6" t="s">
        <v>173</v>
      </c>
      <c r="E67" s="6" t="s">
        <v>441</v>
      </c>
      <c r="F67" s="6">
        <v>1</v>
      </c>
      <c r="G67" s="6"/>
      <c r="H67" s="6">
        <v>6</v>
      </c>
      <c r="I67" s="6"/>
    </row>
    <row r="68" spans="1:9" x14ac:dyDescent="0.2">
      <c r="A68" s="8" t="s">
        <v>6</v>
      </c>
      <c r="B68" s="5"/>
      <c r="C68" s="74" t="s">
        <v>568</v>
      </c>
      <c r="D68" s="6" t="s">
        <v>170</v>
      </c>
      <c r="E68" s="6" t="s">
        <v>171</v>
      </c>
      <c r="F68" s="6"/>
      <c r="G68" s="6">
        <v>1</v>
      </c>
      <c r="H68" s="6">
        <v>6</v>
      </c>
      <c r="I68" s="6"/>
    </row>
    <row r="69" spans="1:9" hidden="1" x14ac:dyDescent="0.2">
      <c r="A69" s="8" t="s">
        <v>7</v>
      </c>
      <c r="B69" s="5"/>
      <c r="C69" s="74"/>
      <c r="D69" s="6"/>
      <c r="E69" s="6"/>
      <c r="F69" s="6"/>
      <c r="G69" s="6"/>
      <c r="H69" s="6"/>
      <c r="I69" s="6"/>
    </row>
    <row r="70" spans="1:9" hidden="1" x14ac:dyDescent="0.2">
      <c r="A70" s="8" t="s">
        <v>8</v>
      </c>
      <c r="B70" s="5"/>
      <c r="C70" s="74"/>
      <c r="D70" s="6"/>
      <c r="E70" s="6"/>
      <c r="F70" s="6"/>
      <c r="G70" s="6"/>
      <c r="H70" s="6"/>
      <c r="I70" s="6"/>
    </row>
    <row r="71" spans="1:9" hidden="1" x14ac:dyDescent="0.2">
      <c r="A71" s="8" t="s">
        <v>9</v>
      </c>
      <c r="B71" s="5"/>
      <c r="C71" s="75"/>
      <c r="D71" s="6"/>
      <c r="E71" s="6"/>
      <c r="F71" s="6"/>
      <c r="G71" s="6"/>
      <c r="H71" s="6"/>
      <c r="I71" s="6"/>
    </row>
    <row r="72" spans="1:9" x14ac:dyDescent="0.2">
      <c r="A72" s="312" t="s">
        <v>10</v>
      </c>
      <c r="B72" s="313"/>
      <c r="C72" s="313"/>
      <c r="D72" s="313"/>
      <c r="E72" s="314"/>
      <c r="F72" s="11">
        <f>SUM(F62:F71)</f>
        <v>6</v>
      </c>
      <c r="G72" s="11">
        <f>SUM(G62:G71)</f>
        <v>1</v>
      </c>
      <c r="H72" s="11">
        <f>SUM(H62:H71)</f>
        <v>41</v>
      </c>
      <c r="I72" s="11"/>
    </row>
    <row r="73" spans="1:9" x14ac:dyDescent="0.2">
      <c r="A73" s="8" t="s">
        <v>0</v>
      </c>
      <c r="B73" s="5">
        <f>B62+1</f>
        <v>46113</v>
      </c>
      <c r="C73" s="74" t="s">
        <v>624</v>
      </c>
      <c r="D73" s="6" t="s">
        <v>347</v>
      </c>
      <c r="E73" s="6" t="s">
        <v>190</v>
      </c>
      <c r="F73" s="6">
        <v>1</v>
      </c>
      <c r="G73" s="6"/>
      <c r="H73" s="6">
        <v>5</v>
      </c>
      <c r="I73" s="6"/>
    </row>
    <row r="74" spans="1:9" x14ac:dyDescent="0.2">
      <c r="A74" s="8" t="s">
        <v>1</v>
      </c>
      <c r="B74" s="5"/>
      <c r="C74" s="74" t="s">
        <v>625</v>
      </c>
      <c r="D74" s="6" t="s">
        <v>188</v>
      </c>
      <c r="E74" s="6" t="s">
        <v>165</v>
      </c>
      <c r="F74" s="6">
        <v>1</v>
      </c>
      <c r="G74" s="6"/>
      <c r="H74" s="6">
        <v>6</v>
      </c>
      <c r="I74" s="6"/>
    </row>
    <row r="75" spans="1:9" x14ac:dyDescent="0.2">
      <c r="A75" s="8" t="s">
        <v>2</v>
      </c>
      <c r="B75" s="5"/>
      <c r="C75" s="74" t="s">
        <v>604</v>
      </c>
      <c r="D75" s="6" t="s">
        <v>211</v>
      </c>
      <c r="E75" s="6" t="s">
        <v>171</v>
      </c>
      <c r="F75" s="6">
        <v>1</v>
      </c>
      <c r="G75" s="6"/>
      <c r="H75" s="6">
        <v>2</v>
      </c>
      <c r="I75" s="6"/>
    </row>
    <row r="76" spans="1:9" x14ac:dyDescent="0.2">
      <c r="A76" s="8" t="s">
        <v>3</v>
      </c>
      <c r="B76" s="5"/>
      <c r="C76" s="74" t="s">
        <v>626</v>
      </c>
      <c r="D76" s="6" t="s">
        <v>202</v>
      </c>
      <c r="E76" s="6" t="s">
        <v>596</v>
      </c>
      <c r="F76" s="6"/>
      <c r="G76" s="6">
        <v>1</v>
      </c>
      <c r="H76" s="6">
        <v>3.5</v>
      </c>
      <c r="I76" s="6"/>
    </row>
    <row r="77" spans="1:9" hidden="1" x14ac:dyDescent="0.2">
      <c r="A77" s="8" t="s">
        <v>4</v>
      </c>
      <c r="B77" s="5"/>
      <c r="C77" s="74"/>
      <c r="D77" s="6"/>
      <c r="E77" s="6"/>
      <c r="F77" s="6"/>
      <c r="G77" s="6"/>
      <c r="H77" s="6"/>
      <c r="I77" s="6"/>
    </row>
    <row r="78" spans="1:9" hidden="1" x14ac:dyDescent="0.2">
      <c r="A78" s="8" t="s">
        <v>5</v>
      </c>
      <c r="B78" s="5"/>
      <c r="C78" s="74"/>
      <c r="D78" s="6"/>
      <c r="E78" s="6"/>
      <c r="F78" s="6"/>
      <c r="G78" s="6"/>
      <c r="H78" s="6"/>
      <c r="I78" s="6"/>
    </row>
    <row r="79" spans="1:9" hidden="1" x14ac:dyDescent="0.2">
      <c r="A79" s="8" t="s">
        <v>6</v>
      </c>
      <c r="B79" s="5"/>
      <c r="C79" s="74"/>
      <c r="D79" s="6"/>
      <c r="E79" s="6"/>
      <c r="F79" s="6"/>
      <c r="G79" s="6"/>
      <c r="H79" s="6"/>
      <c r="I79" s="6"/>
    </row>
    <row r="80" spans="1:9" hidden="1" x14ac:dyDescent="0.2">
      <c r="A80" s="8" t="s">
        <v>7</v>
      </c>
      <c r="B80" s="5"/>
      <c r="C80" s="74"/>
      <c r="D80" s="6"/>
      <c r="E80" s="6"/>
      <c r="F80" s="6"/>
      <c r="G80" s="6"/>
      <c r="H80" s="6"/>
      <c r="I80" s="6"/>
    </row>
    <row r="81" spans="1:9" hidden="1" x14ac:dyDescent="0.2">
      <c r="A81" s="8" t="s">
        <v>8</v>
      </c>
      <c r="B81" s="5"/>
      <c r="C81" s="74"/>
      <c r="D81" s="6"/>
      <c r="E81" s="6"/>
      <c r="F81" s="6"/>
      <c r="G81" s="6"/>
      <c r="H81" s="6"/>
      <c r="I81" s="6"/>
    </row>
    <row r="82" spans="1:9" hidden="1" x14ac:dyDescent="0.2">
      <c r="A82" s="8" t="s">
        <v>9</v>
      </c>
      <c r="B82" s="5"/>
      <c r="C82" s="74"/>
      <c r="D82" s="6"/>
      <c r="E82" s="6"/>
      <c r="F82" s="6"/>
      <c r="G82" s="6"/>
      <c r="H82" s="6"/>
      <c r="I82" s="6"/>
    </row>
    <row r="83" spans="1:9" x14ac:dyDescent="0.2">
      <c r="A83" s="312" t="s">
        <v>10</v>
      </c>
      <c r="B83" s="313"/>
      <c r="C83" s="313"/>
      <c r="D83" s="313"/>
      <c r="E83" s="314"/>
      <c r="F83" s="11">
        <f>SUM(F73:F82)</f>
        <v>3</v>
      </c>
      <c r="G83" s="11">
        <f>SUM(G73:G82)</f>
        <v>1</v>
      </c>
      <c r="H83" s="11">
        <f>SUM(H73:H82)</f>
        <v>16.5</v>
      </c>
      <c r="I83" s="11"/>
    </row>
    <row r="84" spans="1:9" s="25" customFormat="1" ht="18" x14ac:dyDescent="0.2">
      <c r="A84" s="324" t="s">
        <v>39</v>
      </c>
      <c r="B84" s="325"/>
      <c r="C84" s="325"/>
      <c r="D84" s="325"/>
      <c r="E84" s="326"/>
      <c r="F84" s="24">
        <f>F17+F28+F39+F50+F61+F72+F83</f>
        <v>32</v>
      </c>
      <c r="G84" s="24">
        <f>G17+G28+G39+G50+G61+G72+G83</f>
        <v>6</v>
      </c>
      <c r="H84" s="24">
        <f>H17+H28+H39+H50+H61+H72+H83</f>
        <v>205.75</v>
      </c>
      <c r="I84" s="24"/>
    </row>
    <row r="85" spans="1:9" ht="21.95" customHeight="1" x14ac:dyDescent="0.2">
      <c r="A85" s="319" t="s">
        <v>14</v>
      </c>
      <c r="B85" s="319"/>
      <c r="C85" s="319"/>
      <c r="D85" s="319"/>
      <c r="E85" s="319"/>
      <c r="F85" s="319"/>
      <c r="G85" s="319"/>
      <c r="H85" s="319"/>
      <c r="I85" s="319"/>
    </row>
    <row r="86" spans="1:9" s="53" customFormat="1" ht="20.100000000000001" customHeight="1" x14ac:dyDescent="0.2">
      <c r="A86" s="323" t="s">
        <v>86</v>
      </c>
      <c r="B86" s="323"/>
      <c r="C86" s="323"/>
      <c r="D86" s="323"/>
      <c r="E86" s="323"/>
      <c r="F86" s="50" t="str">
        <f>F2</f>
        <v>เมษายน</v>
      </c>
      <c r="G86" s="50" t="s">
        <v>87</v>
      </c>
      <c r="H86" s="51">
        <f>H2</f>
        <v>2569</v>
      </c>
      <c r="I86" s="52"/>
    </row>
    <row r="87" spans="1:9" s="3" customFormat="1" ht="20.100000000000001" customHeight="1" x14ac:dyDescent="0.35">
      <c r="A87" s="318" t="s">
        <v>37</v>
      </c>
      <c r="B87" s="318"/>
      <c r="C87" s="318"/>
      <c r="D87" s="2"/>
      <c r="F87" s="4"/>
      <c r="G87" s="4"/>
      <c r="H87" s="4" t="s">
        <v>21</v>
      </c>
      <c r="I87" s="40">
        <f>I3+1</f>
        <v>2</v>
      </c>
    </row>
    <row r="88" spans="1:9" s="3" customFormat="1" ht="20.100000000000001" customHeight="1" x14ac:dyDescent="0.35">
      <c r="A88" s="311" t="s">
        <v>67</v>
      </c>
      <c r="B88" s="311"/>
      <c r="C88" s="311"/>
      <c r="D88" s="2"/>
      <c r="E88" s="39" t="s">
        <v>81</v>
      </c>
      <c r="F88" s="308">
        <f>F4</f>
        <v>46107</v>
      </c>
      <c r="G88" s="308"/>
      <c r="H88" s="39" t="s">
        <v>82</v>
      </c>
      <c r="I88" s="34">
        <f>I4</f>
        <v>46136</v>
      </c>
    </row>
    <row r="89" spans="1:9" x14ac:dyDescent="0.2">
      <c r="A89" s="12" t="s">
        <v>23</v>
      </c>
      <c r="B89" s="13" t="s">
        <v>11</v>
      </c>
      <c r="C89" s="72" t="s">
        <v>26</v>
      </c>
      <c r="D89" s="12" t="s">
        <v>16</v>
      </c>
      <c r="E89" s="12" t="s">
        <v>17</v>
      </c>
      <c r="F89" s="310" t="s">
        <v>46</v>
      </c>
      <c r="G89" s="310"/>
      <c r="H89" s="310"/>
      <c r="I89" s="12" t="s">
        <v>19</v>
      </c>
    </row>
    <row r="90" spans="1:9" x14ac:dyDescent="0.2">
      <c r="A90" s="15"/>
      <c r="B90" s="16"/>
      <c r="C90" s="73"/>
      <c r="D90" s="15"/>
      <c r="E90" s="15"/>
      <c r="F90" s="21" t="s">
        <v>113</v>
      </c>
      <c r="G90" s="21" t="s">
        <v>114</v>
      </c>
      <c r="H90" s="21" t="s">
        <v>20</v>
      </c>
      <c r="I90" s="15"/>
    </row>
    <row r="91" spans="1:9" x14ac:dyDescent="0.2">
      <c r="A91" s="8" t="s">
        <v>0</v>
      </c>
      <c r="B91" s="5">
        <f>B73+1</f>
        <v>46114</v>
      </c>
      <c r="C91" s="74" t="s">
        <v>689</v>
      </c>
      <c r="D91" s="6" t="s">
        <v>206</v>
      </c>
      <c r="E91" s="6" t="s">
        <v>632</v>
      </c>
      <c r="F91" s="6">
        <v>1</v>
      </c>
      <c r="G91" s="6"/>
      <c r="H91" s="6">
        <v>6</v>
      </c>
      <c r="I91" s="6"/>
    </row>
    <row r="92" spans="1:9" x14ac:dyDescent="0.2">
      <c r="A92" s="8" t="s">
        <v>1</v>
      </c>
      <c r="B92" s="5"/>
      <c r="C92" s="74" t="s">
        <v>690</v>
      </c>
      <c r="D92" s="6" t="s">
        <v>206</v>
      </c>
      <c r="E92" s="6" t="s">
        <v>632</v>
      </c>
      <c r="F92" s="6">
        <v>1</v>
      </c>
      <c r="G92" s="6"/>
      <c r="H92" s="6">
        <v>6</v>
      </c>
      <c r="I92" s="6"/>
    </row>
    <row r="93" spans="1:9" x14ac:dyDescent="0.2">
      <c r="A93" s="8" t="s">
        <v>2</v>
      </c>
      <c r="B93" s="5"/>
      <c r="C93" s="74" t="s">
        <v>691</v>
      </c>
      <c r="D93" s="6" t="s">
        <v>170</v>
      </c>
      <c r="E93" s="6" t="s">
        <v>171</v>
      </c>
      <c r="F93" s="6">
        <v>1</v>
      </c>
      <c r="G93" s="6"/>
      <c r="H93" s="6">
        <v>6</v>
      </c>
      <c r="I93" s="6"/>
    </row>
    <row r="94" spans="1:9" x14ac:dyDescent="0.2">
      <c r="A94" s="8" t="s">
        <v>3</v>
      </c>
      <c r="B94" s="5"/>
      <c r="C94" s="74" t="s">
        <v>692</v>
      </c>
      <c r="D94" s="6" t="s">
        <v>347</v>
      </c>
      <c r="E94" s="6" t="s">
        <v>441</v>
      </c>
      <c r="F94" s="6">
        <v>1</v>
      </c>
      <c r="G94" s="6"/>
      <c r="H94" s="6">
        <v>6</v>
      </c>
      <c r="I94" s="6"/>
    </row>
    <row r="95" spans="1:9" x14ac:dyDescent="0.2">
      <c r="A95" s="8" t="s">
        <v>4</v>
      </c>
      <c r="B95" s="5"/>
      <c r="C95" s="74" t="s">
        <v>694</v>
      </c>
      <c r="D95" s="6" t="s">
        <v>170</v>
      </c>
      <c r="E95" s="6" t="s">
        <v>171</v>
      </c>
      <c r="F95" s="6">
        <v>1</v>
      </c>
      <c r="G95" s="6"/>
      <c r="H95" s="6">
        <v>6</v>
      </c>
      <c r="I95" s="6"/>
    </row>
    <row r="96" spans="1:9" x14ac:dyDescent="0.2">
      <c r="A96" s="8" t="s">
        <v>5</v>
      </c>
      <c r="B96" s="5"/>
      <c r="C96" s="74" t="s">
        <v>696</v>
      </c>
      <c r="D96" s="6" t="s">
        <v>170</v>
      </c>
      <c r="E96" s="6" t="s">
        <v>171</v>
      </c>
      <c r="F96" s="6">
        <v>1</v>
      </c>
      <c r="G96" s="6"/>
      <c r="H96" s="6">
        <v>6</v>
      </c>
      <c r="I96" s="6"/>
    </row>
    <row r="97" spans="1:9" x14ac:dyDescent="0.2">
      <c r="A97" s="8" t="s">
        <v>6</v>
      </c>
      <c r="B97" s="5"/>
      <c r="C97" s="74" t="s">
        <v>697</v>
      </c>
      <c r="D97" s="6" t="s">
        <v>170</v>
      </c>
      <c r="E97" s="6" t="s">
        <v>171</v>
      </c>
      <c r="F97" s="6"/>
      <c r="G97" s="6">
        <v>1</v>
      </c>
      <c r="H97" s="6">
        <v>6</v>
      </c>
      <c r="I97" s="6"/>
    </row>
    <row r="98" spans="1:9" x14ac:dyDescent="0.2">
      <c r="A98" s="8" t="s">
        <v>7</v>
      </c>
      <c r="B98" s="5"/>
      <c r="C98" s="74" t="s">
        <v>698</v>
      </c>
      <c r="D98" s="6" t="s">
        <v>170</v>
      </c>
      <c r="E98" s="6" t="s">
        <v>171</v>
      </c>
      <c r="F98" s="6"/>
      <c r="G98" s="6">
        <v>1</v>
      </c>
      <c r="H98" s="6">
        <v>6</v>
      </c>
      <c r="I98" s="6"/>
    </row>
    <row r="99" spans="1:9" x14ac:dyDescent="0.2">
      <c r="A99" s="8" t="s">
        <v>8</v>
      </c>
      <c r="B99" s="5"/>
      <c r="C99" s="74" t="s">
        <v>699</v>
      </c>
      <c r="D99" s="6" t="s">
        <v>170</v>
      </c>
      <c r="E99" s="6" t="s">
        <v>171</v>
      </c>
      <c r="F99" s="6"/>
      <c r="G99" s="6">
        <v>1</v>
      </c>
      <c r="H99" s="6">
        <v>6</v>
      </c>
      <c r="I99" s="6"/>
    </row>
    <row r="100" spans="1:9" hidden="1" x14ac:dyDescent="0.2">
      <c r="A100" s="8" t="s">
        <v>9</v>
      </c>
      <c r="B100" s="5"/>
      <c r="C100" s="74"/>
      <c r="D100" s="6"/>
      <c r="E100" s="6"/>
      <c r="F100" s="6"/>
      <c r="G100" s="6"/>
      <c r="H100" s="6"/>
      <c r="I100" s="6"/>
    </row>
    <row r="101" spans="1:9" x14ac:dyDescent="0.2">
      <c r="A101" s="312" t="s">
        <v>10</v>
      </c>
      <c r="B101" s="313"/>
      <c r="C101" s="313"/>
      <c r="D101" s="313"/>
      <c r="E101" s="314"/>
      <c r="F101" s="11">
        <f>SUM(F91:F100)</f>
        <v>6</v>
      </c>
      <c r="G101" s="11">
        <f>SUM(G91:G100)</f>
        <v>3</v>
      </c>
      <c r="H101" s="11">
        <f>SUM(H91:H100)</f>
        <v>54</v>
      </c>
      <c r="I101" s="11"/>
    </row>
    <row r="102" spans="1:9" x14ac:dyDescent="0.2">
      <c r="A102" s="8" t="s">
        <v>0</v>
      </c>
      <c r="B102" s="5">
        <f>B91+1</f>
        <v>46115</v>
      </c>
      <c r="C102" s="74" t="s">
        <v>784</v>
      </c>
      <c r="D102" s="6" t="s">
        <v>342</v>
      </c>
      <c r="E102" s="6" t="s">
        <v>165</v>
      </c>
      <c r="F102" s="6">
        <v>1</v>
      </c>
      <c r="G102" s="6"/>
      <c r="H102" s="6">
        <v>6</v>
      </c>
      <c r="I102" s="6"/>
    </row>
    <row r="103" spans="1:9" x14ac:dyDescent="0.2">
      <c r="A103" s="8" t="s">
        <v>1</v>
      </c>
      <c r="B103" s="5"/>
      <c r="C103" s="74" t="s">
        <v>785</v>
      </c>
      <c r="D103" s="6" t="s">
        <v>178</v>
      </c>
      <c r="E103" s="6" t="s">
        <v>165</v>
      </c>
      <c r="F103" s="6">
        <v>1</v>
      </c>
      <c r="G103" s="6"/>
      <c r="H103" s="6">
        <v>5</v>
      </c>
      <c r="I103" s="6"/>
    </row>
    <row r="104" spans="1:9" x14ac:dyDescent="0.2">
      <c r="A104" s="8" t="s">
        <v>2</v>
      </c>
      <c r="B104" s="5"/>
      <c r="C104" s="74" t="s">
        <v>786</v>
      </c>
      <c r="D104" s="6" t="s">
        <v>342</v>
      </c>
      <c r="E104" s="6" t="s">
        <v>165</v>
      </c>
      <c r="F104" s="6">
        <v>1</v>
      </c>
      <c r="G104" s="6"/>
      <c r="H104" s="6">
        <v>6</v>
      </c>
      <c r="I104" s="6"/>
    </row>
    <row r="105" spans="1:9" x14ac:dyDescent="0.2">
      <c r="A105" s="8" t="s">
        <v>3</v>
      </c>
      <c r="B105" s="5"/>
      <c r="C105" s="74" t="s">
        <v>787</v>
      </c>
      <c r="D105" s="6" t="s">
        <v>170</v>
      </c>
      <c r="E105" s="6" t="s">
        <v>171</v>
      </c>
      <c r="F105" s="6">
        <v>1</v>
      </c>
      <c r="G105" s="6"/>
      <c r="H105" s="6">
        <v>6</v>
      </c>
      <c r="I105" s="6"/>
    </row>
    <row r="106" spans="1:9" x14ac:dyDescent="0.2">
      <c r="A106" s="8" t="s">
        <v>4</v>
      </c>
      <c r="B106" s="5"/>
      <c r="C106" s="74" t="s">
        <v>777</v>
      </c>
      <c r="D106" s="6" t="s">
        <v>170</v>
      </c>
      <c r="E106" s="6" t="s">
        <v>171</v>
      </c>
      <c r="F106" s="6">
        <v>1</v>
      </c>
      <c r="G106" s="6"/>
      <c r="H106" s="6">
        <v>6</v>
      </c>
      <c r="I106" s="6"/>
    </row>
    <row r="107" spans="1:9" x14ac:dyDescent="0.2">
      <c r="A107" s="8" t="s">
        <v>5</v>
      </c>
      <c r="B107" s="5"/>
      <c r="C107" s="74" t="s">
        <v>790</v>
      </c>
      <c r="D107" s="6" t="s">
        <v>170</v>
      </c>
      <c r="E107" s="6" t="s">
        <v>171</v>
      </c>
      <c r="F107" s="6">
        <v>1</v>
      </c>
      <c r="G107" s="6"/>
      <c r="H107" s="6">
        <v>6</v>
      </c>
      <c r="I107" s="6"/>
    </row>
    <row r="108" spans="1:9" x14ac:dyDescent="0.2">
      <c r="A108" s="8" t="s">
        <v>6</v>
      </c>
      <c r="B108" s="5"/>
      <c r="C108" s="74" t="s">
        <v>791</v>
      </c>
      <c r="D108" s="6" t="s">
        <v>361</v>
      </c>
      <c r="E108" s="6" t="s">
        <v>168</v>
      </c>
      <c r="F108" s="6">
        <v>1</v>
      </c>
      <c r="G108" s="6"/>
      <c r="H108" s="6">
        <v>3</v>
      </c>
      <c r="I108" s="6"/>
    </row>
    <row r="109" spans="1:9" x14ac:dyDescent="0.2">
      <c r="A109" s="8" t="s">
        <v>7</v>
      </c>
      <c r="B109" s="5"/>
      <c r="C109" s="74" t="s">
        <v>792</v>
      </c>
      <c r="D109" s="6" t="s">
        <v>170</v>
      </c>
      <c r="E109" s="6" t="s">
        <v>171</v>
      </c>
      <c r="F109" s="6"/>
      <c r="G109" s="6">
        <v>1</v>
      </c>
      <c r="H109" s="6">
        <v>6</v>
      </c>
      <c r="I109" s="6"/>
    </row>
    <row r="110" spans="1:9" x14ac:dyDescent="0.2">
      <c r="A110" s="8" t="s">
        <v>8</v>
      </c>
      <c r="B110" s="5"/>
      <c r="C110" s="74" t="s">
        <v>793</v>
      </c>
      <c r="D110" s="6" t="s">
        <v>170</v>
      </c>
      <c r="E110" s="6" t="s">
        <v>171</v>
      </c>
      <c r="F110" s="6"/>
      <c r="G110" s="6">
        <v>1</v>
      </c>
      <c r="H110" s="6">
        <v>6</v>
      </c>
      <c r="I110" s="6"/>
    </row>
    <row r="111" spans="1:9" hidden="1" x14ac:dyDescent="0.2">
      <c r="A111" s="8" t="s">
        <v>9</v>
      </c>
      <c r="B111" s="5"/>
      <c r="C111" s="74"/>
      <c r="D111" s="6"/>
      <c r="E111" s="6"/>
      <c r="F111" s="6"/>
      <c r="G111" s="6"/>
      <c r="H111" s="6"/>
      <c r="I111" s="6"/>
    </row>
    <row r="112" spans="1:9" x14ac:dyDescent="0.2">
      <c r="A112" s="312" t="s">
        <v>10</v>
      </c>
      <c r="B112" s="313"/>
      <c r="C112" s="313"/>
      <c r="D112" s="313"/>
      <c r="E112" s="314"/>
      <c r="F112" s="11">
        <f>SUM(F102:F111)</f>
        <v>7</v>
      </c>
      <c r="G112" s="11">
        <f>SUM(G102:G111)</f>
        <v>2</v>
      </c>
      <c r="H112" s="11">
        <f>SUM(H102:H111)</f>
        <v>50</v>
      </c>
      <c r="I112" s="11"/>
    </row>
    <row r="113" spans="1:9" x14ac:dyDescent="0.2">
      <c r="A113" s="8" t="s">
        <v>0</v>
      </c>
      <c r="B113" s="5">
        <f>B102+1</f>
        <v>46116</v>
      </c>
      <c r="C113" s="74" t="s">
        <v>846</v>
      </c>
      <c r="D113" s="6" t="s">
        <v>250</v>
      </c>
      <c r="E113" s="6" t="s">
        <v>168</v>
      </c>
      <c r="F113" s="6">
        <v>1</v>
      </c>
      <c r="G113" s="6"/>
      <c r="H113" s="6">
        <v>5</v>
      </c>
      <c r="I113" s="6"/>
    </row>
    <row r="114" spans="1:9" x14ac:dyDescent="0.2">
      <c r="A114" s="8" t="s">
        <v>1</v>
      </c>
      <c r="B114" s="5"/>
      <c r="C114" s="74" t="s">
        <v>847</v>
      </c>
      <c r="D114" s="6" t="s">
        <v>202</v>
      </c>
      <c r="E114" s="6" t="s">
        <v>222</v>
      </c>
      <c r="F114" s="6">
        <v>1</v>
      </c>
      <c r="G114" s="6"/>
      <c r="H114" s="6">
        <v>5</v>
      </c>
      <c r="I114" s="6"/>
    </row>
    <row r="115" spans="1:9" x14ac:dyDescent="0.2">
      <c r="A115" s="8" t="s">
        <v>2</v>
      </c>
      <c r="B115" s="5"/>
      <c r="C115" s="74" t="s">
        <v>848</v>
      </c>
      <c r="D115" s="6" t="s">
        <v>211</v>
      </c>
      <c r="E115" s="6" t="s">
        <v>184</v>
      </c>
      <c r="F115" s="6">
        <v>1</v>
      </c>
      <c r="G115" s="6"/>
      <c r="H115" s="6">
        <v>5</v>
      </c>
      <c r="I115" s="6"/>
    </row>
    <row r="116" spans="1:9" x14ac:dyDescent="0.2">
      <c r="A116" s="8" t="s">
        <v>3</v>
      </c>
      <c r="B116" s="5"/>
      <c r="C116" s="74" t="s">
        <v>843</v>
      </c>
      <c r="D116" s="6" t="s">
        <v>839</v>
      </c>
      <c r="E116" s="6" t="s">
        <v>190</v>
      </c>
      <c r="F116" s="6">
        <v>1</v>
      </c>
      <c r="G116" s="6"/>
      <c r="H116" s="6">
        <v>4</v>
      </c>
      <c r="I116" s="6"/>
    </row>
    <row r="117" spans="1:9" x14ac:dyDescent="0.2">
      <c r="A117" s="8" t="s">
        <v>4</v>
      </c>
      <c r="B117" s="5"/>
      <c r="C117" s="74" t="s">
        <v>814</v>
      </c>
      <c r="D117" s="6" t="s">
        <v>170</v>
      </c>
      <c r="E117" s="6" t="s">
        <v>174</v>
      </c>
      <c r="F117" s="6">
        <v>1</v>
      </c>
      <c r="G117" s="6"/>
      <c r="H117" s="6">
        <v>5</v>
      </c>
      <c r="I117" s="6"/>
    </row>
    <row r="118" spans="1:9" x14ac:dyDescent="0.2">
      <c r="A118" s="8" t="s">
        <v>5</v>
      </c>
      <c r="B118" s="5"/>
      <c r="C118" s="74" t="s">
        <v>849</v>
      </c>
      <c r="D118" s="6" t="s">
        <v>170</v>
      </c>
      <c r="E118" s="6" t="s">
        <v>174</v>
      </c>
      <c r="F118" s="6"/>
      <c r="G118" s="6">
        <v>1</v>
      </c>
      <c r="H118" s="6">
        <v>5</v>
      </c>
      <c r="I118" s="6"/>
    </row>
    <row r="119" spans="1:9" hidden="1" x14ac:dyDescent="0.2">
      <c r="A119" s="8" t="s">
        <v>6</v>
      </c>
      <c r="B119" s="5"/>
      <c r="C119" s="74"/>
      <c r="D119" s="6"/>
      <c r="E119" s="6"/>
      <c r="F119" s="6"/>
      <c r="G119" s="6"/>
      <c r="H119" s="6"/>
      <c r="I119" s="6"/>
    </row>
    <row r="120" spans="1:9" hidden="1" x14ac:dyDescent="0.2">
      <c r="A120" s="8" t="s">
        <v>7</v>
      </c>
      <c r="B120" s="5"/>
      <c r="C120" s="74"/>
      <c r="D120" s="6"/>
      <c r="E120" s="6"/>
      <c r="F120" s="6"/>
      <c r="G120" s="6"/>
      <c r="H120" s="6"/>
      <c r="I120" s="6"/>
    </row>
    <row r="121" spans="1:9" hidden="1" x14ac:dyDescent="0.2">
      <c r="A121" s="8" t="s">
        <v>8</v>
      </c>
      <c r="B121" s="5"/>
      <c r="C121" s="74"/>
      <c r="D121" s="6"/>
      <c r="E121" s="6"/>
      <c r="F121" s="6"/>
      <c r="G121" s="6"/>
      <c r="H121" s="6"/>
      <c r="I121" s="6"/>
    </row>
    <row r="122" spans="1:9" hidden="1" x14ac:dyDescent="0.2">
      <c r="A122" s="8" t="s">
        <v>9</v>
      </c>
      <c r="B122" s="5"/>
      <c r="C122" s="74"/>
      <c r="D122" s="6"/>
      <c r="E122" s="6"/>
      <c r="F122" s="6"/>
      <c r="G122" s="6"/>
      <c r="H122" s="6"/>
      <c r="I122" s="6"/>
    </row>
    <row r="123" spans="1:9" x14ac:dyDescent="0.2">
      <c r="A123" s="312" t="s">
        <v>10</v>
      </c>
      <c r="B123" s="313"/>
      <c r="C123" s="313"/>
      <c r="D123" s="313"/>
      <c r="E123" s="314"/>
      <c r="F123" s="11">
        <f>SUM(F113:F122)</f>
        <v>5</v>
      </c>
      <c r="G123" s="11">
        <f>SUM(G113:G122)</f>
        <v>1</v>
      </c>
      <c r="H123" s="11">
        <f>SUM(H113:H122)</f>
        <v>29</v>
      </c>
      <c r="I123" s="11"/>
    </row>
    <row r="124" spans="1:9" x14ac:dyDescent="0.2">
      <c r="A124" s="8" t="s">
        <v>0</v>
      </c>
      <c r="B124" s="5">
        <f>B113+1</f>
        <v>46117</v>
      </c>
      <c r="C124" s="74" t="s">
        <v>898</v>
      </c>
      <c r="D124" s="6" t="s">
        <v>334</v>
      </c>
      <c r="E124" s="6" t="s">
        <v>168</v>
      </c>
      <c r="F124" s="6">
        <v>1</v>
      </c>
      <c r="G124" s="6"/>
      <c r="H124" s="6">
        <v>5</v>
      </c>
      <c r="I124" s="6"/>
    </row>
    <row r="125" spans="1:9" x14ac:dyDescent="0.2">
      <c r="A125" s="8" t="s">
        <v>1</v>
      </c>
      <c r="B125" s="5"/>
      <c r="C125" s="74" t="s">
        <v>899</v>
      </c>
      <c r="D125" s="6" t="s">
        <v>342</v>
      </c>
      <c r="E125" s="6" t="s">
        <v>165</v>
      </c>
      <c r="F125" s="6">
        <v>1</v>
      </c>
      <c r="G125" s="6"/>
      <c r="H125" s="6">
        <v>4</v>
      </c>
      <c r="I125" s="6"/>
    </row>
    <row r="126" spans="1:9" x14ac:dyDescent="0.2">
      <c r="A126" s="8" t="s">
        <v>2</v>
      </c>
      <c r="B126" s="5"/>
      <c r="C126" s="74" t="s">
        <v>900</v>
      </c>
      <c r="D126" s="6" t="s">
        <v>170</v>
      </c>
      <c r="E126" s="6" t="s">
        <v>171</v>
      </c>
      <c r="F126" s="6">
        <v>1</v>
      </c>
      <c r="G126" s="6"/>
      <c r="H126" s="6">
        <v>6</v>
      </c>
      <c r="I126" s="6"/>
    </row>
    <row r="127" spans="1:9" x14ac:dyDescent="0.2">
      <c r="A127" s="8" t="s">
        <v>3</v>
      </c>
      <c r="B127" s="5"/>
      <c r="C127" s="74" t="s">
        <v>901</v>
      </c>
      <c r="D127" s="6" t="s">
        <v>170</v>
      </c>
      <c r="E127" s="6" t="s">
        <v>171</v>
      </c>
      <c r="F127" s="6">
        <v>1</v>
      </c>
      <c r="G127" s="6"/>
      <c r="H127" s="6">
        <v>6</v>
      </c>
      <c r="I127" s="6"/>
    </row>
    <row r="128" spans="1:9" x14ac:dyDescent="0.2">
      <c r="A128" s="8" t="s">
        <v>4</v>
      </c>
      <c r="B128" s="5"/>
      <c r="C128" s="74" t="s">
        <v>902</v>
      </c>
      <c r="D128" s="6" t="s">
        <v>170</v>
      </c>
      <c r="E128" s="6" t="s">
        <v>171</v>
      </c>
      <c r="F128" s="6">
        <v>1</v>
      </c>
      <c r="G128" s="6"/>
      <c r="H128" s="6">
        <v>6</v>
      </c>
      <c r="I128" s="6"/>
    </row>
    <row r="129" spans="1:9" x14ac:dyDescent="0.2">
      <c r="A129" s="8" t="s">
        <v>5</v>
      </c>
      <c r="B129" s="5"/>
      <c r="C129" s="74" t="s">
        <v>903</v>
      </c>
      <c r="D129" s="6" t="s">
        <v>242</v>
      </c>
      <c r="E129" s="6" t="s">
        <v>165</v>
      </c>
      <c r="F129" s="6"/>
      <c r="G129" s="6">
        <v>1</v>
      </c>
      <c r="H129" s="6">
        <v>3</v>
      </c>
      <c r="I129" s="6"/>
    </row>
    <row r="130" spans="1:9" hidden="1" x14ac:dyDescent="0.2">
      <c r="A130" s="8" t="s">
        <v>6</v>
      </c>
      <c r="B130" s="5"/>
      <c r="C130" s="74"/>
      <c r="D130" s="6"/>
      <c r="E130" s="6"/>
      <c r="F130" s="6"/>
      <c r="G130" s="6"/>
      <c r="H130" s="6"/>
      <c r="I130" s="6"/>
    </row>
    <row r="131" spans="1:9" hidden="1" x14ac:dyDescent="0.2">
      <c r="A131" s="8" t="s">
        <v>7</v>
      </c>
      <c r="B131" s="5"/>
      <c r="C131" s="74"/>
      <c r="D131" s="6"/>
      <c r="E131" s="6"/>
      <c r="F131" s="6"/>
      <c r="G131" s="6"/>
      <c r="H131" s="6"/>
      <c r="I131" s="6"/>
    </row>
    <row r="132" spans="1:9" hidden="1" x14ac:dyDescent="0.2">
      <c r="A132" s="8" t="s">
        <v>8</v>
      </c>
      <c r="B132" s="5"/>
      <c r="C132" s="74"/>
      <c r="D132" s="6"/>
      <c r="E132" s="6"/>
      <c r="F132" s="6"/>
      <c r="G132" s="6"/>
      <c r="H132" s="6"/>
      <c r="I132" s="6"/>
    </row>
    <row r="133" spans="1:9" hidden="1" x14ac:dyDescent="0.2">
      <c r="A133" s="8" t="s">
        <v>9</v>
      </c>
      <c r="B133" s="5"/>
      <c r="C133" s="74"/>
      <c r="D133" s="6"/>
      <c r="E133" s="6"/>
      <c r="F133" s="6"/>
      <c r="G133" s="6"/>
      <c r="H133" s="6"/>
      <c r="I133" s="6"/>
    </row>
    <row r="134" spans="1:9" x14ac:dyDescent="0.2">
      <c r="A134" s="312" t="s">
        <v>10</v>
      </c>
      <c r="B134" s="313"/>
      <c r="C134" s="313"/>
      <c r="D134" s="313"/>
      <c r="E134" s="314"/>
      <c r="F134" s="11">
        <f>SUM(F124:F133)</f>
        <v>5</v>
      </c>
      <c r="G134" s="11">
        <f>SUM(G124:G133)</f>
        <v>1</v>
      </c>
      <c r="H134" s="11">
        <f>SUM(H124:H133)</f>
        <v>30</v>
      </c>
      <c r="I134" s="11"/>
    </row>
    <row r="135" spans="1:9" x14ac:dyDescent="0.2">
      <c r="A135" s="8" t="s">
        <v>0</v>
      </c>
      <c r="B135" s="5">
        <f>B124+1</f>
        <v>46118</v>
      </c>
      <c r="C135" s="75" t="s">
        <v>974</v>
      </c>
      <c r="D135" s="6" t="s">
        <v>242</v>
      </c>
      <c r="E135" s="6" t="s">
        <v>171</v>
      </c>
      <c r="F135" s="6">
        <v>1</v>
      </c>
      <c r="G135" s="6"/>
      <c r="H135" s="6">
        <v>5.5</v>
      </c>
      <c r="I135" s="6"/>
    </row>
    <row r="136" spans="1:9" x14ac:dyDescent="0.2">
      <c r="A136" s="8" t="s">
        <v>1</v>
      </c>
      <c r="B136" s="5"/>
      <c r="C136" s="75" t="s">
        <v>975</v>
      </c>
      <c r="D136" s="6" t="s">
        <v>242</v>
      </c>
      <c r="E136" s="6" t="s">
        <v>171</v>
      </c>
      <c r="F136" s="6">
        <v>1</v>
      </c>
      <c r="G136" s="6"/>
      <c r="H136" s="6">
        <v>5.5</v>
      </c>
      <c r="I136" s="6"/>
    </row>
    <row r="137" spans="1:9" x14ac:dyDescent="0.2">
      <c r="A137" s="8" t="s">
        <v>2</v>
      </c>
      <c r="B137" s="5"/>
      <c r="C137" s="75" t="s">
        <v>976</v>
      </c>
      <c r="D137" s="6" t="s">
        <v>211</v>
      </c>
      <c r="E137" s="6" t="s">
        <v>165</v>
      </c>
      <c r="F137" s="6">
        <v>1</v>
      </c>
      <c r="G137" s="6"/>
      <c r="H137" s="6">
        <v>6</v>
      </c>
      <c r="I137" s="6"/>
    </row>
    <row r="138" spans="1:9" x14ac:dyDescent="0.2">
      <c r="A138" s="8" t="s">
        <v>3</v>
      </c>
      <c r="B138" s="5"/>
      <c r="C138" s="75" t="s">
        <v>979</v>
      </c>
      <c r="D138" s="6" t="s">
        <v>242</v>
      </c>
      <c r="E138" s="6" t="s">
        <v>171</v>
      </c>
      <c r="F138" s="6">
        <v>1</v>
      </c>
      <c r="G138" s="6"/>
      <c r="H138" s="6">
        <v>6</v>
      </c>
      <c r="I138" s="6"/>
    </row>
    <row r="139" spans="1:9" x14ac:dyDescent="0.2">
      <c r="A139" s="8" t="s">
        <v>4</v>
      </c>
      <c r="B139" s="5"/>
      <c r="C139" s="75" t="s">
        <v>980</v>
      </c>
      <c r="D139" s="6" t="s">
        <v>211</v>
      </c>
      <c r="E139" s="6" t="s">
        <v>165</v>
      </c>
      <c r="F139" s="6">
        <v>1</v>
      </c>
      <c r="G139" s="6"/>
      <c r="H139" s="6">
        <v>6</v>
      </c>
      <c r="I139" s="6"/>
    </row>
    <row r="140" spans="1:9" x14ac:dyDescent="0.2">
      <c r="A140" s="8" t="s">
        <v>5</v>
      </c>
      <c r="B140" s="5"/>
      <c r="C140" s="75" t="s">
        <v>981</v>
      </c>
      <c r="D140" s="6" t="s">
        <v>170</v>
      </c>
      <c r="E140" s="6" t="s">
        <v>171</v>
      </c>
      <c r="F140" s="6"/>
      <c r="G140" s="6">
        <v>1</v>
      </c>
      <c r="H140" s="6">
        <v>6</v>
      </c>
      <c r="I140" s="6"/>
    </row>
    <row r="141" spans="1:9" x14ac:dyDescent="0.2">
      <c r="A141" s="8" t="s">
        <v>6</v>
      </c>
      <c r="B141" s="5"/>
      <c r="C141" s="74" t="s">
        <v>982</v>
      </c>
      <c r="D141" s="6" t="s">
        <v>170</v>
      </c>
      <c r="E141" s="6" t="s">
        <v>171</v>
      </c>
      <c r="F141" s="6"/>
      <c r="G141" s="6">
        <v>1</v>
      </c>
      <c r="H141" s="6">
        <v>6</v>
      </c>
      <c r="I141" s="6"/>
    </row>
    <row r="142" spans="1:9" x14ac:dyDescent="0.2">
      <c r="A142" s="8" t="s">
        <v>7</v>
      </c>
      <c r="B142" s="5"/>
      <c r="C142" s="74" t="s">
        <v>983</v>
      </c>
      <c r="D142" s="6" t="s">
        <v>170</v>
      </c>
      <c r="E142" s="6" t="s">
        <v>171</v>
      </c>
      <c r="F142" s="6"/>
      <c r="G142" s="6">
        <v>1</v>
      </c>
      <c r="H142" s="6">
        <v>6</v>
      </c>
      <c r="I142" s="6"/>
    </row>
    <row r="143" spans="1:9" x14ac:dyDescent="0.2">
      <c r="A143" s="8" t="s">
        <v>8</v>
      </c>
      <c r="B143" s="5"/>
      <c r="C143" s="74" t="s">
        <v>984</v>
      </c>
      <c r="D143" s="6" t="s">
        <v>170</v>
      </c>
      <c r="E143" s="6" t="s">
        <v>171</v>
      </c>
      <c r="F143" s="6"/>
      <c r="G143" s="6">
        <v>1</v>
      </c>
      <c r="H143" s="6">
        <v>6</v>
      </c>
      <c r="I143" s="6"/>
    </row>
    <row r="144" spans="1:9" hidden="1" x14ac:dyDescent="0.2">
      <c r="A144" s="8" t="s">
        <v>9</v>
      </c>
      <c r="B144" s="5"/>
      <c r="C144" s="74"/>
      <c r="D144" s="6"/>
      <c r="E144" s="6"/>
      <c r="F144" s="6"/>
      <c r="G144" s="6"/>
      <c r="H144" s="6"/>
      <c r="I144" s="6"/>
    </row>
    <row r="145" spans="1:9" x14ac:dyDescent="0.2">
      <c r="A145" s="312" t="s">
        <v>10</v>
      </c>
      <c r="B145" s="313"/>
      <c r="C145" s="313"/>
      <c r="D145" s="313"/>
      <c r="E145" s="314"/>
      <c r="F145" s="11">
        <f>SUM(F135:F144)</f>
        <v>5</v>
      </c>
      <c r="G145" s="11">
        <f>SUM(G135:G144)</f>
        <v>4</v>
      </c>
      <c r="H145" s="11">
        <f>SUM(H135:H144)</f>
        <v>53</v>
      </c>
      <c r="I145" s="11"/>
    </row>
    <row r="146" spans="1:9" x14ac:dyDescent="0.2">
      <c r="A146" s="8" t="s">
        <v>0</v>
      </c>
      <c r="B146" s="5">
        <f>B135+1</f>
        <v>46119</v>
      </c>
      <c r="C146" s="75" t="s">
        <v>1043</v>
      </c>
      <c r="D146" s="6" t="s">
        <v>173</v>
      </c>
      <c r="E146" s="6" t="s">
        <v>441</v>
      </c>
      <c r="F146" s="6">
        <v>1</v>
      </c>
      <c r="G146" s="6"/>
      <c r="H146" s="6">
        <v>6</v>
      </c>
      <c r="I146" s="6"/>
    </row>
    <row r="147" spans="1:9" x14ac:dyDescent="0.2">
      <c r="A147" s="8" t="s">
        <v>1</v>
      </c>
      <c r="B147" s="5"/>
      <c r="C147" s="75" t="s">
        <v>1044</v>
      </c>
      <c r="D147" s="6" t="s">
        <v>211</v>
      </c>
      <c r="E147" s="6" t="s">
        <v>171</v>
      </c>
      <c r="F147" s="6">
        <v>1</v>
      </c>
      <c r="G147" s="6"/>
      <c r="H147" s="6">
        <v>6</v>
      </c>
      <c r="I147" s="6"/>
    </row>
    <row r="148" spans="1:9" x14ac:dyDescent="0.2">
      <c r="A148" s="8" t="s">
        <v>2</v>
      </c>
      <c r="B148" s="5"/>
      <c r="C148" s="75" t="s">
        <v>1045</v>
      </c>
      <c r="D148" s="6" t="s">
        <v>870</v>
      </c>
      <c r="E148" s="6" t="s">
        <v>168</v>
      </c>
      <c r="F148" s="6">
        <v>1</v>
      </c>
      <c r="G148" s="6"/>
      <c r="H148" s="6">
        <v>5</v>
      </c>
      <c r="I148" s="6"/>
    </row>
    <row r="149" spans="1:9" x14ac:dyDescent="0.2">
      <c r="A149" s="8" t="s">
        <v>3</v>
      </c>
      <c r="B149" s="5"/>
      <c r="C149" s="75" t="s">
        <v>1047</v>
      </c>
      <c r="D149" s="6" t="s">
        <v>342</v>
      </c>
      <c r="E149" s="6" t="s">
        <v>165</v>
      </c>
      <c r="F149" s="6">
        <v>1</v>
      </c>
      <c r="G149" s="6"/>
      <c r="H149" s="6">
        <v>6</v>
      </c>
      <c r="I149" s="6"/>
    </row>
    <row r="150" spans="1:9" x14ac:dyDescent="0.2">
      <c r="A150" s="8" t="s">
        <v>4</v>
      </c>
      <c r="B150" s="5"/>
      <c r="C150" s="75" t="s">
        <v>1048</v>
      </c>
      <c r="D150" s="6" t="s">
        <v>823</v>
      </c>
      <c r="E150" s="6" t="s">
        <v>168</v>
      </c>
      <c r="F150" s="6"/>
      <c r="G150" s="6"/>
      <c r="H150" s="6">
        <v>4</v>
      </c>
      <c r="I150" s="6"/>
    </row>
    <row r="151" spans="1:9" hidden="1" x14ac:dyDescent="0.2">
      <c r="A151" s="8" t="s">
        <v>5</v>
      </c>
      <c r="B151" s="5"/>
      <c r="C151" s="75"/>
      <c r="D151" s="6"/>
      <c r="E151" s="6"/>
      <c r="F151" s="6"/>
      <c r="G151" s="6"/>
      <c r="H151" s="6"/>
      <c r="I151" s="6"/>
    </row>
    <row r="152" spans="1:9" hidden="1" x14ac:dyDescent="0.2">
      <c r="A152" s="8" t="s">
        <v>6</v>
      </c>
      <c r="B152" s="5"/>
      <c r="C152" s="75"/>
      <c r="D152" s="6"/>
      <c r="E152" s="6"/>
      <c r="F152" s="6"/>
      <c r="G152" s="6"/>
      <c r="H152" s="6"/>
      <c r="I152" s="6"/>
    </row>
    <row r="153" spans="1:9" hidden="1" x14ac:dyDescent="0.2">
      <c r="A153" s="8" t="s">
        <v>7</v>
      </c>
      <c r="B153" s="5"/>
      <c r="C153" s="75"/>
      <c r="D153" s="6"/>
      <c r="E153" s="6"/>
      <c r="F153" s="6"/>
      <c r="G153" s="6"/>
      <c r="H153" s="6"/>
      <c r="I153" s="6"/>
    </row>
    <row r="154" spans="1:9" hidden="1" x14ac:dyDescent="0.2">
      <c r="A154" s="8" t="s">
        <v>8</v>
      </c>
      <c r="B154" s="5"/>
      <c r="C154" s="75"/>
      <c r="D154" s="6"/>
      <c r="E154" s="6"/>
      <c r="F154" s="6"/>
      <c r="G154" s="6"/>
      <c r="H154" s="6"/>
      <c r="I154" s="6"/>
    </row>
    <row r="155" spans="1:9" hidden="1" x14ac:dyDescent="0.2">
      <c r="A155" s="8" t="s">
        <v>9</v>
      </c>
      <c r="B155" s="5"/>
      <c r="C155" s="75"/>
      <c r="D155" s="6"/>
      <c r="E155" s="6"/>
      <c r="F155" s="6"/>
      <c r="G155" s="6"/>
      <c r="H155" s="6"/>
      <c r="I155" s="6"/>
    </row>
    <row r="156" spans="1:9" x14ac:dyDescent="0.2">
      <c r="A156" s="312" t="s">
        <v>10</v>
      </c>
      <c r="B156" s="313"/>
      <c r="C156" s="313"/>
      <c r="D156" s="313"/>
      <c r="E156" s="314"/>
      <c r="F156" s="11">
        <f>SUM(F146:F155)</f>
        <v>4</v>
      </c>
      <c r="G156" s="11">
        <f>SUM(G146:G155)</f>
        <v>0</v>
      </c>
      <c r="H156" s="11">
        <f>SUM(H146:H155)</f>
        <v>27</v>
      </c>
      <c r="I156" s="11"/>
    </row>
    <row r="157" spans="1:9" x14ac:dyDescent="0.2">
      <c r="A157" s="8" t="s">
        <v>0</v>
      </c>
      <c r="B157" s="5">
        <f>B146+1</f>
        <v>46120</v>
      </c>
      <c r="C157" s="74" t="s">
        <v>1099</v>
      </c>
      <c r="D157" s="6" t="s">
        <v>170</v>
      </c>
      <c r="E157" s="6" t="s">
        <v>165</v>
      </c>
      <c r="F157" s="6">
        <v>1</v>
      </c>
      <c r="G157" s="6"/>
      <c r="H157" s="6">
        <v>6</v>
      </c>
      <c r="I157" s="6"/>
    </row>
    <row r="158" spans="1:9" x14ac:dyDescent="0.2">
      <c r="A158" s="8" t="s">
        <v>1</v>
      </c>
      <c r="B158" s="5"/>
      <c r="C158" s="74" t="s">
        <v>1100</v>
      </c>
      <c r="D158" s="6" t="s">
        <v>211</v>
      </c>
      <c r="E158" s="6" t="s">
        <v>165</v>
      </c>
      <c r="F158" s="6">
        <v>1</v>
      </c>
      <c r="G158" s="6"/>
      <c r="H158" s="6">
        <v>3</v>
      </c>
      <c r="I158" s="6"/>
    </row>
    <row r="159" spans="1:9" x14ac:dyDescent="0.2">
      <c r="A159" s="8" t="s">
        <v>2</v>
      </c>
      <c r="B159" s="5"/>
      <c r="C159" s="74" t="s">
        <v>1085</v>
      </c>
      <c r="D159" s="6" t="s">
        <v>211</v>
      </c>
      <c r="E159" s="6" t="s">
        <v>165</v>
      </c>
      <c r="F159" s="6">
        <v>1</v>
      </c>
      <c r="G159" s="6"/>
      <c r="H159" s="6">
        <v>6</v>
      </c>
      <c r="I159" s="6"/>
    </row>
    <row r="160" spans="1:9" x14ac:dyDescent="0.2">
      <c r="A160" s="8" t="s">
        <v>3</v>
      </c>
      <c r="B160" s="5"/>
      <c r="C160" s="74" t="s">
        <v>1086</v>
      </c>
      <c r="D160" s="6" t="s">
        <v>188</v>
      </c>
      <c r="E160" s="6" t="s">
        <v>190</v>
      </c>
      <c r="F160" s="6">
        <v>1</v>
      </c>
      <c r="G160" s="6"/>
      <c r="H160" s="6">
        <v>4</v>
      </c>
      <c r="I160" s="6"/>
    </row>
    <row r="161" spans="1:9" hidden="1" x14ac:dyDescent="0.2">
      <c r="A161" s="8" t="s">
        <v>4</v>
      </c>
      <c r="B161" s="5"/>
      <c r="C161" s="74"/>
      <c r="D161" s="6"/>
      <c r="E161" s="6"/>
      <c r="F161" s="6"/>
      <c r="G161" s="6"/>
      <c r="H161" s="6"/>
      <c r="I161" s="6"/>
    </row>
    <row r="162" spans="1:9" hidden="1" x14ac:dyDescent="0.2">
      <c r="A162" s="8" t="s">
        <v>5</v>
      </c>
      <c r="B162" s="5"/>
      <c r="C162" s="74"/>
      <c r="D162" s="6"/>
      <c r="E162" s="6"/>
      <c r="F162" s="6"/>
      <c r="G162" s="6"/>
      <c r="H162" s="6"/>
      <c r="I162" s="6"/>
    </row>
    <row r="163" spans="1:9" hidden="1" x14ac:dyDescent="0.2">
      <c r="A163" s="8" t="s">
        <v>6</v>
      </c>
      <c r="B163" s="5"/>
      <c r="C163" s="74"/>
      <c r="D163" s="6"/>
      <c r="E163" s="6"/>
      <c r="F163" s="6"/>
      <c r="G163" s="6"/>
      <c r="H163" s="6"/>
      <c r="I163" s="6"/>
    </row>
    <row r="164" spans="1:9" hidden="1" x14ac:dyDescent="0.2">
      <c r="A164" s="8" t="s">
        <v>7</v>
      </c>
      <c r="B164" s="5"/>
      <c r="C164" s="74"/>
      <c r="D164" s="6"/>
      <c r="E164" s="6"/>
      <c r="F164" s="6"/>
      <c r="G164" s="6"/>
      <c r="H164" s="6"/>
      <c r="I164" s="6"/>
    </row>
    <row r="165" spans="1:9" hidden="1" x14ac:dyDescent="0.2">
      <c r="A165" s="8" t="s">
        <v>8</v>
      </c>
      <c r="B165" s="5"/>
      <c r="C165" s="74"/>
      <c r="D165" s="6"/>
      <c r="E165" s="6"/>
      <c r="F165" s="6"/>
      <c r="G165" s="6"/>
      <c r="H165" s="6"/>
      <c r="I165" s="6"/>
    </row>
    <row r="166" spans="1:9" hidden="1" x14ac:dyDescent="0.2">
      <c r="A166" s="8" t="s">
        <v>9</v>
      </c>
      <c r="B166" s="5"/>
      <c r="C166" s="74"/>
      <c r="D166" s="6"/>
      <c r="E166" s="6"/>
      <c r="F166" s="6"/>
      <c r="G166" s="6"/>
      <c r="H166" s="6"/>
      <c r="I166" s="6"/>
    </row>
    <row r="167" spans="1:9" x14ac:dyDescent="0.2">
      <c r="A167" s="312" t="s">
        <v>10</v>
      </c>
      <c r="B167" s="313"/>
      <c r="C167" s="313"/>
      <c r="D167" s="313"/>
      <c r="E167" s="314"/>
      <c r="F167" s="11">
        <f>SUM(F157:F166)</f>
        <v>4</v>
      </c>
      <c r="G167" s="11">
        <f>SUM(G157:G166)</f>
        <v>0</v>
      </c>
      <c r="H167" s="11">
        <f>SUM(H157:H166)</f>
        <v>19</v>
      </c>
      <c r="I167" s="11"/>
    </row>
    <row r="168" spans="1:9" s="25" customFormat="1" ht="18" x14ac:dyDescent="0.2">
      <c r="A168" s="315" t="s">
        <v>39</v>
      </c>
      <c r="B168" s="316"/>
      <c r="C168" s="316"/>
      <c r="D168" s="316"/>
      <c r="E168" s="317"/>
      <c r="F168" s="22">
        <f>F101+F112+F123+F134+F145+F156+F167+F84</f>
        <v>68</v>
      </c>
      <c r="G168" s="22">
        <f>G101+G112+G123+G134+G145+G156+G167+G84</f>
        <v>17</v>
      </c>
      <c r="H168" s="22">
        <f>H101+H112+H123+H134+H145+H156+H167+H84</f>
        <v>467.75</v>
      </c>
      <c r="I168" s="22"/>
    </row>
    <row r="169" spans="1:9" ht="21.95" customHeight="1" x14ac:dyDescent="0.2">
      <c r="A169" s="319" t="s">
        <v>14</v>
      </c>
      <c r="B169" s="319"/>
      <c r="C169" s="319"/>
      <c r="D169" s="319"/>
      <c r="E169" s="319"/>
      <c r="F169" s="319"/>
      <c r="G169" s="319"/>
      <c r="H169" s="319"/>
      <c r="I169" s="319"/>
    </row>
    <row r="170" spans="1:9" s="53" customFormat="1" ht="20.100000000000001" customHeight="1" x14ac:dyDescent="0.2">
      <c r="A170" s="323" t="s">
        <v>86</v>
      </c>
      <c r="B170" s="323"/>
      <c r="C170" s="323"/>
      <c r="D170" s="323"/>
      <c r="E170" s="323"/>
      <c r="F170" s="50" t="str">
        <f>F86</f>
        <v>เมษายน</v>
      </c>
      <c r="G170" s="50" t="s">
        <v>87</v>
      </c>
      <c r="H170" s="51">
        <f>H86</f>
        <v>2569</v>
      </c>
      <c r="I170" s="52"/>
    </row>
    <row r="171" spans="1:9" s="3" customFormat="1" ht="20.100000000000001" customHeight="1" x14ac:dyDescent="0.35">
      <c r="A171" s="318" t="s">
        <v>37</v>
      </c>
      <c r="B171" s="318"/>
      <c r="C171" s="318"/>
      <c r="D171" s="2"/>
      <c r="F171" s="4"/>
      <c r="G171" s="4"/>
      <c r="H171" s="4" t="s">
        <v>21</v>
      </c>
      <c r="I171" s="40">
        <f>I87+1</f>
        <v>3</v>
      </c>
    </row>
    <row r="172" spans="1:9" s="3" customFormat="1" ht="20.100000000000001" customHeight="1" x14ac:dyDescent="0.35">
      <c r="A172" s="311" t="s">
        <v>80</v>
      </c>
      <c r="B172" s="311"/>
      <c r="C172" s="311"/>
      <c r="D172" s="2"/>
      <c r="E172" s="39" t="s">
        <v>81</v>
      </c>
      <c r="F172" s="308">
        <f>F88</f>
        <v>46107</v>
      </c>
      <c r="G172" s="308"/>
      <c r="H172" s="39" t="s">
        <v>82</v>
      </c>
      <c r="I172" s="34">
        <f>I88</f>
        <v>46136</v>
      </c>
    </row>
    <row r="173" spans="1:9" x14ac:dyDescent="0.2">
      <c r="A173" s="12" t="s">
        <v>23</v>
      </c>
      <c r="B173" s="13" t="s">
        <v>11</v>
      </c>
      <c r="C173" s="72" t="s">
        <v>26</v>
      </c>
      <c r="D173" s="12" t="s">
        <v>16</v>
      </c>
      <c r="E173" s="12" t="s">
        <v>17</v>
      </c>
      <c r="F173" s="310" t="s">
        <v>46</v>
      </c>
      <c r="G173" s="310"/>
      <c r="H173" s="310"/>
      <c r="I173" s="12" t="s">
        <v>19</v>
      </c>
    </row>
    <row r="174" spans="1:9" x14ac:dyDescent="0.2">
      <c r="A174" s="15"/>
      <c r="B174" s="16"/>
      <c r="C174" s="73"/>
      <c r="D174" s="15"/>
      <c r="E174" s="15"/>
      <c r="F174" s="21" t="s">
        <v>113</v>
      </c>
      <c r="G174" s="21" t="s">
        <v>114</v>
      </c>
      <c r="H174" s="21" t="s">
        <v>20</v>
      </c>
      <c r="I174" s="15"/>
    </row>
    <row r="175" spans="1:9" x14ac:dyDescent="0.2">
      <c r="A175" s="8" t="s">
        <v>0</v>
      </c>
      <c r="B175" s="5">
        <f>B157+1</f>
        <v>46121</v>
      </c>
      <c r="C175" s="74" t="s">
        <v>1153</v>
      </c>
      <c r="D175" s="6" t="s">
        <v>342</v>
      </c>
      <c r="E175" s="6" t="s">
        <v>165</v>
      </c>
      <c r="F175" s="6">
        <v>1</v>
      </c>
      <c r="G175" s="6"/>
      <c r="H175" s="6">
        <v>6</v>
      </c>
      <c r="I175" s="6"/>
    </row>
    <row r="176" spans="1:9" x14ac:dyDescent="0.2">
      <c r="A176" s="8" t="s">
        <v>1</v>
      </c>
      <c r="B176" s="5"/>
      <c r="C176" s="74" t="s">
        <v>1154</v>
      </c>
      <c r="D176" s="6" t="s">
        <v>347</v>
      </c>
      <c r="E176" s="6" t="s">
        <v>441</v>
      </c>
      <c r="F176" s="6">
        <v>1</v>
      </c>
      <c r="G176" s="6"/>
      <c r="H176" s="6">
        <v>6</v>
      </c>
      <c r="I176" s="6"/>
    </row>
    <row r="177" spans="1:9" x14ac:dyDescent="0.2">
      <c r="A177" s="8" t="s">
        <v>2</v>
      </c>
      <c r="B177" s="5"/>
      <c r="C177" s="74" t="s">
        <v>1155</v>
      </c>
      <c r="D177" s="6" t="s">
        <v>206</v>
      </c>
      <c r="E177" s="6" t="s">
        <v>632</v>
      </c>
      <c r="F177" s="6">
        <v>1</v>
      </c>
      <c r="G177" s="6"/>
      <c r="H177" s="6">
        <v>6</v>
      </c>
      <c r="I177" s="6"/>
    </row>
    <row r="178" spans="1:9" x14ac:dyDescent="0.2">
      <c r="A178" s="8" t="s">
        <v>3</v>
      </c>
      <c r="B178" s="5"/>
      <c r="C178" s="74" t="s">
        <v>1156</v>
      </c>
      <c r="D178" s="6" t="s">
        <v>206</v>
      </c>
      <c r="E178" s="6" t="s">
        <v>632</v>
      </c>
      <c r="F178" s="6">
        <v>1</v>
      </c>
      <c r="G178" s="6"/>
      <c r="H178" s="6">
        <v>6</v>
      </c>
      <c r="I178" s="6"/>
    </row>
    <row r="179" spans="1:9" x14ac:dyDescent="0.2">
      <c r="A179" s="8" t="s">
        <v>4</v>
      </c>
      <c r="B179" s="5"/>
      <c r="C179" s="74" t="s">
        <v>1157</v>
      </c>
      <c r="D179" s="6" t="s">
        <v>211</v>
      </c>
      <c r="E179" s="6" t="s">
        <v>222</v>
      </c>
      <c r="F179" s="6">
        <v>1</v>
      </c>
      <c r="G179" s="6"/>
      <c r="H179" s="6">
        <v>5</v>
      </c>
      <c r="I179" s="6"/>
    </row>
    <row r="180" spans="1:9" hidden="1" x14ac:dyDescent="0.2">
      <c r="A180" s="8" t="s">
        <v>5</v>
      </c>
      <c r="B180" s="5"/>
      <c r="C180" s="74"/>
      <c r="D180" s="6"/>
      <c r="E180" s="6"/>
      <c r="F180" s="6"/>
      <c r="G180" s="6"/>
      <c r="H180" s="6"/>
      <c r="I180" s="6"/>
    </row>
    <row r="181" spans="1:9" hidden="1" x14ac:dyDescent="0.2">
      <c r="A181" s="8" t="s">
        <v>6</v>
      </c>
      <c r="B181" s="5"/>
      <c r="C181" s="74"/>
      <c r="D181" s="6"/>
      <c r="E181" s="6"/>
      <c r="F181" s="6"/>
      <c r="G181" s="6"/>
      <c r="H181" s="6"/>
      <c r="I181" s="6"/>
    </row>
    <row r="182" spans="1:9" hidden="1" x14ac:dyDescent="0.2">
      <c r="A182" s="8" t="s">
        <v>7</v>
      </c>
      <c r="B182" s="5"/>
      <c r="C182" s="74"/>
      <c r="D182" s="6"/>
      <c r="E182" s="6"/>
      <c r="F182" s="6"/>
      <c r="G182" s="6"/>
      <c r="H182" s="6"/>
      <c r="I182" s="6"/>
    </row>
    <row r="183" spans="1:9" hidden="1" x14ac:dyDescent="0.2">
      <c r="A183" s="8" t="s">
        <v>8</v>
      </c>
      <c r="B183" s="5"/>
      <c r="C183" s="74"/>
      <c r="D183" s="6"/>
      <c r="E183" s="6"/>
      <c r="F183" s="6"/>
      <c r="G183" s="6"/>
      <c r="H183" s="6"/>
      <c r="I183" s="6"/>
    </row>
    <row r="184" spans="1:9" hidden="1" x14ac:dyDescent="0.2">
      <c r="A184" s="8" t="s">
        <v>9</v>
      </c>
      <c r="B184" s="5"/>
      <c r="C184" s="74"/>
      <c r="D184" s="6"/>
      <c r="E184" s="6"/>
      <c r="F184" s="6"/>
      <c r="G184" s="6"/>
      <c r="H184" s="6"/>
      <c r="I184" s="6"/>
    </row>
    <row r="185" spans="1:9" x14ac:dyDescent="0.2">
      <c r="A185" s="312" t="s">
        <v>10</v>
      </c>
      <c r="B185" s="313"/>
      <c r="C185" s="313"/>
      <c r="D185" s="313"/>
      <c r="E185" s="314"/>
      <c r="F185" s="11">
        <f>SUM(F175:F184)</f>
        <v>5</v>
      </c>
      <c r="G185" s="11">
        <f>SUM(G175:G184)</f>
        <v>0</v>
      </c>
      <c r="H185" s="11">
        <f>SUM(H175:H184)</f>
        <v>29</v>
      </c>
      <c r="I185" s="11"/>
    </row>
    <row r="186" spans="1:9" x14ac:dyDescent="0.2">
      <c r="A186" s="8" t="s">
        <v>0</v>
      </c>
      <c r="B186" s="5">
        <f>B175+1</f>
        <v>46122</v>
      </c>
      <c r="C186" s="74" t="s">
        <v>1210</v>
      </c>
      <c r="D186" s="6" t="s">
        <v>173</v>
      </c>
      <c r="E186" s="6" t="s">
        <v>441</v>
      </c>
      <c r="F186" s="6">
        <v>1</v>
      </c>
      <c r="G186" s="6"/>
      <c r="H186" s="6">
        <v>6</v>
      </c>
      <c r="I186" s="6"/>
    </row>
    <row r="187" spans="1:9" x14ac:dyDescent="0.2">
      <c r="A187" s="8" t="s">
        <v>1</v>
      </c>
      <c r="B187" s="5"/>
      <c r="C187" s="74" t="s">
        <v>1214</v>
      </c>
      <c r="D187" s="6" t="s">
        <v>173</v>
      </c>
      <c r="E187" s="6" t="s">
        <v>441</v>
      </c>
      <c r="F187" s="6">
        <v>1</v>
      </c>
      <c r="G187" s="6"/>
      <c r="H187" s="6">
        <v>4.25</v>
      </c>
      <c r="I187" s="6"/>
    </row>
    <row r="188" spans="1:9" x14ac:dyDescent="0.2">
      <c r="A188" s="8" t="s">
        <v>2</v>
      </c>
      <c r="B188" s="5"/>
      <c r="C188" s="74" t="s">
        <v>1192</v>
      </c>
      <c r="D188" s="6" t="s">
        <v>276</v>
      </c>
      <c r="E188" s="6" t="s">
        <v>168</v>
      </c>
      <c r="F188" s="6">
        <v>1</v>
      </c>
      <c r="G188" s="6"/>
      <c r="H188" s="6">
        <v>6</v>
      </c>
      <c r="I188" s="6"/>
    </row>
    <row r="189" spans="1:9" x14ac:dyDescent="0.2">
      <c r="A189" s="8" t="s">
        <v>3</v>
      </c>
      <c r="B189" s="5"/>
      <c r="C189" s="74" t="s">
        <v>1215</v>
      </c>
      <c r="D189" s="6" t="s">
        <v>170</v>
      </c>
      <c r="E189" s="6" t="s">
        <v>190</v>
      </c>
      <c r="F189" s="6">
        <v>1</v>
      </c>
      <c r="G189" s="6"/>
      <c r="H189" s="6">
        <v>4</v>
      </c>
      <c r="I189" s="6"/>
    </row>
    <row r="190" spans="1:9" x14ac:dyDescent="0.2">
      <c r="A190" s="8" t="s">
        <v>4</v>
      </c>
      <c r="B190" s="5"/>
      <c r="C190" s="74" t="s">
        <v>1216</v>
      </c>
      <c r="D190" s="6" t="s">
        <v>188</v>
      </c>
      <c r="E190" s="6" t="s">
        <v>165</v>
      </c>
      <c r="F190" s="6"/>
      <c r="G190" s="6">
        <v>1</v>
      </c>
      <c r="H190" s="6">
        <v>6</v>
      </c>
      <c r="I190" s="6"/>
    </row>
    <row r="191" spans="1:9" x14ac:dyDescent="0.2">
      <c r="A191" s="8" t="s">
        <v>5</v>
      </c>
      <c r="B191" s="5"/>
      <c r="C191" s="74" t="s">
        <v>1217</v>
      </c>
      <c r="D191" s="6" t="s">
        <v>188</v>
      </c>
      <c r="E191" s="6" t="s">
        <v>165</v>
      </c>
      <c r="F191" s="6"/>
      <c r="G191" s="6">
        <v>1</v>
      </c>
      <c r="H191" s="6">
        <v>6</v>
      </c>
      <c r="I191" s="6"/>
    </row>
    <row r="192" spans="1:9" hidden="1" x14ac:dyDescent="0.2">
      <c r="A192" s="8" t="s">
        <v>6</v>
      </c>
      <c r="B192" s="5"/>
      <c r="C192" s="74"/>
      <c r="D192" s="6"/>
      <c r="E192" s="6"/>
      <c r="F192" s="6"/>
      <c r="G192" s="6"/>
      <c r="H192" s="6"/>
      <c r="I192" s="6"/>
    </row>
    <row r="193" spans="1:9" hidden="1" x14ac:dyDescent="0.2">
      <c r="A193" s="8" t="s">
        <v>7</v>
      </c>
      <c r="B193" s="5"/>
      <c r="C193" s="74"/>
      <c r="D193" s="6"/>
      <c r="E193" s="6"/>
      <c r="F193" s="6"/>
      <c r="G193" s="6"/>
      <c r="H193" s="6"/>
      <c r="I193" s="6"/>
    </row>
    <row r="194" spans="1:9" hidden="1" x14ac:dyDescent="0.2">
      <c r="A194" s="8" t="s">
        <v>8</v>
      </c>
      <c r="B194" s="5"/>
      <c r="C194" s="74"/>
      <c r="D194" s="6"/>
      <c r="E194" s="6"/>
      <c r="F194" s="6"/>
      <c r="G194" s="6"/>
      <c r="H194" s="6"/>
      <c r="I194" s="6"/>
    </row>
    <row r="195" spans="1:9" hidden="1" x14ac:dyDescent="0.2">
      <c r="A195" s="8" t="s">
        <v>9</v>
      </c>
      <c r="B195" s="5"/>
      <c r="C195" s="74"/>
      <c r="D195" s="6"/>
      <c r="E195" s="6"/>
      <c r="F195" s="6"/>
      <c r="G195" s="6"/>
      <c r="H195" s="6"/>
      <c r="I195" s="6"/>
    </row>
    <row r="196" spans="1:9" x14ac:dyDescent="0.2">
      <c r="A196" s="312" t="s">
        <v>10</v>
      </c>
      <c r="B196" s="313"/>
      <c r="C196" s="313"/>
      <c r="D196" s="313"/>
      <c r="E196" s="314"/>
      <c r="F196" s="11">
        <f>SUM(F186:F195)</f>
        <v>4</v>
      </c>
      <c r="G196" s="11">
        <f>SUM(G186:G195)</f>
        <v>2</v>
      </c>
      <c r="H196" s="11">
        <f>SUM(H186:H195)</f>
        <v>32.25</v>
      </c>
      <c r="I196" s="11"/>
    </row>
    <row r="197" spans="1:9" x14ac:dyDescent="0.2">
      <c r="A197" s="8" t="s">
        <v>0</v>
      </c>
      <c r="B197" s="5">
        <f>B186+1</f>
        <v>46123</v>
      </c>
      <c r="C197" s="74" t="s">
        <v>1259</v>
      </c>
      <c r="D197" s="6" t="s">
        <v>342</v>
      </c>
      <c r="E197" s="6" t="s">
        <v>165</v>
      </c>
      <c r="F197" s="6">
        <v>1</v>
      </c>
      <c r="G197" s="6"/>
      <c r="H197" s="6">
        <v>6</v>
      </c>
      <c r="I197" s="6"/>
    </row>
    <row r="198" spans="1:9" x14ac:dyDescent="0.2">
      <c r="A198" s="8" t="s">
        <v>1</v>
      </c>
      <c r="B198" s="5"/>
      <c r="C198" s="74" t="s">
        <v>1263</v>
      </c>
      <c r="D198" s="6" t="s">
        <v>342</v>
      </c>
      <c r="E198" s="6" t="s">
        <v>165</v>
      </c>
      <c r="F198" s="6">
        <v>1</v>
      </c>
      <c r="G198" s="6"/>
      <c r="H198" s="6">
        <v>6</v>
      </c>
      <c r="I198" s="6"/>
    </row>
    <row r="199" spans="1:9" x14ac:dyDescent="0.2">
      <c r="A199" s="8" t="s">
        <v>2</v>
      </c>
      <c r="B199" s="5"/>
      <c r="C199" s="74" t="s">
        <v>1264</v>
      </c>
      <c r="D199" s="6" t="s">
        <v>347</v>
      </c>
      <c r="E199" s="6" t="s">
        <v>441</v>
      </c>
      <c r="F199" s="6">
        <v>1</v>
      </c>
      <c r="G199" s="6"/>
      <c r="H199" s="6">
        <v>6</v>
      </c>
      <c r="I199" s="6"/>
    </row>
    <row r="200" spans="1:9" x14ac:dyDescent="0.2">
      <c r="A200" s="8" t="s">
        <v>3</v>
      </c>
      <c r="B200" s="5"/>
      <c r="C200" s="74" t="s">
        <v>1249</v>
      </c>
      <c r="D200" s="6" t="s">
        <v>342</v>
      </c>
      <c r="E200" s="6" t="s">
        <v>165</v>
      </c>
      <c r="F200" s="6">
        <v>1</v>
      </c>
      <c r="G200" s="6"/>
      <c r="H200" s="6">
        <v>5</v>
      </c>
      <c r="I200" s="6"/>
    </row>
    <row r="201" spans="1:9" hidden="1" x14ac:dyDescent="0.2">
      <c r="A201" s="8" t="s">
        <v>4</v>
      </c>
      <c r="B201" s="5"/>
      <c r="C201" s="74"/>
      <c r="D201" s="6"/>
      <c r="E201" s="6"/>
      <c r="F201" s="6"/>
      <c r="G201" s="6"/>
      <c r="H201" s="6"/>
      <c r="I201" s="6"/>
    </row>
    <row r="202" spans="1:9" hidden="1" x14ac:dyDescent="0.2">
      <c r="A202" s="8" t="s">
        <v>5</v>
      </c>
      <c r="B202" s="5"/>
      <c r="C202" s="74"/>
      <c r="D202" s="6"/>
      <c r="E202" s="6"/>
      <c r="F202" s="6"/>
      <c r="G202" s="6"/>
      <c r="H202" s="6"/>
      <c r="I202" s="6"/>
    </row>
    <row r="203" spans="1:9" hidden="1" x14ac:dyDescent="0.2">
      <c r="A203" s="8" t="s">
        <v>6</v>
      </c>
      <c r="B203" s="5"/>
      <c r="C203" s="74"/>
      <c r="D203" s="6"/>
      <c r="E203" s="6"/>
      <c r="F203" s="6"/>
      <c r="G203" s="6"/>
      <c r="H203" s="6"/>
      <c r="I203" s="6"/>
    </row>
    <row r="204" spans="1:9" hidden="1" x14ac:dyDescent="0.2">
      <c r="A204" s="8" t="s">
        <v>7</v>
      </c>
      <c r="B204" s="5"/>
      <c r="C204" s="74"/>
      <c r="D204" s="6"/>
      <c r="E204" s="6"/>
      <c r="F204" s="6"/>
      <c r="G204" s="6"/>
      <c r="H204" s="6"/>
      <c r="I204" s="6"/>
    </row>
    <row r="205" spans="1:9" hidden="1" x14ac:dyDescent="0.2">
      <c r="A205" s="8" t="s">
        <v>8</v>
      </c>
      <c r="B205" s="5"/>
      <c r="C205" s="74"/>
      <c r="D205" s="6"/>
      <c r="E205" s="6"/>
      <c r="F205" s="6"/>
      <c r="G205" s="6"/>
      <c r="H205" s="6"/>
      <c r="I205" s="6"/>
    </row>
    <row r="206" spans="1:9" hidden="1" x14ac:dyDescent="0.2">
      <c r="A206" s="8" t="s">
        <v>9</v>
      </c>
      <c r="B206" s="5"/>
      <c r="C206" s="74"/>
      <c r="D206" s="6"/>
      <c r="E206" s="6"/>
      <c r="F206" s="6"/>
      <c r="G206" s="6"/>
      <c r="H206" s="6"/>
      <c r="I206" s="6"/>
    </row>
    <row r="207" spans="1:9" x14ac:dyDescent="0.2">
      <c r="A207" s="312" t="s">
        <v>10</v>
      </c>
      <c r="B207" s="313"/>
      <c r="C207" s="313"/>
      <c r="D207" s="313"/>
      <c r="E207" s="314"/>
      <c r="F207" s="11">
        <f>SUM(F197:F206)</f>
        <v>4</v>
      </c>
      <c r="G207" s="11">
        <f>SUM(G197:G206)</f>
        <v>0</v>
      </c>
      <c r="H207" s="11">
        <f>SUM(H197:H206)</f>
        <v>23</v>
      </c>
      <c r="I207" s="11"/>
    </row>
    <row r="208" spans="1:9" hidden="1" x14ac:dyDescent="0.2">
      <c r="A208" s="8" t="s">
        <v>0</v>
      </c>
      <c r="B208" s="5">
        <f>B197+1</f>
        <v>46124</v>
      </c>
      <c r="C208" s="75"/>
      <c r="D208" s="6"/>
      <c r="E208" s="6"/>
      <c r="F208" s="6"/>
      <c r="G208" s="6"/>
      <c r="H208" s="6"/>
      <c r="I208" s="6"/>
    </row>
    <row r="209" spans="1:9" hidden="1" x14ac:dyDescent="0.2">
      <c r="A209" s="8" t="s">
        <v>1</v>
      </c>
      <c r="B209" s="5"/>
      <c r="C209" s="75"/>
      <c r="D209" s="6"/>
      <c r="E209" s="6"/>
      <c r="F209" s="6"/>
      <c r="G209" s="6"/>
      <c r="H209" s="6"/>
      <c r="I209" s="6"/>
    </row>
    <row r="210" spans="1:9" hidden="1" x14ac:dyDescent="0.2">
      <c r="A210" s="8" t="s">
        <v>2</v>
      </c>
      <c r="B210" s="5"/>
      <c r="C210" s="75"/>
      <c r="D210" s="6"/>
      <c r="E210" s="6"/>
      <c r="F210" s="6"/>
      <c r="G210" s="6"/>
      <c r="H210" s="6"/>
      <c r="I210" s="6"/>
    </row>
    <row r="211" spans="1:9" hidden="1" x14ac:dyDescent="0.2">
      <c r="A211" s="8" t="s">
        <v>3</v>
      </c>
      <c r="B211" s="5"/>
      <c r="C211" s="75"/>
      <c r="D211" s="6"/>
      <c r="E211" s="6"/>
      <c r="F211" s="6"/>
      <c r="G211" s="6"/>
      <c r="H211" s="6"/>
      <c r="I211" s="6"/>
    </row>
    <row r="212" spans="1:9" hidden="1" x14ac:dyDescent="0.2">
      <c r="A212" s="8" t="s">
        <v>4</v>
      </c>
      <c r="B212" s="5"/>
      <c r="C212" s="75"/>
      <c r="D212" s="6"/>
      <c r="E212" s="6"/>
      <c r="F212" s="6"/>
      <c r="G212" s="6"/>
      <c r="H212" s="6"/>
      <c r="I212" s="6"/>
    </row>
    <row r="213" spans="1:9" hidden="1" x14ac:dyDescent="0.2">
      <c r="A213" s="8" t="s">
        <v>5</v>
      </c>
      <c r="B213" s="5"/>
      <c r="C213" s="75"/>
      <c r="D213" s="6"/>
      <c r="E213" s="6"/>
      <c r="F213" s="6"/>
      <c r="G213" s="6"/>
      <c r="H213" s="6"/>
      <c r="I213" s="6"/>
    </row>
    <row r="214" spans="1:9" hidden="1" x14ac:dyDescent="0.2">
      <c r="A214" s="8" t="s">
        <v>6</v>
      </c>
      <c r="B214" s="5"/>
      <c r="C214" s="75"/>
      <c r="D214" s="6"/>
      <c r="E214" s="6"/>
      <c r="F214" s="6"/>
      <c r="G214" s="6"/>
      <c r="H214" s="6"/>
      <c r="I214" s="6"/>
    </row>
    <row r="215" spans="1:9" hidden="1" x14ac:dyDescent="0.2">
      <c r="A215" s="8" t="s">
        <v>7</v>
      </c>
      <c r="B215" s="5"/>
      <c r="C215" s="74"/>
      <c r="D215" s="6"/>
      <c r="E215" s="6"/>
      <c r="F215" s="6"/>
      <c r="G215" s="6"/>
      <c r="H215" s="6"/>
      <c r="I215" s="6"/>
    </row>
    <row r="216" spans="1:9" hidden="1" x14ac:dyDescent="0.2">
      <c r="A216" s="8" t="s">
        <v>8</v>
      </c>
      <c r="B216" s="5"/>
      <c r="C216" s="74"/>
      <c r="D216" s="6"/>
      <c r="E216" s="6"/>
      <c r="F216" s="6"/>
      <c r="G216" s="6"/>
      <c r="H216" s="6"/>
      <c r="I216" s="6"/>
    </row>
    <row r="217" spans="1:9" hidden="1" x14ac:dyDescent="0.2">
      <c r="A217" s="8" t="s">
        <v>9</v>
      </c>
      <c r="B217" s="5"/>
      <c r="C217" s="74"/>
      <c r="D217" s="6"/>
      <c r="E217" s="6"/>
      <c r="F217" s="6"/>
      <c r="G217" s="6"/>
      <c r="H217" s="6"/>
      <c r="I217" s="6"/>
    </row>
    <row r="218" spans="1:9" hidden="1" x14ac:dyDescent="0.2">
      <c r="A218" s="312" t="s">
        <v>10</v>
      </c>
      <c r="B218" s="313"/>
      <c r="C218" s="313"/>
      <c r="D218" s="313"/>
      <c r="E218" s="314"/>
      <c r="F218" s="11">
        <f>SUM(F208:F217)</f>
        <v>0</v>
      </c>
      <c r="G218" s="11">
        <f>SUM(G208:G217)</f>
        <v>0</v>
      </c>
      <c r="H218" s="11">
        <f>SUM(H208:H217)</f>
        <v>0</v>
      </c>
      <c r="I218" s="11"/>
    </row>
    <row r="219" spans="1:9" hidden="1" x14ac:dyDescent="0.2">
      <c r="A219" s="8" t="s">
        <v>0</v>
      </c>
      <c r="B219" s="5">
        <f>B208+1</f>
        <v>46125</v>
      </c>
      <c r="C219" s="75"/>
      <c r="D219" s="6"/>
      <c r="E219" s="6"/>
      <c r="F219" s="6"/>
      <c r="G219" s="6"/>
      <c r="H219" s="6"/>
      <c r="I219" s="6"/>
    </row>
    <row r="220" spans="1:9" hidden="1" x14ac:dyDescent="0.2">
      <c r="A220" s="8" t="s">
        <v>1</v>
      </c>
      <c r="B220" s="5"/>
      <c r="C220" s="75"/>
      <c r="D220" s="6"/>
      <c r="E220" s="6"/>
      <c r="F220" s="6"/>
      <c r="G220" s="6"/>
      <c r="H220" s="6"/>
      <c r="I220" s="6"/>
    </row>
    <row r="221" spans="1:9" hidden="1" x14ac:dyDescent="0.2">
      <c r="A221" s="8" t="s">
        <v>2</v>
      </c>
      <c r="B221" s="5"/>
      <c r="C221" s="75"/>
      <c r="D221" s="6"/>
      <c r="E221" s="6"/>
      <c r="F221" s="6"/>
      <c r="G221" s="6"/>
      <c r="H221" s="6"/>
      <c r="I221" s="6"/>
    </row>
    <row r="222" spans="1:9" hidden="1" x14ac:dyDescent="0.2">
      <c r="A222" s="8" t="s">
        <v>3</v>
      </c>
      <c r="B222" s="5"/>
      <c r="C222" s="75"/>
      <c r="D222" s="6"/>
      <c r="E222" s="6"/>
      <c r="F222" s="6"/>
      <c r="G222" s="6"/>
      <c r="H222" s="6"/>
      <c r="I222" s="6"/>
    </row>
    <row r="223" spans="1:9" hidden="1" x14ac:dyDescent="0.2">
      <c r="A223" s="8" t="s">
        <v>4</v>
      </c>
      <c r="B223" s="5"/>
      <c r="C223" s="75"/>
      <c r="D223" s="6"/>
      <c r="E223" s="6"/>
      <c r="F223" s="6"/>
      <c r="G223" s="6"/>
      <c r="H223" s="6"/>
      <c r="I223" s="6"/>
    </row>
    <row r="224" spans="1:9" hidden="1" x14ac:dyDescent="0.2">
      <c r="A224" s="8" t="s">
        <v>5</v>
      </c>
      <c r="B224" s="5"/>
      <c r="C224" s="75"/>
      <c r="D224" s="6"/>
      <c r="E224" s="6"/>
      <c r="F224" s="6"/>
      <c r="G224" s="6"/>
      <c r="H224" s="6"/>
      <c r="I224" s="6"/>
    </row>
    <row r="225" spans="1:9" hidden="1" x14ac:dyDescent="0.2">
      <c r="A225" s="8" t="s">
        <v>6</v>
      </c>
      <c r="B225" s="5"/>
      <c r="C225" s="74"/>
      <c r="D225" s="6"/>
      <c r="E225" s="6"/>
      <c r="F225" s="6"/>
      <c r="G225" s="6"/>
      <c r="H225" s="6"/>
      <c r="I225" s="6"/>
    </row>
    <row r="226" spans="1:9" hidden="1" x14ac:dyDescent="0.2">
      <c r="A226" s="8" t="s">
        <v>7</v>
      </c>
      <c r="B226" s="5"/>
      <c r="C226" s="74"/>
      <c r="D226" s="6"/>
      <c r="E226" s="6"/>
      <c r="F226" s="6"/>
      <c r="G226" s="6"/>
      <c r="H226" s="6"/>
      <c r="I226" s="6"/>
    </row>
    <row r="227" spans="1:9" hidden="1" x14ac:dyDescent="0.2">
      <c r="A227" s="8" t="s">
        <v>8</v>
      </c>
      <c r="B227" s="5"/>
      <c r="C227" s="74"/>
      <c r="D227" s="6"/>
      <c r="E227" s="6"/>
      <c r="F227" s="6"/>
      <c r="G227" s="6"/>
      <c r="H227" s="6"/>
      <c r="I227" s="6"/>
    </row>
    <row r="228" spans="1:9" hidden="1" x14ac:dyDescent="0.2">
      <c r="A228" s="8" t="s">
        <v>9</v>
      </c>
      <c r="B228" s="5"/>
      <c r="C228" s="74"/>
      <c r="D228" s="6"/>
      <c r="E228" s="6"/>
      <c r="F228" s="6"/>
      <c r="G228" s="6"/>
      <c r="H228" s="6"/>
      <c r="I228" s="6"/>
    </row>
    <row r="229" spans="1:9" hidden="1" x14ac:dyDescent="0.2">
      <c r="A229" s="312" t="s">
        <v>10</v>
      </c>
      <c r="B229" s="313"/>
      <c r="C229" s="313"/>
      <c r="D229" s="313"/>
      <c r="E229" s="314"/>
      <c r="F229" s="11">
        <f>SUM(F219:F228)</f>
        <v>0</v>
      </c>
      <c r="G229" s="11">
        <f>SUM(G219:G228)</f>
        <v>0</v>
      </c>
      <c r="H229" s="11">
        <f>SUM(H219:H228)</f>
        <v>0</v>
      </c>
      <c r="I229" s="11"/>
    </row>
    <row r="230" spans="1:9" hidden="1" x14ac:dyDescent="0.2">
      <c r="A230" s="8" t="s">
        <v>0</v>
      </c>
      <c r="B230" s="5">
        <f>B219+1</f>
        <v>46126</v>
      </c>
      <c r="C230" s="75"/>
      <c r="D230" s="6"/>
      <c r="E230" s="6"/>
      <c r="F230" s="6"/>
      <c r="G230" s="6"/>
      <c r="H230" s="6"/>
      <c r="I230" s="6"/>
    </row>
    <row r="231" spans="1:9" hidden="1" x14ac:dyDescent="0.2">
      <c r="A231" s="8" t="s">
        <v>1</v>
      </c>
      <c r="B231" s="5"/>
      <c r="C231" s="75"/>
      <c r="D231" s="6"/>
      <c r="E231" s="6"/>
      <c r="F231" s="6"/>
      <c r="G231" s="6"/>
      <c r="H231" s="6"/>
      <c r="I231" s="6"/>
    </row>
    <row r="232" spans="1:9" hidden="1" x14ac:dyDescent="0.2">
      <c r="A232" s="8" t="s">
        <v>2</v>
      </c>
      <c r="B232" s="5"/>
      <c r="C232" s="75"/>
      <c r="D232" s="6"/>
      <c r="E232" s="6"/>
      <c r="F232" s="6"/>
      <c r="G232" s="6"/>
      <c r="H232" s="6"/>
      <c r="I232" s="6"/>
    </row>
    <row r="233" spans="1:9" hidden="1" x14ac:dyDescent="0.2">
      <c r="A233" s="8" t="s">
        <v>3</v>
      </c>
      <c r="B233" s="5"/>
      <c r="C233" s="75"/>
      <c r="D233" s="6"/>
      <c r="E233" s="6"/>
      <c r="F233" s="6"/>
      <c r="G233" s="6"/>
      <c r="H233" s="6"/>
      <c r="I233" s="6"/>
    </row>
    <row r="234" spans="1:9" hidden="1" x14ac:dyDescent="0.2">
      <c r="A234" s="8" t="s">
        <v>4</v>
      </c>
      <c r="B234" s="5"/>
      <c r="C234" s="75"/>
      <c r="D234" s="6"/>
      <c r="E234" s="6"/>
      <c r="F234" s="6"/>
      <c r="G234" s="6"/>
      <c r="H234" s="6"/>
      <c r="I234" s="6"/>
    </row>
    <row r="235" spans="1:9" hidden="1" x14ac:dyDescent="0.2">
      <c r="A235" s="8" t="s">
        <v>5</v>
      </c>
      <c r="B235" s="5"/>
      <c r="C235" s="75"/>
      <c r="D235" s="6"/>
      <c r="E235" s="6"/>
      <c r="F235" s="6"/>
      <c r="G235" s="6"/>
      <c r="H235" s="6"/>
      <c r="I235" s="6"/>
    </row>
    <row r="236" spans="1:9" hidden="1" x14ac:dyDescent="0.2">
      <c r="A236" s="8" t="s">
        <v>6</v>
      </c>
      <c r="B236" s="5"/>
      <c r="C236" s="75"/>
      <c r="D236" s="6"/>
      <c r="E236" s="6"/>
      <c r="F236" s="6"/>
      <c r="G236" s="6"/>
      <c r="H236" s="6"/>
      <c r="I236" s="6"/>
    </row>
    <row r="237" spans="1:9" hidden="1" x14ac:dyDescent="0.2">
      <c r="A237" s="8" t="s">
        <v>7</v>
      </c>
      <c r="B237" s="5"/>
      <c r="C237" s="75"/>
      <c r="D237" s="6"/>
      <c r="E237" s="6"/>
      <c r="F237" s="6"/>
      <c r="G237" s="6"/>
      <c r="H237" s="6"/>
      <c r="I237" s="6"/>
    </row>
    <row r="238" spans="1:9" hidden="1" x14ac:dyDescent="0.2">
      <c r="A238" s="8" t="s">
        <v>8</v>
      </c>
      <c r="B238" s="5"/>
      <c r="C238" s="75"/>
      <c r="D238" s="6"/>
      <c r="E238" s="6"/>
      <c r="F238" s="6"/>
      <c r="G238" s="6"/>
      <c r="H238" s="6"/>
      <c r="I238" s="6"/>
    </row>
    <row r="239" spans="1:9" hidden="1" x14ac:dyDescent="0.2">
      <c r="A239" s="8" t="s">
        <v>9</v>
      </c>
      <c r="B239" s="5"/>
      <c r="C239" s="75"/>
      <c r="D239" s="6"/>
      <c r="E239" s="6"/>
      <c r="F239" s="6"/>
      <c r="G239" s="6"/>
      <c r="H239" s="6"/>
      <c r="I239" s="6"/>
    </row>
    <row r="240" spans="1:9" hidden="1" x14ac:dyDescent="0.2">
      <c r="A240" s="312" t="s">
        <v>10</v>
      </c>
      <c r="B240" s="313"/>
      <c r="C240" s="313"/>
      <c r="D240" s="313"/>
      <c r="E240" s="314"/>
      <c r="F240" s="11">
        <f>SUM(F230:F239)</f>
        <v>0</v>
      </c>
      <c r="G240" s="11">
        <f>SUM(G230:G239)</f>
        <v>0</v>
      </c>
      <c r="H240" s="11">
        <f>SUM(H230:H239)</f>
        <v>0</v>
      </c>
      <c r="I240" s="11"/>
    </row>
    <row r="241" spans="1:9" hidden="1" x14ac:dyDescent="0.2">
      <c r="A241" s="8" t="s">
        <v>0</v>
      </c>
      <c r="B241" s="5">
        <f>B230+1</f>
        <v>46127</v>
      </c>
      <c r="C241" s="75"/>
      <c r="D241" s="6"/>
      <c r="E241" s="6"/>
      <c r="F241" s="6"/>
      <c r="G241" s="6"/>
      <c r="H241" s="6"/>
      <c r="I241" s="6"/>
    </row>
    <row r="242" spans="1:9" hidden="1" x14ac:dyDescent="0.2">
      <c r="A242" s="8" t="s">
        <v>1</v>
      </c>
      <c r="B242" s="5"/>
      <c r="C242" s="75"/>
      <c r="D242" s="6"/>
      <c r="E242" s="6"/>
      <c r="F242" s="6"/>
      <c r="G242" s="6"/>
      <c r="H242" s="6"/>
      <c r="I242" s="6"/>
    </row>
    <row r="243" spans="1:9" hidden="1" x14ac:dyDescent="0.2">
      <c r="A243" s="8" t="s">
        <v>2</v>
      </c>
      <c r="B243" s="5"/>
      <c r="C243" s="75"/>
      <c r="D243" s="6"/>
      <c r="E243" s="6"/>
      <c r="F243" s="6"/>
      <c r="G243" s="6"/>
      <c r="H243" s="6"/>
      <c r="I243" s="6"/>
    </row>
    <row r="244" spans="1:9" hidden="1" x14ac:dyDescent="0.2">
      <c r="A244" s="8" t="s">
        <v>3</v>
      </c>
      <c r="B244" s="5"/>
      <c r="C244" s="75"/>
      <c r="D244" s="6"/>
      <c r="E244" s="6"/>
      <c r="F244" s="6"/>
      <c r="G244" s="6"/>
      <c r="H244" s="6"/>
      <c r="I244" s="6"/>
    </row>
    <row r="245" spans="1:9" hidden="1" x14ac:dyDescent="0.2">
      <c r="A245" s="8" t="s">
        <v>4</v>
      </c>
      <c r="B245" s="5"/>
      <c r="C245" s="75"/>
      <c r="D245" s="6"/>
      <c r="E245" s="6"/>
      <c r="F245" s="6"/>
      <c r="G245" s="6"/>
      <c r="H245" s="6"/>
      <c r="I245" s="6"/>
    </row>
    <row r="246" spans="1:9" hidden="1" x14ac:dyDescent="0.2">
      <c r="A246" s="8" t="s">
        <v>5</v>
      </c>
      <c r="B246" s="5"/>
      <c r="C246" s="75"/>
      <c r="D246" s="6"/>
      <c r="E246" s="6"/>
      <c r="F246" s="6"/>
      <c r="G246" s="6"/>
      <c r="H246" s="6"/>
      <c r="I246" s="6"/>
    </row>
    <row r="247" spans="1:9" hidden="1" x14ac:dyDescent="0.2">
      <c r="A247" s="8" t="s">
        <v>6</v>
      </c>
      <c r="B247" s="5"/>
      <c r="C247" s="74"/>
      <c r="D247" s="6"/>
      <c r="E247" s="6"/>
      <c r="F247" s="6"/>
      <c r="G247" s="6"/>
      <c r="H247" s="6"/>
      <c r="I247" s="6"/>
    </row>
    <row r="248" spans="1:9" hidden="1" x14ac:dyDescent="0.2">
      <c r="A248" s="8" t="s">
        <v>7</v>
      </c>
      <c r="B248" s="5"/>
      <c r="C248" s="74"/>
      <c r="D248" s="6"/>
      <c r="E248" s="6"/>
      <c r="F248" s="6"/>
      <c r="G248" s="6"/>
      <c r="H248" s="6"/>
      <c r="I248" s="6"/>
    </row>
    <row r="249" spans="1:9" hidden="1" x14ac:dyDescent="0.2">
      <c r="A249" s="8" t="s">
        <v>8</v>
      </c>
      <c r="B249" s="5"/>
      <c r="C249" s="74"/>
      <c r="D249" s="6"/>
      <c r="E249" s="6"/>
      <c r="F249" s="6"/>
      <c r="G249" s="6"/>
      <c r="H249" s="6"/>
      <c r="I249" s="6"/>
    </row>
    <row r="250" spans="1:9" hidden="1" x14ac:dyDescent="0.2">
      <c r="A250" s="8" t="s">
        <v>9</v>
      </c>
      <c r="B250" s="5"/>
      <c r="C250" s="74"/>
      <c r="D250" s="6"/>
      <c r="E250" s="6"/>
      <c r="F250" s="6"/>
      <c r="G250" s="6"/>
      <c r="H250" s="6"/>
      <c r="I250" s="6"/>
    </row>
    <row r="251" spans="1:9" hidden="1" x14ac:dyDescent="0.2">
      <c r="A251" s="312" t="s">
        <v>10</v>
      </c>
      <c r="B251" s="313"/>
      <c r="C251" s="313"/>
      <c r="D251" s="313"/>
      <c r="E251" s="314"/>
      <c r="F251" s="11">
        <f>SUM(F241:F250)</f>
        <v>0</v>
      </c>
      <c r="G251" s="11">
        <f>SUM(G241:G250)</f>
        <v>0</v>
      </c>
      <c r="H251" s="11">
        <f>SUM(H241:H250)</f>
        <v>0</v>
      </c>
      <c r="I251" s="11"/>
    </row>
    <row r="252" spans="1:9" s="25" customFormat="1" ht="18" x14ac:dyDescent="0.2">
      <c r="A252" s="315" t="s">
        <v>39</v>
      </c>
      <c r="B252" s="316"/>
      <c r="C252" s="316"/>
      <c r="D252" s="316"/>
      <c r="E252" s="317"/>
      <c r="F252" s="22">
        <f>F185+F196+F207+F218+F229+F240+F251+F168</f>
        <v>81</v>
      </c>
      <c r="G252" s="22">
        <f>G185+G196+G207+G218+G229+G240+G251+G168</f>
        <v>19</v>
      </c>
      <c r="H252" s="22">
        <f>H185+H196+H207+H218+H229+H240+H251+H168</f>
        <v>552</v>
      </c>
      <c r="I252" s="22"/>
    </row>
    <row r="253" spans="1:9" ht="21.95" customHeight="1" x14ac:dyDescent="0.2">
      <c r="A253" s="319" t="s">
        <v>14</v>
      </c>
      <c r="B253" s="319"/>
      <c r="C253" s="319"/>
      <c r="D253" s="319"/>
      <c r="E253" s="319"/>
      <c r="F253" s="319"/>
      <c r="G253" s="319"/>
      <c r="H253" s="319"/>
      <c r="I253" s="319"/>
    </row>
    <row r="254" spans="1:9" s="53" customFormat="1" ht="20.100000000000001" customHeight="1" x14ac:dyDescent="0.2">
      <c r="A254" s="323" t="s">
        <v>86</v>
      </c>
      <c r="B254" s="323"/>
      <c r="C254" s="323"/>
      <c r="D254" s="323"/>
      <c r="E254" s="323"/>
      <c r="F254" s="50" t="str">
        <f>F170</f>
        <v>เมษายน</v>
      </c>
      <c r="G254" s="50" t="s">
        <v>87</v>
      </c>
      <c r="H254" s="51">
        <f>H170</f>
        <v>2569</v>
      </c>
      <c r="I254" s="52"/>
    </row>
    <row r="255" spans="1:9" s="3" customFormat="1" ht="20.100000000000001" customHeight="1" x14ac:dyDescent="0.35">
      <c r="A255" s="318" t="s">
        <v>37</v>
      </c>
      <c r="B255" s="318"/>
      <c r="C255" s="318"/>
      <c r="D255" s="2"/>
      <c r="F255" s="4"/>
      <c r="G255" s="4"/>
      <c r="H255" s="4" t="s">
        <v>21</v>
      </c>
      <c r="I255" s="40">
        <f>I171+1</f>
        <v>4</v>
      </c>
    </row>
    <row r="256" spans="1:9" s="3" customFormat="1" ht="20.100000000000001" customHeight="1" x14ac:dyDescent="0.35">
      <c r="A256" s="311" t="s">
        <v>80</v>
      </c>
      <c r="B256" s="311"/>
      <c r="C256" s="311"/>
      <c r="D256" s="2"/>
      <c r="E256" s="39" t="s">
        <v>81</v>
      </c>
      <c r="F256" s="308">
        <f>F172</f>
        <v>46107</v>
      </c>
      <c r="G256" s="308"/>
      <c r="H256" s="39" t="s">
        <v>82</v>
      </c>
      <c r="I256" s="34">
        <f>I172</f>
        <v>46136</v>
      </c>
    </row>
    <row r="257" spans="1:9" x14ac:dyDescent="0.2">
      <c r="A257" s="12" t="s">
        <v>23</v>
      </c>
      <c r="B257" s="13" t="s">
        <v>11</v>
      </c>
      <c r="C257" s="72" t="s">
        <v>26</v>
      </c>
      <c r="D257" s="12" t="s">
        <v>16</v>
      </c>
      <c r="E257" s="12" t="s">
        <v>17</v>
      </c>
      <c r="F257" s="310" t="s">
        <v>46</v>
      </c>
      <c r="G257" s="310"/>
      <c r="H257" s="310"/>
      <c r="I257" s="12" t="s">
        <v>19</v>
      </c>
    </row>
    <row r="258" spans="1:9" x14ac:dyDescent="0.2">
      <c r="A258" s="15"/>
      <c r="B258" s="16"/>
      <c r="C258" s="73"/>
      <c r="D258" s="15"/>
      <c r="E258" s="15"/>
      <c r="F258" s="21" t="s">
        <v>113</v>
      </c>
      <c r="G258" s="21" t="s">
        <v>114</v>
      </c>
      <c r="H258" s="21" t="s">
        <v>20</v>
      </c>
      <c r="I258" s="15"/>
    </row>
    <row r="259" spans="1:9" hidden="1" x14ac:dyDescent="0.2">
      <c r="A259" s="8" t="s">
        <v>0</v>
      </c>
      <c r="B259" s="5">
        <f>B241+1</f>
        <v>46128</v>
      </c>
      <c r="C259" s="74"/>
      <c r="D259" s="6"/>
      <c r="E259" s="6"/>
      <c r="F259" s="6"/>
      <c r="G259" s="6"/>
      <c r="H259" s="6"/>
      <c r="I259" s="6"/>
    </row>
    <row r="260" spans="1:9" hidden="1" x14ac:dyDescent="0.2">
      <c r="A260" s="8" t="s">
        <v>1</v>
      </c>
      <c r="B260" s="5"/>
      <c r="C260" s="74"/>
      <c r="D260" s="6"/>
      <c r="E260" s="6"/>
      <c r="F260" s="6"/>
      <c r="G260" s="6"/>
      <c r="H260" s="6"/>
      <c r="I260" s="6"/>
    </row>
    <row r="261" spans="1:9" hidden="1" x14ac:dyDescent="0.2">
      <c r="A261" s="8" t="s">
        <v>2</v>
      </c>
      <c r="B261" s="5"/>
      <c r="C261" s="74"/>
      <c r="D261" s="6"/>
      <c r="E261" s="6"/>
      <c r="F261" s="6"/>
      <c r="G261" s="6"/>
      <c r="H261" s="6"/>
      <c r="I261" s="6"/>
    </row>
    <row r="262" spans="1:9" hidden="1" x14ac:dyDescent="0.2">
      <c r="A262" s="8" t="s">
        <v>3</v>
      </c>
      <c r="B262" s="5"/>
      <c r="C262" s="74"/>
      <c r="D262" s="6"/>
      <c r="E262" s="6"/>
      <c r="F262" s="6"/>
      <c r="G262" s="6"/>
      <c r="H262" s="6"/>
      <c r="I262" s="6"/>
    </row>
    <row r="263" spans="1:9" hidden="1" x14ac:dyDescent="0.2">
      <c r="A263" s="8" t="s">
        <v>4</v>
      </c>
      <c r="B263" s="5"/>
      <c r="C263" s="74"/>
      <c r="D263" s="6"/>
      <c r="E263" s="6"/>
      <c r="F263" s="6"/>
      <c r="G263" s="6"/>
      <c r="H263" s="6"/>
      <c r="I263" s="6"/>
    </row>
    <row r="264" spans="1:9" hidden="1" x14ac:dyDescent="0.2">
      <c r="A264" s="8" t="s">
        <v>5</v>
      </c>
      <c r="B264" s="5"/>
      <c r="C264" s="74"/>
      <c r="D264" s="6"/>
      <c r="E264" s="6"/>
      <c r="F264" s="6"/>
      <c r="G264" s="6"/>
      <c r="H264" s="6"/>
      <c r="I264" s="6"/>
    </row>
    <row r="265" spans="1:9" hidden="1" x14ac:dyDescent="0.2">
      <c r="A265" s="8" t="s">
        <v>6</v>
      </c>
      <c r="B265" s="5"/>
      <c r="C265" s="74"/>
      <c r="D265" s="6"/>
      <c r="E265" s="6"/>
      <c r="F265" s="6"/>
      <c r="G265" s="6"/>
      <c r="H265" s="6"/>
      <c r="I265" s="6"/>
    </row>
    <row r="266" spans="1:9" hidden="1" x14ac:dyDescent="0.2">
      <c r="A266" s="8" t="s">
        <v>7</v>
      </c>
      <c r="B266" s="5"/>
      <c r="C266" s="74"/>
      <c r="D266" s="6"/>
      <c r="E266" s="6"/>
      <c r="F266" s="6"/>
      <c r="G266" s="6"/>
      <c r="H266" s="6"/>
      <c r="I266" s="6"/>
    </row>
    <row r="267" spans="1:9" hidden="1" x14ac:dyDescent="0.2">
      <c r="A267" s="8" t="s">
        <v>8</v>
      </c>
      <c r="B267" s="5"/>
      <c r="C267" s="74"/>
      <c r="D267" s="6"/>
      <c r="E267" s="6"/>
      <c r="F267" s="6"/>
      <c r="G267" s="6"/>
      <c r="H267" s="6"/>
      <c r="I267" s="6"/>
    </row>
    <row r="268" spans="1:9" hidden="1" x14ac:dyDescent="0.2">
      <c r="A268" s="8" t="s">
        <v>9</v>
      </c>
      <c r="B268" s="5"/>
      <c r="C268" s="74"/>
      <c r="D268" s="6"/>
      <c r="E268" s="6"/>
      <c r="F268" s="6"/>
      <c r="G268" s="6"/>
      <c r="H268" s="6"/>
      <c r="I268" s="6"/>
    </row>
    <row r="269" spans="1:9" hidden="1" x14ac:dyDescent="0.2">
      <c r="A269" s="312" t="s">
        <v>10</v>
      </c>
      <c r="B269" s="313"/>
      <c r="C269" s="313"/>
      <c r="D269" s="313"/>
      <c r="E269" s="314"/>
      <c r="F269" s="11">
        <f>SUM(F259:F268)</f>
        <v>0</v>
      </c>
      <c r="G269" s="11">
        <f>SUM(G259:G268)</f>
        <v>0</v>
      </c>
      <c r="H269" s="11">
        <f>SUM(H259:H268)</f>
        <v>0</v>
      </c>
      <c r="I269" s="11"/>
    </row>
    <row r="270" spans="1:9" hidden="1" x14ac:dyDescent="0.2">
      <c r="A270" s="8" t="s">
        <v>0</v>
      </c>
      <c r="B270" s="5">
        <f>B259+1</f>
        <v>46129</v>
      </c>
      <c r="C270" s="74"/>
      <c r="D270" s="6"/>
      <c r="E270" s="6"/>
      <c r="F270" s="6"/>
      <c r="G270" s="6"/>
      <c r="H270" s="6"/>
      <c r="I270" s="6"/>
    </row>
    <row r="271" spans="1:9" hidden="1" x14ac:dyDescent="0.2">
      <c r="A271" s="8" t="s">
        <v>1</v>
      </c>
      <c r="B271" s="5"/>
      <c r="C271" s="74"/>
      <c r="D271" s="6"/>
      <c r="E271" s="6"/>
      <c r="F271" s="6"/>
      <c r="G271" s="6"/>
      <c r="H271" s="6"/>
      <c r="I271" s="6"/>
    </row>
    <row r="272" spans="1:9" hidden="1" x14ac:dyDescent="0.2">
      <c r="A272" s="8" t="s">
        <v>2</v>
      </c>
      <c r="B272" s="5"/>
      <c r="C272" s="74"/>
      <c r="D272" s="6"/>
      <c r="E272" s="6"/>
      <c r="F272" s="6"/>
      <c r="G272" s="6"/>
      <c r="H272" s="6"/>
      <c r="I272" s="6"/>
    </row>
    <row r="273" spans="1:9" hidden="1" x14ac:dyDescent="0.2">
      <c r="A273" s="8" t="s">
        <v>3</v>
      </c>
      <c r="B273" s="5"/>
      <c r="C273" s="74"/>
      <c r="D273" s="6"/>
      <c r="E273" s="6"/>
      <c r="F273" s="6"/>
      <c r="G273" s="6"/>
      <c r="H273" s="6"/>
      <c r="I273" s="6"/>
    </row>
    <row r="274" spans="1:9" hidden="1" x14ac:dyDescent="0.2">
      <c r="A274" s="8" t="s">
        <v>4</v>
      </c>
      <c r="B274" s="5"/>
      <c r="C274" s="74"/>
      <c r="D274" s="6"/>
      <c r="E274" s="6"/>
      <c r="F274" s="6"/>
      <c r="G274" s="6"/>
      <c r="H274" s="6"/>
      <c r="I274" s="6"/>
    </row>
    <row r="275" spans="1:9" hidden="1" x14ac:dyDescent="0.2">
      <c r="A275" s="8" t="s">
        <v>5</v>
      </c>
      <c r="B275" s="5"/>
      <c r="C275" s="74"/>
      <c r="D275" s="6"/>
      <c r="E275" s="6"/>
      <c r="F275" s="6"/>
      <c r="G275" s="6"/>
      <c r="H275" s="6"/>
      <c r="I275" s="6"/>
    </row>
    <row r="276" spans="1:9" hidden="1" x14ac:dyDescent="0.2">
      <c r="A276" s="8" t="s">
        <v>6</v>
      </c>
      <c r="B276" s="5"/>
      <c r="C276" s="74"/>
      <c r="D276" s="6"/>
      <c r="E276" s="6"/>
      <c r="F276" s="6"/>
      <c r="G276" s="6"/>
      <c r="H276" s="6"/>
      <c r="I276" s="6"/>
    </row>
    <row r="277" spans="1:9" hidden="1" x14ac:dyDescent="0.2">
      <c r="A277" s="8" t="s">
        <v>7</v>
      </c>
      <c r="B277" s="5"/>
      <c r="C277" s="74"/>
      <c r="D277" s="6"/>
      <c r="E277" s="6"/>
      <c r="F277" s="6"/>
      <c r="G277" s="6"/>
      <c r="H277" s="6"/>
      <c r="I277" s="6"/>
    </row>
    <row r="278" spans="1:9" hidden="1" x14ac:dyDescent="0.2">
      <c r="A278" s="8" t="s">
        <v>8</v>
      </c>
      <c r="B278" s="5"/>
      <c r="C278" s="74"/>
      <c r="D278" s="6"/>
      <c r="E278" s="6"/>
      <c r="F278" s="6"/>
      <c r="G278" s="6"/>
      <c r="H278" s="6"/>
      <c r="I278" s="6"/>
    </row>
    <row r="279" spans="1:9" hidden="1" x14ac:dyDescent="0.2">
      <c r="A279" s="8" t="s">
        <v>9</v>
      </c>
      <c r="B279" s="5"/>
      <c r="C279" s="74"/>
      <c r="D279" s="6"/>
      <c r="E279" s="6"/>
      <c r="F279" s="6"/>
      <c r="G279" s="6"/>
      <c r="H279" s="6"/>
      <c r="I279" s="6"/>
    </row>
    <row r="280" spans="1:9" hidden="1" x14ac:dyDescent="0.2">
      <c r="A280" s="312" t="s">
        <v>10</v>
      </c>
      <c r="B280" s="313"/>
      <c r="C280" s="313"/>
      <c r="D280" s="313"/>
      <c r="E280" s="314"/>
      <c r="F280" s="11">
        <f>SUM(F270:F279)</f>
        <v>0</v>
      </c>
      <c r="G280" s="11">
        <f>SUM(G270:G279)</f>
        <v>0</v>
      </c>
      <c r="H280" s="11">
        <f>SUM(H270:H279)</f>
        <v>0</v>
      </c>
      <c r="I280" s="11"/>
    </row>
    <row r="281" spans="1:9" hidden="1" x14ac:dyDescent="0.2">
      <c r="A281" s="8" t="s">
        <v>0</v>
      </c>
      <c r="B281" s="5">
        <f>B270+1</f>
        <v>46130</v>
      </c>
      <c r="C281" s="74"/>
      <c r="D281" s="6"/>
      <c r="E281" s="6"/>
      <c r="F281" s="6"/>
      <c r="G281" s="6"/>
      <c r="H281" s="6"/>
      <c r="I281" s="6"/>
    </row>
    <row r="282" spans="1:9" hidden="1" x14ac:dyDescent="0.2">
      <c r="A282" s="8" t="s">
        <v>1</v>
      </c>
      <c r="B282" s="5"/>
      <c r="C282" s="74"/>
      <c r="D282" s="6"/>
      <c r="E282" s="6"/>
      <c r="F282" s="6"/>
      <c r="G282" s="6"/>
      <c r="H282" s="6"/>
      <c r="I282" s="6"/>
    </row>
    <row r="283" spans="1:9" hidden="1" x14ac:dyDescent="0.2">
      <c r="A283" s="8" t="s">
        <v>2</v>
      </c>
      <c r="B283" s="5"/>
      <c r="C283" s="74"/>
      <c r="D283" s="6"/>
      <c r="E283" s="6"/>
      <c r="F283" s="6"/>
      <c r="G283" s="6"/>
      <c r="H283" s="6"/>
      <c r="I283" s="6"/>
    </row>
    <row r="284" spans="1:9" hidden="1" x14ac:dyDescent="0.2">
      <c r="A284" s="8" t="s">
        <v>3</v>
      </c>
      <c r="B284" s="5"/>
      <c r="C284" s="74"/>
      <c r="D284" s="6"/>
      <c r="E284" s="6"/>
      <c r="F284" s="6"/>
      <c r="G284" s="6"/>
      <c r="H284" s="6"/>
      <c r="I284" s="6"/>
    </row>
    <row r="285" spans="1:9" hidden="1" x14ac:dyDescent="0.2">
      <c r="A285" s="8" t="s">
        <v>4</v>
      </c>
      <c r="B285" s="5"/>
      <c r="C285" s="74"/>
      <c r="D285" s="6"/>
      <c r="E285" s="6"/>
      <c r="F285" s="6"/>
      <c r="G285" s="6"/>
      <c r="H285" s="6"/>
      <c r="I285" s="6"/>
    </row>
    <row r="286" spans="1:9" hidden="1" x14ac:dyDescent="0.2">
      <c r="A286" s="8" t="s">
        <v>5</v>
      </c>
      <c r="B286" s="5"/>
      <c r="C286" s="74"/>
      <c r="D286" s="6"/>
      <c r="E286" s="6"/>
      <c r="F286" s="6"/>
      <c r="G286" s="6"/>
      <c r="H286" s="6"/>
      <c r="I286" s="6"/>
    </row>
    <row r="287" spans="1:9" hidden="1" x14ac:dyDescent="0.2">
      <c r="A287" s="8" t="s">
        <v>6</v>
      </c>
      <c r="B287" s="5"/>
      <c r="C287" s="74"/>
      <c r="D287" s="6"/>
      <c r="E287" s="6"/>
      <c r="F287" s="6"/>
      <c r="G287" s="6"/>
      <c r="H287" s="6"/>
      <c r="I287" s="6"/>
    </row>
    <row r="288" spans="1:9" hidden="1" x14ac:dyDescent="0.2">
      <c r="A288" s="8" t="s">
        <v>7</v>
      </c>
      <c r="B288" s="5"/>
      <c r="C288" s="74"/>
      <c r="D288" s="6"/>
      <c r="E288" s="6"/>
      <c r="F288" s="6"/>
      <c r="G288" s="6"/>
      <c r="H288" s="6"/>
      <c r="I288" s="6"/>
    </row>
    <row r="289" spans="1:9" hidden="1" x14ac:dyDescent="0.2">
      <c r="A289" s="8" t="s">
        <v>8</v>
      </c>
      <c r="B289" s="5"/>
      <c r="C289" s="74"/>
      <c r="D289" s="6"/>
      <c r="E289" s="6"/>
      <c r="F289" s="6"/>
      <c r="G289" s="6"/>
      <c r="H289" s="6"/>
      <c r="I289" s="6"/>
    </row>
    <row r="290" spans="1:9" hidden="1" x14ac:dyDescent="0.2">
      <c r="A290" s="8" t="s">
        <v>9</v>
      </c>
      <c r="B290" s="5"/>
      <c r="C290" s="74"/>
      <c r="D290" s="6"/>
      <c r="E290" s="6"/>
      <c r="F290" s="6"/>
      <c r="G290" s="6"/>
      <c r="H290" s="6"/>
      <c r="I290" s="6"/>
    </row>
    <row r="291" spans="1:9" hidden="1" x14ac:dyDescent="0.2">
      <c r="A291" s="8" t="s">
        <v>99</v>
      </c>
      <c r="B291" s="5"/>
      <c r="C291" s="74"/>
      <c r="D291" s="6"/>
      <c r="E291" s="6"/>
      <c r="F291" s="6"/>
      <c r="G291" s="6"/>
      <c r="H291" s="6"/>
      <c r="I291" s="6"/>
    </row>
    <row r="292" spans="1:9" hidden="1" x14ac:dyDescent="0.2">
      <c r="A292" s="312" t="s">
        <v>10</v>
      </c>
      <c r="B292" s="313"/>
      <c r="C292" s="313"/>
      <c r="D292" s="313"/>
      <c r="E292" s="314"/>
      <c r="F292" s="11">
        <f>SUM(F281:F291)</f>
        <v>0</v>
      </c>
      <c r="G292" s="11">
        <f>SUM(G281:G291)</f>
        <v>0</v>
      </c>
      <c r="H292" s="11">
        <f>SUM(H281:H291)</f>
        <v>0</v>
      </c>
      <c r="I292" s="11"/>
    </row>
    <row r="293" spans="1:9" x14ac:dyDescent="0.2">
      <c r="A293" s="8" t="s">
        <v>0</v>
      </c>
      <c r="B293" s="5">
        <f>B281+1</f>
        <v>46131</v>
      </c>
      <c r="C293" s="75" t="s">
        <v>1281</v>
      </c>
      <c r="D293" s="6" t="s">
        <v>173</v>
      </c>
      <c r="E293" s="6" t="s">
        <v>544</v>
      </c>
      <c r="F293" s="6">
        <v>1</v>
      </c>
      <c r="G293" s="6"/>
      <c r="H293" s="6">
        <v>5.5</v>
      </c>
      <c r="I293" s="6"/>
    </row>
    <row r="294" spans="1:9" hidden="1" x14ac:dyDescent="0.2">
      <c r="A294" s="8" t="s">
        <v>1</v>
      </c>
      <c r="B294" s="5"/>
      <c r="C294" s="75"/>
      <c r="D294" s="6"/>
      <c r="E294" s="6"/>
      <c r="F294" s="6"/>
      <c r="G294" s="6"/>
      <c r="H294" s="6"/>
      <c r="I294" s="6"/>
    </row>
    <row r="295" spans="1:9" hidden="1" x14ac:dyDescent="0.2">
      <c r="A295" s="8" t="s">
        <v>2</v>
      </c>
      <c r="B295" s="5"/>
      <c r="C295" s="75"/>
      <c r="D295" s="6"/>
      <c r="E295" s="6"/>
      <c r="F295" s="6"/>
      <c r="G295" s="6"/>
      <c r="H295" s="6"/>
      <c r="I295" s="6"/>
    </row>
    <row r="296" spans="1:9" hidden="1" x14ac:dyDescent="0.2">
      <c r="A296" s="8" t="s">
        <v>3</v>
      </c>
      <c r="B296" s="5"/>
      <c r="C296" s="75"/>
      <c r="D296" s="6"/>
      <c r="E296" s="6"/>
      <c r="F296" s="6"/>
      <c r="G296" s="6"/>
      <c r="H296" s="6"/>
      <c r="I296" s="6"/>
    </row>
    <row r="297" spans="1:9" hidden="1" x14ac:dyDescent="0.2">
      <c r="A297" s="8" t="s">
        <v>4</v>
      </c>
      <c r="B297" s="5"/>
      <c r="C297" s="75"/>
      <c r="D297" s="6"/>
      <c r="E297" s="6"/>
      <c r="F297" s="6"/>
      <c r="G297" s="6"/>
      <c r="H297" s="6"/>
      <c r="I297" s="6"/>
    </row>
    <row r="298" spans="1:9" hidden="1" x14ac:dyDescent="0.2">
      <c r="A298" s="8" t="s">
        <v>5</v>
      </c>
      <c r="B298" s="5"/>
      <c r="C298" s="75"/>
      <c r="D298" s="6"/>
      <c r="E298" s="6"/>
      <c r="F298" s="6"/>
      <c r="G298" s="6"/>
      <c r="H298" s="6"/>
      <c r="I298" s="6"/>
    </row>
    <row r="299" spans="1:9" hidden="1" x14ac:dyDescent="0.2">
      <c r="A299" s="8" t="s">
        <v>6</v>
      </c>
      <c r="B299" s="5"/>
      <c r="C299" s="75"/>
      <c r="D299" s="6"/>
      <c r="E299" s="6"/>
      <c r="F299" s="6"/>
      <c r="G299" s="6"/>
      <c r="H299" s="6"/>
      <c r="I299" s="6"/>
    </row>
    <row r="300" spans="1:9" hidden="1" x14ac:dyDescent="0.2">
      <c r="A300" s="8" t="s">
        <v>7</v>
      </c>
      <c r="B300" s="5"/>
      <c r="C300" s="74"/>
      <c r="D300" s="6"/>
      <c r="E300" s="6"/>
      <c r="F300" s="6"/>
      <c r="G300" s="6"/>
      <c r="H300" s="6"/>
      <c r="I300" s="6"/>
    </row>
    <row r="301" spans="1:9" hidden="1" x14ac:dyDescent="0.2">
      <c r="A301" s="8" t="s">
        <v>8</v>
      </c>
      <c r="B301" s="5"/>
      <c r="C301" s="74"/>
      <c r="D301" s="6"/>
      <c r="E301" s="6"/>
      <c r="F301" s="6"/>
      <c r="G301" s="6"/>
      <c r="H301" s="6"/>
      <c r="I301" s="6"/>
    </row>
    <row r="302" spans="1:9" hidden="1" x14ac:dyDescent="0.2">
      <c r="A302" s="8" t="s">
        <v>9</v>
      </c>
      <c r="B302" s="5"/>
      <c r="C302" s="74"/>
      <c r="D302" s="6"/>
      <c r="E302" s="6"/>
      <c r="F302" s="6"/>
      <c r="G302" s="6"/>
      <c r="H302" s="6"/>
      <c r="I302" s="6"/>
    </row>
    <row r="303" spans="1:9" x14ac:dyDescent="0.2">
      <c r="A303" s="312" t="s">
        <v>10</v>
      </c>
      <c r="B303" s="313"/>
      <c r="C303" s="313"/>
      <c r="D303" s="313"/>
      <c r="E303" s="314"/>
      <c r="F303" s="11">
        <f>SUM(F293:F302)</f>
        <v>1</v>
      </c>
      <c r="G303" s="11">
        <f>SUM(G293:G302)</f>
        <v>0</v>
      </c>
      <c r="H303" s="11">
        <f>SUM(H293:H302)</f>
        <v>5.5</v>
      </c>
      <c r="I303" s="11"/>
    </row>
    <row r="304" spans="1:9" x14ac:dyDescent="0.2">
      <c r="A304" s="8" t="s">
        <v>0</v>
      </c>
      <c r="B304" s="5">
        <f>B293+1</f>
        <v>46132</v>
      </c>
      <c r="C304" s="75" t="s">
        <v>1336</v>
      </c>
      <c r="D304" s="6" t="s">
        <v>170</v>
      </c>
      <c r="E304" s="6" t="s">
        <v>165</v>
      </c>
      <c r="F304" s="6">
        <v>1</v>
      </c>
      <c r="G304" s="6"/>
      <c r="H304" s="6">
        <v>6</v>
      </c>
      <c r="I304" s="6"/>
    </row>
    <row r="305" spans="1:9" x14ac:dyDescent="0.2">
      <c r="A305" s="8" t="s">
        <v>1</v>
      </c>
      <c r="B305" s="5"/>
      <c r="C305" s="75" t="s">
        <v>1337</v>
      </c>
      <c r="D305" s="6" t="s">
        <v>170</v>
      </c>
      <c r="E305" s="6" t="s">
        <v>165</v>
      </c>
      <c r="F305" s="6">
        <v>1</v>
      </c>
      <c r="G305" s="6"/>
      <c r="H305" s="6">
        <v>6</v>
      </c>
      <c r="I305" s="6"/>
    </row>
    <row r="306" spans="1:9" x14ac:dyDescent="0.2">
      <c r="A306" s="8" t="s">
        <v>2</v>
      </c>
      <c r="B306" s="5"/>
      <c r="C306" s="75" t="s">
        <v>1338</v>
      </c>
      <c r="D306" s="6" t="s">
        <v>188</v>
      </c>
      <c r="E306" s="6" t="s">
        <v>165</v>
      </c>
      <c r="F306" s="6">
        <v>1</v>
      </c>
      <c r="G306" s="6"/>
      <c r="H306" s="6">
        <v>6</v>
      </c>
      <c r="I306" s="6"/>
    </row>
    <row r="307" spans="1:9" x14ac:dyDescent="0.2">
      <c r="A307" s="8" t="s">
        <v>3</v>
      </c>
      <c r="B307" s="5"/>
      <c r="C307" s="75" t="s">
        <v>1339</v>
      </c>
      <c r="D307" s="6" t="s">
        <v>188</v>
      </c>
      <c r="E307" s="6" t="s">
        <v>165</v>
      </c>
      <c r="F307" s="6">
        <v>1</v>
      </c>
      <c r="G307" s="6"/>
      <c r="H307" s="6">
        <v>6</v>
      </c>
      <c r="I307" s="6"/>
    </row>
    <row r="308" spans="1:9" x14ac:dyDescent="0.2">
      <c r="A308" s="8" t="s">
        <v>4</v>
      </c>
      <c r="B308" s="5"/>
      <c r="C308" s="75" t="s">
        <v>1340</v>
      </c>
      <c r="D308" s="6" t="s">
        <v>342</v>
      </c>
      <c r="E308" s="6" t="s">
        <v>165</v>
      </c>
      <c r="F308" s="6">
        <v>1</v>
      </c>
      <c r="G308" s="6"/>
      <c r="H308" s="6">
        <v>4.5</v>
      </c>
      <c r="I308" s="6"/>
    </row>
    <row r="309" spans="1:9" x14ac:dyDescent="0.2">
      <c r="A309" s="8" t="s">
        <v>5</v>
      </c>
      <c r="B309" s="5"/>
      <c r="C309" s="75" t="s">
        <v>1334</v>
      </c>
      <c r="D309" s="6" t="s">
        <v>347</v>
      </c>
      <c r="E309" s="6" t="s">
        <v>441</v>
      </c>
      <c r="F309" s="6">
        <v>1</v>
      </c>
      <c r="G309" s="6"/>
      <c r="H309" s="6">
        <v>2</v>
      </c>
      <c r="I309" s="6"/>
    </row>
    <row r="310" spans="1:9" hidden="1" x14ac:dyDescent="0.2">
      <c r="A310" s="8" t="s">
        <v>6</v>
      </c>
      <c r="B310" s="5"/>
      <c r="C310" s="74"/>
      <c r="D310" s="6"/>
      <c r="E310" s="6"/>
      <c r="F310" s="6"/>
      <c r="G310" s="6"/>
      <c r="H310" s="6"/>
      <c r="I310" s="6"/>
    </row>
    <row r="311" spans="1:9" hidden="1" x14ac:dyDescent="0.2">
      <c r="A311" s="8" t="s">
        <v>7</v>
      </c>
      <c r="B311" s="5"/>
      <c r="C311" s="74"/>
      <c r="D311" s="6"/>
      <c r="E311" s="6"/>
      <c r="F311" s="6"/>
      <c r="G311" s="6"/>
      <c r="H311" s="6"/>
      <c r="I311" s="6"/>
    </row>
    <row r="312" spans="1:9" hidden="1" x14ac:dyDescent="0.2">
      <c r="A312" s="8" t="s">
        <v>8</v>
      </c>
      <c r="B312" s="5"/>
      <c r="C312" s="74"/>
      <c r="D312" s="6"/>
      <c r="E312" s="6"/>
      <c r="F312" s="6"/>
      <c r="G312" s="6"/>
      <c r="H312" s="6"/>
      <c r="I312" s="6"/>
    </row>
    <row r="313" spans="1:9" hidden="1" x14ac:dyDescent="0.2">
      <c r="A313" s="8" t="s">
        <v>9</v>
      </c>
      <c r="B313" s="5"/>
      <c r="C313" s="74"/>
      <c r="D313" s="6"/>
      <c r="E313" s="6"/>
      <c r="F313" s="6"/>
      <c r="G313" s="6"/>
      <c r="H313" s="6"/>
      <c r="I313" s="6"/>
    </row>
    <row r="314" spans="1:9" hidden="1" x14ac:dyDescent="0.2">
      <c r="A314" s="8" t="s">
        <v>99</v>
      </c>
      <c r="B314" s="5"/>
      <c r="C314" s="74"/>
      <c r="D314" s="6"/>
      <c r="E314" s="6"/>
      <c r="F314" s="6"/>
      <c r="G314" s="6"/>
      <c r="H314" s="6"/>
      <c r="I314" s="6"/>
    </row>
    <row r="315" spans="1:9" x14ac:dyDescent="0.2">
      <c r="A315" s="312" t="s">
        <v>10</v>
      </c>
      <c r="B315" s="313"/>
      <c r="C315" s="313"/>
      <c r="D315" s="313"/>
      <c r="E315" s="314"/>
      <c r="F315" s="11">
        <f>SUM(F304:F314)</f>
        <v>6</v>
      </c>
      <c r="G315" s="11">
        <f>SUM(G304:G314)</f>
        <v>0</v>
      </c>
      <c r="H315" s="11">
        <f>SUM(H304:H314)</f>
        <v>30.5</v>
      </c>
      <c r="I315" s="11"/>
    </row>
    <row r="316" spans="1:9" x14ac:dyDescent="0.2">
      <c r="A316" s="8" t="s">
        <v>0</v>
      </c>
      <c r="B316" s="5">
        <f>B304+1</f>
        <v>46133</v>
      </c>
      <c r="C316" s="75" t="s">
        <v>1416</v>
      </c>
      <c r="D316" s="6" t="s">
        <v>342</v>
      </c>
      <c r="E316" s="6" t="s">
        <v>165</v>
      </c>
      <c r="F316" s="6">
        <v>1</v>
      </c>
      <c r="G316" s="6"/>
      <c r="H316" s="6">
        <v>6</v>
      </c>
      <c r="I316" s="6"/>
    </row>
    <row r="317" spans="1:9" x14ac:dyDescent="0.2">
      <c r="A317" s="8" t="s">
        <v>1</v>
      </c>
      <c r="B317" s="5"/>
      <c r="C317" s="75" t="s">
        <v>1417</v>
      </c>
      <c r="D317" s="6" t="s">
        <v>170</v>
      </c>
      <c r="E317" s="6" t="s">
        <v>184</v>
      </c>
      <c r="F317" s="6">
        <v>1</v>
      </c>
      <c r="G317" s="6"/>
      <c r="H317" s="6">
        <v>1</v>
      </c>
      <c r="I317" s="6"/>
    </row>
    <row r="318" spans="1:9" x14ac:dyDescent="0.2">
      <c r="A318" s="8" t="s">
        <v>2</v>
      </c>
      <c r="B318" s="5"/>
      <c r="C318" s="75" t="s">
        <v>1407</v>
      </c>
      <c r="D318" s="6" t="s">
        <v>170</v>
      </c>
      <c r="E318" s="6" t="s">
        <v>171</v>
      </c>
      <c r="F318" s="6">
        <v>1</v>
      </c>
      <c r="G318" s="6"/>
      <c r="H318" s="6">
        <v>6</v>
      </c>
      <c r="I318" s="6"/>
    </row>
    <row r="319" spans="1:9" x14ac:dyDescent="0.2">
      <c r="A319" s="8" t="s">
        <v>3</v>
      </c>
      <c r="B319" s="5"/>
      <c r="C319" s="75" t="s">
        <v>1418</v>
      </c>
      <c r="D319" s="6" t="s">
        <v>170</v>
      </c>
      <c r="E319" s="6" t="s">
        <v>171</v>
      </c>
      <c r="F319" s="6">
        <v>1</v>
      </c>
      <c r="G319" s="6"/>
      <c r="H319" s="6">
        <v>6</v>
      </c>
      <c r="I319" s="6"/>
    </row>
    <row r="320" spans="1:9" x14ac:dyDescent="0.2">
      <c r="A320" s="8" t="s">
        <v>4</v>
      </c>
      <c r="B320" s="5"/>
      <c r="C320" s="75" t="s">
        <v>1419</v>
      </c>
      <c r="D320" s="6" t="s">
        <v>253</v>
      </c>
      <c r="E320" s="6" t="s">
        <v>174</v>
      </c>
      <c r="F320" s="6">
        <v>1</v>
      </c>
      <c r="G320" s="6"/>
      <c r="H320" s="6">
        <v>6</v>
      </c>
      <c r="I320" s="6"/>
    </row>
    <row r="321" spans="1:9" x14ac:dyDescent="0.2">
      <c r="A321" s="8" t="s">
        <v>5</v>
      </c>
      <c r="B321" s="5"/>
      <c r="C321" s="75" t="s">
        <v>1420</v>
      </c>
      <c r="D321" s="6" t="s">
        <v>170</v>
      </c>
      <c r="E321" s="6" t="s">
        <v>171</v>
      </c>
      <c r="F321" s="6">
        <v>1</v>
      </c>
      <c r="G321" s="6"/>
      <c r="H321" s="6">
        <v>6</v>
      </c>
      <c r="I321" s="6"/>
    </row>
    <row r="322" spans="1:9" x14ac:dyDescent="0.2">
      <c r="A322" s="8" t="s">
        <v>6</v>
      </c>
      <c r="B322" s="5"/>
      <c r="C322" s="75" t="s">
        <v>1421</v>
      </c>
      <c r="D322" s="6" t="s">
        <v>170</v>
      </c>
      <c r="E322" s="6" t="s">
        <v>171</v>
      </c>
      <c r="F322" s="6"/>
      <c r="G322" s="6">
        <v>1</v>
      </c>
      <c r="H322" s="6">
        <v>6</v>
      </c>
      <c r="I322" s="6"/>
    </row>
    <row r="323" spans="1:9" x14ac:dyDescent="0.2">
      <c r="A323" s="8" t="s">
        <v>7</v>
      </c>
      <c r="B323" s="5"/>
      <c r="C323" s="75" t="s">
        <v>1422</v>
      </c>
      <c r="D323" s="6" t="s">
        <v>170</v>
      </c>
      <c r="E323" s="6" t="s">
        <v>171</v>
      </c>
      <c r="F323" s="6"/>
      <c r="G323" s="6">
        <v>1</v>
      </c>
      <c r="H323" s="6">
        <v>6</v>
      </c>
      <c r="I323" s="6"/>
    </row>
    <row r="324" spans="1:9" hidden="1" x14ac:dyDescent="0.2">
      <c r="A324" s="8" t="s">
        <v>8</v>
      </c>
      <c r="B324" s="5"/>
      <c r="C324" s="75"/>
      <c r="D324" s="6"/>
      <c r="E324" s="6"/>
      <c r="F324" s="6"/>
      <c r="G324" s="6"/>
      <c r="H324" s="6"/>
      <c r="I324" s="6"/>
    </row>
    <row r="325" spans="1:9" hidden="1" x14ac:dyDescent="0.2">
      <c r="A325" s="8" t="s">
        <v>9</v>
      </c>
      <c r="B325" s="5"/>
      <c r="C325" s="75"/>
      <c r="D325" s="6"/>
      <c r="E325" s="6"/>
      <c r="F325" s="6"/>
      <c r="G325" s="6"/>
      <c r="H325" s="6"/>
      <c r="I325" s="6"/>
    </row>
    <row r="326" spans="1:9" x14ac:dyDescent="0.2">
      <c r="A326" s="312" t="s">
        <v>10</v>
      </c>
      <c r="B326" s="313"/>
      <c r="C326" s="313"/>
      <c r="D326" s="313"/>
      <c r="E326" s="314"/>
      <c r="F326" s="11">
        <f>SUM(F316:F325)</f>
        <v>6</v>
      </c>
      <c r="G326" s="11">
        <f>SUM(G316:G325)</f>
        <v>2</v>
      </c>
      <c r="H326" s="11">
        <f>SUM(H316:H325)</f>
        <v>43</v>
      </c>
      <c r="I326" s="11"/>
    </row>
    <row r="327" spans="1:9" x14ac:dyDescent="0.2">
      <c r="A327" s="8" t="s">
        <v>0</v>
      </c>
      <c r="B327" s="5">
        <f>B316+1</f>
        <v>46134</v>
      </c>
      <c r="C327" s="74" t="s">
        <v>1475</v>
      </c>
      <c r="D327" s="6" t="s">
        <v>211</v>
      </c>
      <c r="E327" s="6" t="s">
        <v>165</v>
      </c>
      <c r="F327" s="6">
        <v>1</v>
      </c>
      <c r="G327" s="6"/>
      <c r="H327" s="6">
        <v>6</v>
      </c>
      <c r="I327" s="6"/>
    </row>
    <row r="328" spans="1:9" x14ac:dyDescent="0.2">
      <c r="A328" s="8" t="s">
        <v>1</v>
      </c>
      <c r="B328" s="5"/>
      <c r="C328" s="74" t="s">
        <v>1476</v>
      </c>
      <c r="D328" s="6" t="s">
        <v>211</v>
      </c>
      <c r="E328" s="6" t="s">
        <v>171</v>
      </c>
      <c r="F328" s="6">
        <v>1</v>
      </c>
      <c r="G328" s="6"/>
      <c r="H328" s="6">
        <v>6</v>
      </c>
      <c r="I328" s="6"/>
    </row>
    <row r="329" spans="1:9" x14ac:dyDescent="0.2">
      <c r="A329" s="8" t="s">
        <v>2</v>
      </c>
      <c r="B329" s="5"/>
      <c r="C329" s="74" t="s">
        <v>1477</v>
      </c>
      <c r="D329" s="6" t="s">
        <v>170</v>
      </c>
      <c r="E329" s="6" t="s">
        <v>171</v>
      </c>
      <c r="F329" s="6">
        <v>1</v>
      </c>
      <c r="G329" s="6"/>
      <c r="H329" s="6">
        <v>6</v>
      </c>
      <c r="I329" s="6"/>
    </row>
    <row r="330" spans="1:9" x14ac:dyDescent="0.2">
      <c r="A330" s="8" t="s">
        <v>3</v>
      </c>
      <c r="B330" s="5"/>
      <c r="C330" s="74" t="s">
        <v>1479</v>
      </c>
      <c r="D330" s="6" t="s">
        <v>170</v>
      </c>
      <c r="E330" s="6" t="s">
        <v>171</v>
      </c>
      <c r="F330" s="6">
        <v>1</v>
      </c>
      <c r="G330" s="6"/>
      <c r="H330" s="6">
        <v>6</v>
      </c>
      <c r="I330" s="6"/>
    </row>
    <row r="331" spans="1:9" x14ac:dyDescent="0.2">
      <c r="A331" s="8" t="s">
        <v>4</v>
      </c>
      <c r="B331" s="5"/>
      <c r="C331" s="74" t="s">
        <v>1480</v>
      </c>
      <c r="D331" s="6" t="s">
        <v>332</v>
      </c>
      <c r="E331" s="6" t="s">
        <v>168</v>
      </c>
      <c r="F331" s="6">
        <v>1</v>
      </c>
      <c r="G331" s="6"/>
      <c r="H331" s="6">
        <v>5</v>
      </c>
      <c r="I331" s="6"/>
    </row>
    <row r="332" spans="1:9" hidden="1" x14ac:dyDescent="0.2">
      <c r="A332" s="8" t="s">
        <v>5</v>
      </c>
      <c r="B332" s="5"/>
      <c r="C332" s="74"/>
      <c r="D332" s="6"/>
      <c r="E332" s="6"/>
      <c r="F332" s="6"/>
      <c r="G332" s="6"/>
      <c r="H332" s="6"/>
      <c r="I332" s="6"/>
    </row>
    <row r="333" spans="1:9" hidden="1" x14ac:dyDescent="0.2">
      <c r="A333" s="8" t="s">
        <v>6</v>
      </c>
      <c r="B333" s="5"/>
      <c r="C333" s="74"/>
      <c r="D333" s="6"/>
      <c r="E333" s="6"/>
      <c r="F333" s="6"/>
      <c r="G333" s="6"/>
      <c r="H333" s="6"/>
      <c r="I333" s="6"/>
    </row>
    <row r="334" spans="1:9" hidden="1" x14ac:dyDescent="0.2">
      <c r="A334" s="8" t="s">
        <v>7</v>
      </c>
      <c r="B334" s="5"/>
      <c r="C334" s="74"/>
      <c r="D334" s="6"/>
      <c r="E334" s="6"/>
      <c r="F334" s="6"/>
      <c r="G334" s="6"/>
      <c r="H334" s="6"/>
      <c r="I334" s="6"/>
    </row>
    <row r="335" spans="1:9" hidden="1" x14ac:dyDescent="0.2">
      <c r="A335" s="8" t="s">
        <v>8</v>
      </c>
      <c r="B335" s="5"/>
      <c r="C335" s="74"/>
      <c r="D335" s="6"/>
      <c r="E335" s="6"/>
      <c r="F335" s="6"/>
      <c r="G335" s="6"/>
      <c r="H335" s="6"/>
      <c r="I335" s="6"/>
    </row>
    <row r="336" spans="1:9" hidden="1" x14ac:dyDescent="0.2">
      <c r="A336" s="8" t="s">
        <v>9</v>
      </c>
      <c r="B336" s="5"/>
      <c r="C336" s="74"/>
      <c r="D336" s="6"/>
      <c r="E336" s="6"/>
      <c r="F336" s="6"/>
      <c r="G336" s="6"/>
      <c r="H336" s="6"/>
      <c r="I336" s="6"/>
    </row>
    <row r="337" spans="1:9" x14ac:dyDescent="0.2">
      <c r="A337" s="312" t="s">
        <v>10</v>
      </c>
      <c r="B337" s="313"/>
      <c r="C337" s="313"/>
      <c r="D337" s="313"/>
      <c r="E337" s="314"/>
      <c r="F337" s="11">
        <f>SUM(F327:F336)</f>
        <v>5</v>
      </c>
      <c r="G337" s="11">
        <f>SUM(G327:G336)</f>
        <v>0</v>
      </c>
      <c r="H337" s="11">
        <f>SUM(H327:H336)</f>
        <v>29</v>
      </c>
      <c r="I337" s="11"/>
    </row>
    <row r="338" spans="1:9" s="25" customFormat="1" ht="18" x14ac:dyDescent="0.2">
      <c r="A338" s="315" t="s">
        <v>39</v>
      </c>
      <c r="B338" s="316"/>
      <c r="C338" s="316"/>
      <c r="D338" s="316"/>
      <c r="E338" s="317"/>
      <c r="F338" s="22">
        <f>F269+F280+F292+F303+F315+F326+F337+F252</f>
        <v>99</v>
      </c>
      <c r="G338" s="22">
        <f>G269+G280+G292+G303+G315+G326+G337+G252</f>
        <v>21</v>
      </c>
      <c r="H338" s="22">
        <f>H269+H280+H292+H303+H315+H326+H337+H252</f>
        <v>660</v>
      </c>
      <c r="I338" s="22"/>
    </row>
    <row r="339" spans="1:9" ht="21.95" customHeight="1" x14ac:dyDescent="0.2">
      <c r="A339" s="319" t="s">
        <v>14</v>
      </c>
      <c r="B339" s="319"/>
      <c r="C339" s="319"/>
      <c r="D339" s="319"/>
      <c r="E339" s="319"/>
      <c r="F339" s="319"/>
      <c r="G339" s="319"/>
      <c r="H339" s="319"/>
      <c r="I339" s="319"/>
    </row>
    <row r="340" spans="1:9" s="53" customFormat="1" ht="20.100000000000001" customHeight="1" x14ac:dyDescent="0.2">
      <c r="A340" s="323" t="s">
        <v>86</v>
      </c>
      <c r="B340" s="323"/>
      <c r="C340" s="323"/>
      <c r="D340" s="323"/>
      <c r="E340" s="323"/>
      <c r="F340" s="50" t="str">
        <f>F254</f>
        <v>เมษายน</v>
      </c>
      <c r="G340" s="50" t="s">
        <v>87</v>
      </c>
      <c r="H340" s="51">
        <f>H254</f>
        <v>2569</v>
      </c>
      <c r="I340" s="52"/>
    </row>
    <row r="341" spans="1:9" s="3" customFormat="1" ht="20.100000000000001" customHeight="1" x14ac:dyDescent="0.35">
      <c r="A341" s="318" t="s">
        <v>37</v>
      </c>
      <c r="B341" s="318"/>
      <c r="C341" s="318"/>
      <c r="D341" s="2"/>
      <c r="F341" s="4"/>
      <c r="G341" s="4"/>
      <c r="H341" s="4" t="s">
        <v>21</v>
      </c>
      <c r="I341" s="40">
        <f>I255+1</f>
        <v>5</v>
      </c>
    </row>
    <row r="342" spans="1:9" s="3" customFormat="1" ht="20.100000000000001" customHeight="1" x14ac:dyDescent="0.35">
      <c r="A342" s="311" t="s">
        <v>80</v>
      </c>
      <c r="B342" s="311"/>
      <c r="C342" s="311"/>
      <c r="D342" s="2"/>
      <c r="E342" s="39" t="s">
        <v>81</v>
      </c>
      <c r="F342" s="308">
        <f>F256</f>
        <v>46107</v>
      </c>
      <c r="G342" s="308"/>
      <c r="H342" s="39" t="s">
        <v>82</v>
      </c>
      <c r="I342" s="34">
        <f>I256</f>
        <v>46136</v>
      </c>
    </row>
    <row r="343" spans="1:9" x14ac:dyDescent="0.2">
      <c r="A343" s="12" t="s">
        <v>23</v>
      </c>
      <c r="B343" s="13" t="s">
        <v>11</v>
      </c>
      <c r="C343" s="72" t="s">
        <v>26</v>
      </c>
      <c r="D343" s="12" t="s">
        <v>16</v>
      </c>
      <c r="E343" s="12" t="s">
        <v>17</v>
      </c>
      <c r="F343" s="310" t="s">
        <v>46</v>
      </c>
      <c r="G343" s="310"/>
      <c r="H343" s="310"/>
      <c r="I343" s="12" t="s">
        <v>19</v>
      </c>
    </row>
    <row r="344" spans="1:9" x14ac:dyDescent="0.2">
      <c r="A344" s="15"/>
      <c r="B344" s="16"/>
      <c r="C344" s="73"/>
      <c r="D344" s="15"/>
      <c r="E344" s="15"/>
      <c r="F344" s="21" t="s">
        <v>113</v>
      </c>
      <c r="G344" s="21" t="s">
        <v>114</v>
      </c>
      <c r="H344" s="21" t="s">
        <v>20</v>
      </c>
      <c r="I344" s="15"/>
    </row>
    <row r="345" spans="1:9" x14ac:dyDescent="0.2">
      <c r="A345" s="8" t="s">
        <v>0</v>
      </c>
      <c r="B345" s="5">
        <f>B327+1</f>
        <v>46135</v>
      </c>
      <c r="C345" s="74" t="s">
        <v>1540</v>
      </c>
      <c r="D345" s="6" t="s">
        <v>178</v>
      </c>
      <c r="E345" s="6" t="s">
        <v>165</v>
      </c>
      <c r="F345" s="6">
        <v>1</v>
      </c>
      <c r="G345" s="6"/>
      <c r="H345" s="6">
        <v>6</v>
      </c>
      <c r="I345" s="6"/>
    </row>
    <row r="346" spans="1:9" x14ac:dyDescent="0.2">
      <c r="A346" s="8" t="s">
        <v>1</v>
      </c>
      <c r="B346" s="5"/>
      <c r="C346" s="74" t="s">
        <v>1541</v>
      </c>
      <c r="D346" s="6" t="s">
        <v>188</v>
      </c>
      <c r="E346" s="6" t="s">
        <v>165</v>
      </c>
      <c r="F346" s="6">
        <v>1</v>
      </c>
      <c r="G346" s="6"/>
      <c r="H346" s="6">
        <v>6</v>
      </c>
      <c r="I346" s="6"/>
    </row>
    <row r="347" spans="1:9" x14ac:dyDescent="0.2">
      <c r="A347" s="8" t="s">
        <v>2</v>
      </c>
      <c r="B347" s="5"/>
      <c r="C347" s="74" t="s">
        <v>1542</v>
      </c>
      <c r="D347" s="6" t="s">
        <v>211</v>
      </c>
      <c r="E347" s="6" t="s">
        <v>165</v>
      </c>
      <c r="F347" s="6">
        <v>1</v>
      </c>
      <c r="G347" s="6"/>
      <c r="H347" s="6">
        <v>6</v>
      </c>
      <c r="I347" s="6"/>
    </row>
    <row r="348" spans="1:9" x14ac:dyDescent="0.2">
      <c r="A348" s="8" t="s">
        <v>3</v>
      </c>
      <c r="B348" s="5"/>
      <c r="C348" s="74" t="s">
        <v>1497</v>
      </c>
      <c r="D348" s="6" t="s">
        <v>188</v>
      </c>
      <c r="E348" s="6" t="s">
        <v>165</v>
      </c>
      <c r="F348" s="6">
        <v>1</v>
      </c>
      <c r="G348" s="6"/>
      <c r="H348" s="6">
        <v>6</v>
      </c>
      <c r="I348" s="6"/>
    </row>
    <row r="349" spans="1:9" x14ac:dyDescent="0.2">
      <c r="A349" s="8" t="s">
        <v>4</v>
      </c>
      <c r="B349" s="5"/>
      <c r="C349" s="74" t="s">
        <v>1504</v>
      </c>
      <c r="D349" s="6" t="s">
        <v>170</v>
      </c>
      <c r="E349" s="6" t="s">
        <v>165</v>
      </c>
      <c r="F349" s="6">
        <v>1</v>
      </c>
      <c r="G349" s="6"/>
      <c r="H349" s="6">
        <v>6</v>
      </c>
      <c r="I349" s="6"/>
    </row>
    <row r="350" spans="1:9" x14ac:dyDescent="0.2">
      <c r="A350" s="8" t="s">
        <v>5</v>
      </c>
      <c r="B350" s="5"/>
      <c r="C350" s="74" t="s">
        <v>1543</v>
      </c>
      <c r="D350" s="6" t="s">
        <v>188</v>
      </c>
      <c r="E350" s="6" t="s">
        <v>165</v>
      </c>
      <c r="F350" s="6">
        <v>1</v>
      </c>
      <c r="G350" s="6"/>
      <c r="H350" s="6">
        <v>6</v>
      </c>
      <c r="I350" s="6"/>
    </row>
    <row r="351" spans="1:9" x14ac:dyDescent="0.2">
      <c r="A351" s="8" t="s">
        <v>6</v>
      </c>
      <c r="B351" s="5"/>
      <c r="C351" s="74" t="s">
        <v>1544</v>
      </c>
      <c r="D351" s="6" t="s">
        <v>170</v>
      </c>
      <c r="E351" s="6" t="s">
        <v>165</v>
      </c>
      <c r="F351" s="6"/>
      <c r="G351" s="6">
        <v>1</v>
      </c>
      <c r="H351" s="6">
        <v>6</v>
      </c>
      <c r="I351" s="6"/>
    </row>
    <row r="352" spans="1:9" x14ac:dyDescent="0.2">
      <c r="A352" s="8" t="s">
        <v>7</v>
      </c>
      <c r="B352" s="5"/>
      <c r="C352" s="74" t="s">
        <v>1545</v>
      </c>
      <c r="D352" s="6" t="s">
        <v>579</v>
      </c>
      <c r="E352" s="6" t="s">
        <v>168</v>
      </c>
      <c r="F352" s="6"/>
      <c r="G352" s="6">
        <v>1</v>
      </c>
      <c r="H352" s="6">
        <v>5</v>
      </c>
      <c r="I352" s="6"/>
    </row>
    <row r="353" spans="1:9" hidden="1" x14ac:dyDescent="0.2">
      <c r="A353" s="8" t="s">
        <v>8</v>
      </c>
      <c r="B353" s="5"/>
      <c r="C353" s="74"/>
      <c r="D353" s="6"/>
      <c r="E353" s="6"/>
      <c r="F353" s="6"/>
      <c r="G353" s="6"/>
      <c r="H353" s="6"/>
      <c r="I353" s="6"/>
    </row>
    <row r="354" spans="1:9" hidden="1" x14ac:dyDescent="0.2">
      <c r="A354" s="8" t="s">
        <v>9</v>
      </c>
      <c r="B354" s="5"/>
      <c r="C354" s="74"/>
      <c r="D354" s="6"/>
      <c r="E354" s="6"/>
      <c r="F354" s="6"/>
      <c r="G354" s="6"/>
      <c r="H354" s="6"/>
      <c r="I354" s="6"/>
    </row>
    <row r="355" spans="1:9" x14ac:dyDescent="0.2">
      <c r="A355" s="312" t="s">
        <v>10</v>
      </c>
      <c r="B355" s="313"/>
      <c r="C355" s="313"/>
      <c r="D355" s="313"/>
      <c r="E355" s="314"/>
      <c r="F355" s="11">
        <f>SUM(F345:F354)</f>
        <v>6</v>
      </c>
      <c r="G355" s="11">
        <f>SUM(G345:G354)</f>
        <v>2</v>
      </c>
      <c r="H355" s="11">
        <f>SUM(H345:H354)</f>
        <v>47</v>
      </c>
      <c r="I355" s="11"/>
    </row>
    <row r="356" spans="1:9" x14ac:dyDescent="0.2">
      <c r="A356" s="8" t="s">
        <v>0</v>
      </c>
      <c r="B356" s="5">
        <f>B345+1</f>
        <v>46136</v>
      </c>
      <c r="C356" s="74" t="s">
        <v>1621</v>
      </c>
      <c r="D356" s="6" t="s">
        <v>170</v>
      </c>
      <c r="E356" s="6" t="s">
        <v>171</v>
      </c>
      <c r="F356" s="6">
        <v>1</v>
      </c>
      <c r="G356" s="6"/>
      <c r="H356" s="6">
        <v>6</v>
      </c>
      <c r="I356" s="6"/>
    </row>
    <row r="357" spans="1:9" x14ac:dyDescent="0.2">
      <c r="A357" s="8" t="s">
        <v>1</v>
      </c>
      <c r="B357" s="5"/>
      <c r="C357" s="74" t="s">
        <v>1622</v>
      </c>
      <c r="D357" s="6" t="s">
        <v>170</v>
      </c>
      <c r="E357" s="6" t="s">
        <v>171</v>
      </c>
      <c r="F357" s="6">
        <v>1</v>
      </c>
      <c r="G357" s="6"/>
      <c r="H357" s="6">
        <v>6</v>
      </c>
      <c r="I357" s="6"/>
    </row>
    <row r="358" spans="1:9" x14ac:dyDescent="0.2">
      <c r="A358" s="8" t="s">
        <v>2</v>
      </c>
      <c r="B358" s="5"/>
      <c r="C358" s="74" t="s">
        <v>1623</v>
      </c>
      <c r="D358" s="6" t="s">
        <v>170</v>
      </c>
      <c r="E358" s="6" t="s">
        <v>171</v>
      </c>
      <c r="F358" s="6">
        <v>1</v>
      </c>
      <c r="G358" s="6"/>
      <c r="H358" s="6">
        <v>6</v>
      </c>
      <c r="I358" s="6"/>
    </row>
    <row r="359" spans="1:9" x14ac:dyDescent="0.2">
      <c r="A359" s="8" t="s">
        <v>3</v>
      </c>
      <c r="B359" s="5"/>
      <c r="C359" s="74" t="s">
        <v>1609</v>
      </c>
      <c r="D359" s="6" t="s">
        <v>170</v>
      </c>
      <c r="E359" s="6" t="s">
        <v>171</v>
      </c>
      <c r="F359" s="6">
        <v>1</v>
      </c>
      <c r="G359" s="6"/>
      <c r="H359" s="6">
        <v>6</v>
      </c>
      <c r="I359" s="6"/>
    </row>
    <row r="360" spans="1:9" x14ac:dyDescent="0.2">
      <c r="A360" s="8" t="s">
        <v>4</v>
      </c>
      <c r="B360" s="5"/>
      <c r="C360" s="74" t="s">
        <v>1614</v>
      </c>
      <c r="D360" s="6" t="s">
        <v>211</v>
      </c>
      <c r="E360" s="6" t="s">
        <v>165</v>
      </c>
      <c r="F360" s="6">
        <v>1</v>
      </c>
      <c r="G360" s="6"/>
      <c r="H360" s="6">
        <v>5</v>
      </c>
      <c r="I360" s="6"/>
    </row>
    <row r="361" spans="1:9" x14ac:dyDescent="0.2">
      <c r="A361" s="8" t="s">
        <v>5</v>
      </c>
      <c r="B361" s="5"/>
      <c r="C361" s="74" t="s">
        <v>1624</v>
      </c>
      <c r="D361" s="6" t="s">
        <v>170</v>
      </c>
      <c r="E361" s="6" t="s">
        <v>171</v>
      </c>
      <c r="F361" s="6">
        <v>1</v>
      </c>
      <c r="G361" s="6"/>
      <c r="H361" s="6">
        <v>6</v>
      </c>
      <c r="I361" s="6"/>
    </row>
    <row r="362" spans="1:9" x14ac:dyDescent="0.2">
      <c r="A362" s="8" t="s">
        <v>6</v>
      </c>
      <c r="B362" s="5"/>
      <c r="C362" s="74" t="s">
        <v>1626</v>
      </c>
      <c r="D362" s="6" t="s">
        <v>253</v>
      </c>
      <c r="E362" s="6" t="s">
        <v>596</v>
      </c>
      <c r="F362" s="6"/>
      <c r="G362" s="6">
        <v>1</v>
      </c>
      <c r="H362" s="6">
        <v>6</v>
      </c>
      <c r="I362" s="6"/>
    </row>
    <row r="363" spans="1:9" hidden="1" x14ac:dyDescent="0.2">
      <c r="A363" s="8" t="s">
        <v>7</v>
      </c>
      <c r="B363" s="5"/>
      <c r="C363" s="74"/>
      <c r="D363" s="6"/>
      <c r="E363" s="6"/>
      <c r="F363" s="6"/>
      <c r="G363" s="6"/>
      <c r="H363" s="6"/>
      <c r="I363" s="6"/>
    </row>
    <row r="364" spans="1:9" hidden="1" x14ac:dyDescent="0.2">
      <c r="A364" s="8" t="s">
        <v>8</v>
      </c>
      <c r="B364" s="5"/>
      <c r="C364" s="74"/>
      <c r="D364" s="6"/>
      <c r="E364" s="6"/>
      <c r="F364" s="6"/>
      <c r="G364" s="6"/>
      <c r="H364" s="6"/>
      <c r="I364" s="6"/>
    </row>
    <row r="365" spans="1:9" hidden="1" x14ac:dyDescent="0.2">
      <c r="A365" s="8" t="s">
        <v>9</v>
      </c>
      <c r="B365" s="5"/>
      <c r="C365" s="74"/>
      <c r="D365" s="6"/>
      <c r="E365" s="6"/>
      <c r="F365" s="6"/>
      <c r="G365" s="6"/>
      <c r="H365" s="6"/>
      <c r="I365" s="6"/>
    </row>
    <row r="366" spans="1:9" x14ac:dyDescent="0.2">
      <c r="A366" s="312" t="s">
        <v>10</v>
      </c>
      <c r="B366" s="313"/>
      <c r="C366" s="313"/>
      <c r="D366" s="313"/>
      <c r="E366" s="314"/>
      <c r="F366" s="11">
        <f>SUM(F356:F365)</f>
        <v>6</v>
      </c>
      <c r="G366" s="11">
        <f>SUM(G356:G365)</f>
        <v>1</v>
      </c>
      <c r="H366" s="11">
        <f>SUM(H356:H365)</f>
        <v>41</v>
      </c>
      <c r="I366" s="11"/>
    </row>
    <row r="367" spans="1:9" hidden="1" x14ac:dyDescent="0.2">
      <c r="A367" s="8" t="s">
        <v>0</v>
      </c>
      <c r="B367" s="5">
        <f>B356+1</f>
        <v>46137</v>
      </c>
      <c r="C367" s="74"/>
      <c r="D367" s="6"/>
      <c r="E367" s="6"/>
      <c r="F367" s="6"/>
      <c r="G367" s="6"/>
      <c r="H367" s="6"/>
      <c r="I367" s="6"/>
    </row>
    <row r="368" spans="1:9" hidden="1" x14ac:dyDescent="0.2">
      <c r="A368" s="8" t="s">
        <v>1</v>
      </c>
      <c r="B368" s="5"/>
      <c r="C368" s="74"/>
      <c r="D368" s="6"/>
      <c r="E368" s="6"/>
      <c r="F368" s="6"/>
      <c r="G368" s="6"/>
      <c r="H368" s="6"/>
      <c r="I368" s="6"/>
    </row>
    <row r="369" spans="1:9" hidden="1" x14ac:dyDescent="0.2">
      <c r="A369" s="8" t="s">
        <v>2</v>
      </c>
      <c r="B369" s="5"/>
      <c r="C369" s="74"/>
      <c r="D369" s="6"/>
      <c r="E369" s="6"/>
      <c r="F369" s="6"/>
      <c r="G369" s="6"/>
      <c r="H369" s="6"/>
      <c r="I369" s="6"/>
    </row>
    <row r="370" spans="1:9" hidden="1" x14ac:dyDescent="0.2">
      <c r="A370" s="8" t="s">
        <v>3</v>
      </c>
      <c r="B370" s="5"/>
      <c r="C370" s="74"/>
      <c r="D370" s="6"/>
      <c r="E370" s="6"/>
      <c r="F370" s="6"/>
      <c r="G370" s="6"/>
      <c r="H370" s="6"/>
      <c r="I370" s="6"/>
    </row>
    <row r="371" spans="1:9" hidden="1" x14ac:dyDescent="0.2">
      <c r="A371" s="8" t="s">
        <v>4</v>
      </c>
      <c r="B371" s="5"/>
      <c r="C371" s="74"/>
      <c r="D371" s="6"/>
      <c r="E371" s="6"/>
      <c r="F371" s="6"/>
      <c r="G371" s="6"/>
      <c r="H371" s="6"/>
      <c r="I371" s="6"/>
    </row>
    <row r="372" spans="1:9" hidden="1" x14ac:dyDescent="0.2">
      <c r="A372" s="8" t="s">
        <v>5</v>
      </c>
      <c r="B372" s="5"/>
      <c r="C372" s="74"/>
      <c r="D372" s="6"/>
      <c r="E372" s="6"/>
      <c r="F372" s="6"/>
      <c r="G372" s="6"/>
      <c r="H372" s="6"/>
      <c r="I372" s="6"/>
    </row>
    <row r="373" spans="1:9" hidden="1" x14ac:dyDescent="0.2">
      <c r="A373" s="8" t="s">
        <v>6</v>
      </c>
      <c r="B373" s="5"/>
      <c r="C373" s="74"/>
      <c r="D373" s="6"/>
      <c r="E373" s="6"/>
      <c r="F373" s="6"/>
      <c r="G373" s="6"/>
      <c r="H373" s="6"/>
      <c r="I373" s="6"/>
    </row>
    <row r="374" spans="1:9" hidden="1" x14ac:dyDescent="0.2">
      <c r="A374" s="8" t="s">
        <v>7</v>
      </c>
      <c r="B374" s="5"/>
      <c r="C374" s="74"/>
      <c r="D374" s="6"/>
      <c r="E374" s="6"/>
      <c r="F374" s="6"/>
      <c r="G374" s="6"/>
      <c r="H374" s="6"/>
      <c r="I374" s="6"/>
    </row>
    <row r="375" spans="1:9" hidden="1" x14ac:dyDescent="0.2">
      <c r="A375" s="8" t="s">
        <v>8</v>
      </c>
      <c r="B375" s="5"/>
      <c r="C375" s="74"/>
      <c r="D375" s="6"/>
      <c r="E375" s="6"/>
      <c r="F375" s="6"/>
      <c r="G375" s="6"/>
      <c r="H375" s="6"/>
      <c r="I375" s="6"/>
    </row>
    <row r="376" spans="1:9" hidden="1" x14ac:dyDescent="0.2">
      <c r="A376" s="8" t="s">
        <v>9</v>
      </c>
      <c r="B376" s="5"/>
      <c r="C376" s="74"/>
      <c r="D376" s="6"/>
      <c r="E376" s="6"/>
      <c r="F376" s="6"/>
      <c r="G376" s="6"/>
      <c r="H376" s="6"/>
      <c r="I376" s="6"/>
    </row>
    <row r="377" spans="1:9" hidden="1" x14ac:dyDescent="0.2">
      <c r="A377" s="312" t="s">
        <v>10</v>
      </c>
      <c r="B377" s="313"/>
      <c r="C377" s="313"/>
      <c r="D377" s="313"/>
      <c r="E377" s="314"/>
      <c r="F377" s="11">
        <f>SUM(F367:F376)</f>
        <v>0</v>
      </c>
      <c r="G377" s="11">
        <f>SUM(G367:G376)</f>
        <v>0</v>
      </c>
      <c r="H377" s="11">
        <f>SUM(H367:H376)</f>
        <v>0</v>
      </c>
      <c r="I377" s="11"/>
    </row>
    <row r="378" spans="1:9" hidden="1" x14ac:dyDescent="0.2">
      <c r="A378" s="8" t="s">
        <v>0</v>
      </c>
      <c r="B378" s="5">
        <f>B367+1</f>
        <v>46138</v>
      </c>
      <c r="C378" s="75"/>
      <c r="D378" s="6"/>
      <c r="E378" s="6"/>
      <c r="F378" s="6"/>
      <c r="G378" s="6"/>
      <c r="H378" s="6"/>
      <c r="I378" s="6"/>
    </row>
    <row r="379" spans="1:9" hidden="1" x14ac:dyDescent="0.2">
      <c r="A379" s="8" t="s">
        <v>1</v>
      </c>
      <c r="B379" s="5"/>
      <c r="C379" s="75"/>
      <c r="D379" s="6"/>
      <c r="E379" s="6"/>
      <c r="F379" s="6"/>
      <c r="G379" s="6"/>
      <c r="H379" s="6"/>
      <c r="I379" s="6"/>
    </row>
    <row r="380" spans="1:9" hidden="1" x14ac:dyDescent="0.2">
      <c r="A380" s="8" t="s">
        <v>2</v>
      </c>
      <c r="B380" s="5"/>
      <c r="C380" s="75"/>
      <c r="D380" s="6"/>
      <c r="E380" s="6"/>
      <c r="F380" s="6"/>
      <c r="G380" s="6"/>
      <c r="H380" s="6"/>
      <c r="I380" s="6"/>
    </row>
    <row r="381" spans="1:9" hidden="1" x14ac:dyDescent="0.2">
      <c r="A381" s="8" t="s">
        <v>3</v>
      </c>
      <c r="B381" s="5"/>
      <c r="C381" s="75"/>
      <c r="D381" s="6"/>
      <c r="E381" s="6"/>
      <c r="F381" s="6"/>
      <c r="G381" s="6"/>
      <c r="H381" s="6"/>
      <c r="I381" s="6"/>
    </row>
    <row r="382" spans="1:9" hidden="1" x14ac:dyDescent="0.2">
      <c r="A382" s="8" t="s">
        <v>4</v>
      </c>
      <c r="B382" s="5"/>
      <c r="C382" s="75"/>
      <c r="D382" s="6"/>
      <c r="E382" s="6"/>
      <c r="F382" s="6"/>
      <c r="G382" s="6"/>
      <c r="H382" s="6"/>
      <c r="I382" s="6"/>
    </row>
    <row r="383" spans="1:9" hidden="1" x14ac:dyDescent="0.2">
      <c r="A383" s="8" t="s">
        <v>5</v>
      </c>
      <c r="B383" s="5"/>
      <c r="C383" s="75"/>
      <c r="D383" s="6"/>
      <c r="E383" s="6"/>
      <c r="F383" s="6"/>
      <c r="G383" s="6"/>
      <c r="H383" s="6"/>
      <c r="I383" s="6"/>
    </row>
    <row r="384" spans="1:9" hidden="1" x14ac:dyDescent="0.2">
      <c r="A384" s="8" t="s">
        <v>6</v>
      </c>
      <c r="B384" s="5"/>
      <c r="C384" s="75"/>
      <c r="D384" s="6"/>
      <c r="E384" s="6"/>
      <c r="F384" s="6"/>
      <c r="G384" s="6"/>
      <c r="H384" s="6"/>
      <c r="I384" s="6"/>
    </row>
    <row r="385" spans="1:9" hidden="1" x14ac:dyDescent="0.2">
      <c r="A385" s="8" t="s">
        <v>7</v>
      </c>
      <c r="B385" s="5"/>
      <c r="C385" s="74"/>
      <c r="D385" s="6"/>
      <c r="E385" s="6"/>
      <c r="F385" s="6"/>
      <c r="G385" s="6"/>
      <c r="H385" s="6"/>
      <c r="I385" s="6"/>
    </row>
    <row r="386" spans="1:9" hidden="1" x14ac:dyDescent="0.2">
      <c r="A386" s="8" t="s">
        <v>8</v>
      </c>
      <c r="B386" s="5"/>
      <c r="C386" s="74"/>
      <c r="D386" s="6"/>
      <c r="E386" s="6"/>
      <c r="F386" s="6"/>
      <c r="G386" s="6"/>
      <c r="H386" s="6"/>
      <c r="I386" s="6"/>
    </row>
    <row r="387" spans="1:9" hidden="1" x14ac:dyDescent="0.2">
      <c r="A387" s="8" t="s">
        <v>9</v>
      </c>
      <c r="B387" s="5"/>
      <c r="C387" s="74"/>
      <c r="D387" s="6"/>
      <c r="E387" s="6"/>
      <c r="F387" s="6"/>
      <c r="G387" s="6"/>
      <c r="H387" s="6"/>
      <c r="I387" s="6"/>
    </row>
    <row r="388" spans="1:9" hidden="1" x14ac:dyDescent="0.2">
      <c r="A388" s="312" t="s">
        <v>10</v>
      </c>
      <c r="B388" s="313"/>
      <c r="C388" s="313"/>
      <c r="D388" s="313"/>
      <c r="E388" s="314"/>
      <c r="F388" s="11">
        <f>SUM(F378:F387)</f>
        <v>0</v>
      </c>
      <c r="G388" s="11">
        <f>SUM(G378:G387)</f>
        <v>0</v>
      </c>
      <c r="H388" s="11">
        <f>SUM(H378:H387)</f>
        <v>0</v>
      </c>
      <c r="I388" s="11"/>
    </row>
    <row r="389" spans="1:9" hidden="1" x14ac:dyDescent="0.2">
      <c r="A389" s="8" t="s">
        <v>0</v>
      </c>
      <c r="B389" s="5"/>
      <c r="C389" s="75"/>
      <c r="D389" s="6"/>
      <c r="E389" s="6"/>
      <c r="F389" s="6"/>
      <c r="G389" s="6"/>
      <c r="H389" s="6"/>
      <c r="I389" s="6"/>
    </row>
    <row r="390" spans="1:9" hidden="1" x14ac:dyDescent="0.2">
      <c r="A390" s="8" t="s">
        <v>1</v>
      </c>
      <c r="B390" s="5"/>
      <c r="C390" s="75"/>
      <c r="D390" s="6"/>
      <c r="E390" s="6"/>
      <c r="F390" s="6"/>
      <c r="G390" s="6"/>
      <c r="H390" s="6"/>
      <c r="I390" s="6"/>
    </row>
    <row r="391" spans="1:9" hidden="1" x14ac:dyDescent="0.2">
      <c r="A391" s="8" t="s">
        <v>2</v>
      </c>
      <c r="B391" s="5"/>
      <c r="C391" s="75"/>
      <c r="D391" s="6"/>
      <c r="E391" s="6"/>
      <c r="F391" s="6"/>
      <c r="G391" s="6"/>
      <c r="H391" s="6"/>
      <c r="I391" s="6"/>
    </row>
    <row r="392" spans="1:9" hidden="1" x14ac:dyDescent="0.2">
      <c r="A392" s="8" t="s">
        <v>3</v>
      </c>
      <c r="B392" s="5"/>
      <c r="C392" s="75"/>
      <c r="D392" s="6"/>
      <c r="E392" s="6"/>
      <c r="F392" s="6"/>
      <c r="G392" s="6"/>
      <c r="H392" s="6"/>
      <c r="I392" s="6"/>
    </row>
    <row r="393" spans="1:9" hidden="1" x14ac:dyDescent="0.2">
      <c r="A393" s="8" t="s">
        <v>4</v>
      </c>
      <c r="B393" s="5"/>
      <c r="C393" s="75"/>
      <c r="D393" s="6"/>
      <c r="E393" s="6"/>
      <c r="F393" s="6"/>
      <c r="G393" s="6"/>
      <c r="H393" s="6"/>
      <c r="I393" s="6"/>
    </row>
    <row r="394" spans="1:9" hidden="1" x14ac:dyDescent="0.2">
      <c r="A394" s="8" t="s">
        <v>5</v>
      </c>
      <c r="B394" s="5"/>
      <c r="C394" s="75"/>
      <c r="D394" s="6"/>
      <c r="E394" s="6"/>
      <c r="F394" s="6"/>
      <c r="G394" s="6"/>
      <c r="H394" s="6"/>
      <c r="I394" s="6"/>
    </row>
    <row r="395" spans="1:9" hidden="1" x14ac:dyDescent="0.2">
      <c r="A395" s="8" t="s">
        <v>6</v>
      </c>
      <c r="B395" s="5"/>
      <c r="C395" s="74"/>
      <c r="D395" s="6"/>
      <c r="E395" s="6"/>
      <c r="F395" s="6"/>
      <c r="G395" s="6"/>
      <c r="H395" s="6"/>
      <c r="I395" s="6"/>
    </row>
    <row r="396" spans="1:9" hidden="1" x14ac:dyDescent="0.2">
      <c r="A396" s="8" t="s">
        <v>7</v>
      </c>
      <c r="B396" s="5"/>
      <c r="C396" s="74"/>
      <c r="D396" s="6"/>
      <c r="E396" s="6"/>
      <c r="F396" s="6"/>
      <c r="G396" s="6"/>
      <c r="H396" s="6"/>
      <c r="I396" s="6"/>
    </row>
    <row r="397" spans="1:9" hidden="1" x14ac:dyDescent="0.2">
      <c r="A397" s="8" t="s">
        <v>8</v>
      </c>
      <c r="B397" s="5"/>
      <c r="C397" s="74"/>
      <c r="D397" s="6"/>
      <c r="E397" s="6"/>
      <c r="F397" s="6"/>
      <c r="G397" s="6"/>
      <c r="H397" s="6"/>
      <c r="I397" s="6"/>
    </row>
    <row r="398" spans="1:9" hidden="1" x14ac:dyDescent="0.2">
      <c r="A398" s="8" t="s">
        <v>9</v>
      </c>
      <c r="B398" s="5"/>
      <c r="C398" s="74"/>
      <c r="D398" s="6"/>
      <c r="E398" s="6"/>
      <c r="F398" s="6"/>
      <c r="G398" s="6"/>
      <c r="H398" s="6"/>
      <c r="I398" s="6"/>
    </row>
    <row r="399" spans="1:9" hidden="1" x14ac:dyDescent="0.2">
      <c r="A399" s="312" t="s">
        <v>10</v>
      </c>
      <c r="B399" s="313"/>
      <c r="C399" s="313"/>
      <c r="D399" s="313"/>
      <c r="E399" s="314"/>
      <c r="F399" s="11">
        <f>SUM(F389:F398)</f>
        <v>0</v>
      </c>
      <c r="G399" s="11">
        <f>SUM(G389:G398)</f>
        <v>0</v>
      </c>
      <c r="H399" s="11">
        <f>SUM(H389:H398)</f>
        <v>0</v>
      </c>
      <c r="I399" s="11"/>
    </row>
    <row r="400" spans="1:9" hidden="1" x14ac:dyDescent="0.2">
      <c r="A400" s="8" t="s">
        <v>0</v>
      </c>
      <c r="B400" s="5"/>
      <c r="C400" s="75"/>
      <c r="D400" s="6"/>
      <c r="E400" s="6"/>
      <c r="F400" s="6"/>
      <c r="G400" s="6"/>
      <c r="H400" s="6"/>
      <c r="I400" s="6"/>
    </row>
    <row r="401" spans="1:9" hidden="1" x14ac:dyDescent="0.2">
      <c r="A401" s="8" t="s">
        <v>1</v>
      </c>
      <c r="B401" s="5"/>
      <c r="C401" s="75"/>
      <c r="D401" s="6"/>
      <c r="E401" s="6"/>
      <c r="F401" s="6"/>
      <c r="G401" s="6"/>
      <c r="H401" s="6"/>
      <c r="I401" s="6"/>
    </row>
    <row r="402" spans="1:9" hidden="1" x14ac:dyDescent="0.2">
      <c r="A402" s="8" t="s">
        <v>2</v>
      </c>
      <c r="B402" s="5"/>
      <c r="C402" s="75"/>
      <c r="D402" s="6"/>
      <c r="E402" s="6"/>
      <c r="F402" s="6"/>
      <c r="G402" s="6"/>
      <c r="H402" s="6"/>
      <c r="I402" s="6"/>
    </row>
    <row r="403" spans="1:9" hidden="1" x14ac:dyDescent="0.2">
      <c r="A403" s="8" t="s">
        <v>3</v>
      </c>
      <c r="B403" s="5"/>
      <c r="C403" s="75"/>
      <c r="D403" s="6"/>
      <c r="E403" s="6"/>
      <c r="F403" s="6"/>
      <c r="G403" s="6"/>
      <c r="H403" s="6"/>
      <c r="I403" s="6"/>
    </row>
    <row r="404" spans="1:9" hidden="1" x14ac:dyDescent="0.2">
      <c r="A404" s="8" t="s">
        <v>4</v>
      </c>
      <c r="B404" s="5"/>
      <c r="C404" s="75"/>
      <c r="D404" s="6"/>
      <c r="E404" s="6"/>
      <c r="F404" s="6"/>
      <c r="G404" s="6"/>
      <c r="H404" s="6"/>
      <c r="I404" s="6"/>
    </row>
    <row r="405" spans="1:9" hidden="1" x14ac:dyDescent="0.2">
      <c r="A405" s="8" t="s">
        <v>5</v>
      </c>
      <c r="B405" s="5"/>
      <c r="C405" s="75"/>
      <c r="D405" s="6"/>
      <c r="E405" s="6"/>
      <c r="F405" s="6"/>
      <c r="G405" s="6"/>
      <c r="H405" s="6"/>
      <c r="I405" s="6"/>
    </row>
    <row r="406" spans="1:9" hidden="1" x14ac:dyDescent="0.2">
      <c r="A406" s="8" t="s">
        <v>6</v>
      </c>
      <c r="B406" s="5"/>
      <c r="C406" s="75"/>
      <c r="D406" s="6"/>
      <c r="E406" s="6"/>
      <c r="F406" s="6"/>
      <c r="G406" s="6"/>
      <c r="H406" s="6"/>
      <c r="I406" s="6"/>
    </row>
    <row r="407" spans="1:9" hidden="1" x14ac:dyDescent="0.2">
      <c r="A407" s="8" t="s">
        <v>7</v>
      </c>
      <c r="B407" s="5"/>
      <c r="C407" s="75"/>
      <c r="D407" s="6"/>
      <c r="E407" s="6"/>
      <c r="F407" s="6"/>
      <c r="G407" s="6"/>
      <c r="H407" s="6"/>
      <c r="I407" s="6"/>
    </row>
    <row r="408" spans="1:9" hidden="1" x14ac:dyDescent="0.2">
      <c r="A408" s="8" t="s">
        <v>8</v>
      </c>
      <c r="B408" s="5"/>
      <c r="C408" s="75"/>
      <c r="D408" s="6"/>
      <c r="E408" s="6"/>
      <c r="F408" s="6"/>
      <c r="G408" s="6"/>
      <c r="H408" s="6"/>
      <c r="I408" s="6"/>
    </row>
    <row r="409" spans="1:9" hidden="1" x14ac:dyDescent="0.2">
      <c r="A409" s="8" t="s">
        <v>9</v>
      </c>
      <c r="B409" s="5"/>
      <c r="C409" s="75"/>
      <c r="D409" s="6"/>
      <c r="E409" s="6"/>
      <c r="F409" s="6"/>
      <c r="G409" s="6"/>
      <c r="H409" s="6"/>
      <c r="I409" s="6"/>
    </row>
    <row r="410" spans="1:9" hidden="1" x14ac:dyDescent="0.2">
      <c r="A410" s="312" t="s">
        <v>10</v>
      </c>
      <c r="B410" s="313"/>
      <c r="C410" s="313"/>
      <c r="D410" s="313"/>
      <c r="E410" s="314"/>
      <c r="F410" s="11">
        <f>SUM(F400:F409)</f>
        <v>0</v>
      </c>
      <c r="G410" s="11">
        <f>SUM(G400:G409)</f>
        <v>0</v>
      </c>
      <c r="H410" s="11">
        <f>SUM(H400:H409)</f>
        <v>0</v>
      </c>
      <c r="I410" s="11"/>
    </row>
    <row r="411" spans="1:9" hidden="1" x14ac:dyDescent="0.2">
      <c r="A411" s="8" t="s">
        <v>0</v>
      </c>
      <c r="B411" s="5"/>
      <c r="C411" s="74"/>
      <c r="D411" s="6"/>
      <c r="E411" s="6"/>
      <c r="F411" s="6"/>
      <c r="G411" s="6"/>
      <c r="H411" s="6"/>
      <c r="I411" s="6"/>
    </row>
    <row r="412" spans="1:9" hidden="1" x14ac:dyDescent="0.2">
      <c r="A412" s="8" t="s">
        <v>1</v>
      </c>
      <c r="B412" s="5"/>
      <c r="C412" s="74"/>
      <c r="D412" s="6"/>
      <c r="E412" s="6"/>
      <c r="F412" s="6"/>
      <c r="G412" s="6"/>
      <c r="H412" s="6"/>
      <c r="I412" s="6"/>
    </row>
    <row r="413" spans="1:9" hidden="1" x14ac:dyDescent="0.2">
      <c r="A413" s="8" t="s">
        <v>2</v>
      </c>
      <c r="B413" s="5"/>
      <c r="C413" s="74"/>
      <c r="D413" s="6"/>
      <c r="E413" s="6"/>
      <c r="F413" s="6"/>
      <c r="G413" s="6"/>
      <c r="H413" s="6"/>
      <c r="I413" s="6"/>
    </row>
    <row r="414" spans="1:9" hidden="1" x14ac:dyDescent="0.2">
      <c r="A414" s="8" t="s">
        <v>3</v>
      </c>
      <c r="B414" s="5"/>
      <c r="C414" s="74"/>
      <c r="D414" s="6"/>
      <c r="E414" s="6"/>
      <c r="F414" s="6"/>
      <c r="G414" s="6"/>
      <c r="H414" s="6"/>
      <c r="I414" s="6"/>
    </row>
    <row r="415" spans="1:9" hidden="1" x14ac:dyDescent="0.2">
      <c r="A415" s="8" t="s">
        <v>4</v>
      </c>
      <c r="B415" s="5"/>
      <c r="C415" s="74"/>
      <c r="D415" s="6"/>
      <c r="E415" s="6"/>
      <c r="F415" s="6"/>
      <c r="G415" s="6"/>
      <c r="H415" s="6"/>
      <c r="I415" s="6"/>
    </row>
    <row r="416" spans="1:9" hidden="1" x14ac:dyDescent="0.2">
      <c r="A416" s="8" t="s">
        <v>5</v>
      </c>
      <c r="B416" s="5"/>
      <c r="C416" s="74"/>
      <c r="D416" s="6"/>
      <c r="E416" s="6"/>
      <c r="F416" s="6"/>
      <c r="G416" s="6"/>
      <c r="H416" s="6"/>
      <c r="I416" s="6"/>
    </row>
    <row r="417" spans="1:9" hidden="1" x14ac:dyDescent="0.2">
      <c r="A417" s="8" t="s">
        <v>6</v>
      </c>
      <c r="B417" s="5"/>
      <c r="C417" s="74"/>
      <c r="D417" s="6"/>
      <c r="E417" s="6"/>
      <c r="F417" s="6"/>
      <c r="G417" s="6"/>
      <c r="H417" s="6"/>
      <c r="I417" s="6"/>
    </row>
    <row r="418" spans="1:9" hidden="1" x14ac:dyDescent="0.2">
      <c r="A418" s="8" t="s">
        <v>7</v>
      </c>
      <c r="B418" s="5"/>
      <c r="C418" s="74"/>
      <c r="D418" s="6"/>
      <c r="E418" s="6"/>
      <c r="F418" s="6"/>
      <c r="G418" s="6"/>
      <c r="H418" s="6"/>
      <c r="I418" s="6"/>
    </row>
    <row r="419" spans="1:9" hidden="1" x14ac:dyDescent="0.2">
      <c r="A419" s="8" t="s">
        <v>8</v>
      </c>
      <c r="B419" s="5"/>
      <c r="C419" s="74"/>
      <c r="D419" s="6"/>
      <c r="E419" s="6"/>
      <c r="F419" s="6"/>
      <c r="G419" s="6"/>
      <c r="H419" s="6"/>
      <c r="I419" s="6"/>
    </row>
    <row r="420" spans="1:9" hidden="1" x14ac:dyDescent="0.2">
      <c r="A420" s="8" t="s">
        <v>9</v>
      </c>
      <c r="B420" s="5"/>
      <c r="C420" s="74"/>
      <c r="D420" s="6"/>
      <c r="E420" s="6"/>
      <c r="F420" s="6"/>
      <c r="G420" s="6"/>
      <c r="H420" s="6"/>
      <c r="I420" s="6"/>
    </row>
    <row r="421" spans="1:9" hidden="1" x14ac:dyDescent="0.2">
      <c r="A421" s="312" t="s">
        <v>10</v>
      </c>
      <c r="B421" s="313"/>
      <c r="C421" s="313"/>
      <c r="D421" s="313"/>
      <c r="E421" s="314"/>
      <c r="F421" s="11">
        <f>SUM(F411:F420)</f>
        <v>0</v>
      </c>
      <c r="G421" s="11">
        <f>SUM(G411:G420)</f>
        <v>0</v>
      </c>
      <c r="H421" s="11">
        <f>SUM(H411:H420)</f>
        <v>0</v>
      </c>
      <c r="I421" s="11"/>
    </row>
    <row r="422" spans="1:9" s="25" customFormat="1" ht="18" x14ac:dyDescent="0.2">
      <c r="A422" s="315" t="s">
        <v>39</v>
      </c>
      <c r="B422" s="316"/>
      <c r="C422" s="316"/>
      <c r="D422" s="316"/>
      <c r="E422" s="317"/>
      <c r="F422" s="22">
        <f>F355+F366+F377+F388+F399+F410+F421+F338</f>
        <v>111</v>
      </c>
      <c r="G422" s="22">
        <f>G355+G366+G377+G388+G399+G410+G421+G338</f>
        <v>24</v>
      </c>
      <c r="H422" s="22">
        <f>H355+H366+H377+H388+H399+H410+H421+H338</f>
        <v>748</v>
      </c>
      <c r="I422" s="22"/>
    </row>
  </sheetData>
  <mergeCells count="70">
    <mergeCell ref="A251:E251"/>
    <mergeCell ref="A253:I253"/>
    <mergeCell ref="A255:C255"/>
    <mergeCell ref="A256:C256"/>
    <mergeCell ref="A303:E303"/>
    <mergeCell ref="F257:H257"/>
    <mergeCell ref="A269:E269"/>
    <mergeCell ref="A280:E280"/>
    <mergeCell ref="F343:H343"/>
    <mergeCell ref="A355:E355"/>
    <mergeCell ref="A337:E337"/>
    <mergeCell ref="A315:E315"/>
    <mergeCell ref="A339:I339"/>
    <mergeCell ref="A341:C341"/>
    <mergeCell ref="A342:C342"/>
    <mergeCell ref="F342:G342"/>
    <mergeCell ref="A240:E240"/>
    <mergeCell ref="A156:E156"/>
    <mergeCell ref="A167:E167"/>
    <mergeCell ref="A169:I169"/>
    <mergeCell ref="A171:C171"/>
    <mergeCell ref="A172:C172"/>
    <mergeCell ref="F173:H173"/>
    <mergeCell ref="A185:E185"/>
    <mergeCell ref="A196:E196"/>
    <mergeCell ref="A207:E207"/>
    <mergeCell ref="A218:E218"/>
    <mergeCell ref="A145:E145"/>
    <mergeCell ref="A87:C87"/>
    <mergeCell ref="F89:H89"/>
    <mergeCell ref="A101:E101"/>
    <mergeCell ref="A112:E112"/>
    <mergeCell ref="A123:E123"/>
    <mergeCell ref="A1:I1"/>
    <mergeCell ref="A3:C3"/>
    <mergeCell ref="A4:C4"/>
    <mergeCell ref="F5:H5"/>
    <mergeCell ref="A2:E2"/>
    <mergeCell ref="A422:E422"/>
    <mergeCell ref="A421:E421"/>
    <mergeCell ref="A84:E84"/>
    <mergeCell ref="A168:E168"/>
    <mergeCell ref="A252:E252"/>
    <mergeCell ref="A338:E338"/>
    <mergeCell ref="A366:E366"/>
    <mergeCell ref="A377:E377"/>
    <mergeCell ref="A388:E388"/>
    <mergeCell ref="A399:E399"/>
    <mergeCell ref="A410:E410"/>
    <mergeCell ref="A88:C88"/>
    <mergeCell ref="A229:E229"/>
    <mergeCell ref="A134:E134"/>
    <mergeCell ref="A326:E326"/>
    <mergeCell ref="A85:I85"/>
    <mergeCell ref="A86:E86"/>
    <mergeCell ref="A170:E170"/>
    <mergeCell ref="A254:E254"/>
    <mergeCell ref="A340:E340"/>
    <mergeCell ref="F4:G4"/>
    <mergeCell ref="F88:G88"/>
    <mergeCell ref="F172:G172"/>
    <mergeCell ref="F256:G256"/>
    <mergeCell ref="A17:E17"/>
    <mergeCell ref="A28:E28"/>
    <mergeCell ref="A39:E39"/>
    <mergeCell ref="A50:E50"/>
    <mergeCell ref="A61:E61"/>
    <mergeCell ref="A83:E83"/>
    <mergeCell ref="A72:E72"/>
    <mergeCell ref="A292:E292"/>
  </mergeCells>
  <pageMargins left="0.59055118110236227" right="0.39370078740157483" top="0.59055118110236227" bottom="0.39370078740157483" header="0.31496062992125984" footer="0.31496062992125984"/>
  <pageSetup paperSize="9" scale="99" fitToHeight="5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1"/>
  <sheetViews>
    <sheetView topLeftCell="A348" zoomScale="150" zoomScaleNormal="150" workbookViewId="0">
      <selection activeCell="A366" sqref="A366:XFD420"/>
    </sheetView>
  </sheetViews>
  <sheetFormatPr defaultColWidth="9" defaultRowHeight="17.25" x14ac:dyDescent="0.2"/>
  <cols>
    <col min="1" max="1" width="4" style="1" bestFit="1" customWidth="1"/>
    <col min="2" max="2" width="10.625" style="7" customWidth="1"/>
    <col min="3" max="3" width="11.25" style="76" customWidth="1"/>
    <col min="4" max="4" width="15.625" style="1" customWidth="1"/>
    <col min="5" max="5" width="10.625" style="1" customWidth="1"/>
    <col min="6" max="8" width="7.625" style="1" customWidth="1"/>
    <col min="9" max="9" width="18" style="1" customWidth="1"/>
    <col min="10" max="16384" width="9" style="1"/>
  </cols>
  <sheetData>
    <row r="1" spans="1:9" ht="21.95" customHeight="1" x14ac:dyDescent="0.2">
      <c r="A1" s="319" t="s">
        <v>14</v>
      </c>
      <c r="B1" s="319"/>
      <c r="C1" s="319"/>
      <c r="D1" s="319"/>
      <c r="E1" s="319"/>
      <c r="F1" s="319"/>
      <c r="G1" s="319"/>
      <c r="H1" s="319"/>
      <c r="I1" s="319"/>
    </row>
    <row r="2" spans="1:9" s="53" customFormat="1" ht="20.100000000000001" customHeight="1" x14ac:dyDescent="0.2">
      <c r="A2" s="323" t="s">
        <v>86</v>
      </c>
      <c r="B2" s="323"/>
      <c r="C2" s="323"/>
      <c r="D2" s="323"/>
      <c r="E2" s="323"/>
      <c r="F2" s="104" t="str">
        <f>'1'!$F$2</f>
        <v>เมษายน</v>
      </c>
      <c r="G2" s="50" t="s">
        <v>87</v>
      </c>
      <c r="H2" s="51">
        <f>'1'!$H$2</f>
        <v>2569</v>
      </c>
      <c r="I2" s="52"/>
    </row>
    <row r="3" spans="1:9" s="3" customFormat="1" ht="20.100000000000001" customHeight="1" x14ac:dyDescent="0.4">
      <c r="A3" s="318" t="s">
        <v>38</v>
      </c>
      <c r="B3" s="318"/>
      <c r="C3" s="318"/>
      <c r="D3" s="2"/>
      <c r="F3" s="4"/>
      <c r="G3" s="4"/>
      <c r="H3" s="4" t="s">
        <v>21</v>
      </c>
      <c r="I3" s="41">
        <v>1</v>
      </c>
    </row>
    <row r="4" spans="1:9" s="49" customFormat="1" ht="20.100000000000001" customHeight="1" x14ac:dyDescent="0.35">
      <c r="A4" s="327" t="s">
        <v>68</v>
      </c>
      <c r="B4" s="327"/>
      <c r="C4" s="327"/>
      <c r="D4" s="46"/>
      <c r="E4" s="47" t="s">
        <v>81</v>
      </c>
      <c r="F4" s="328">
        <f>'1'!$F$4</f>
        <v>46107</v>
      </c>
      <c r="G4" s="328"/>
      <c r="H4" s="47" t="s">
        <v>82</v>
      </c>
      <c r="I4" s="48">
        <f>'1'!$I$4</f>
        <v>46136</v>
      </c>
    </row>
    <row r="5" spans="1:9" x14ac:dyDescent="0.2">
      <c r="A5" s="12" t="s">
        <v>23</v>
      </c>
      <c r="B5" s="13" t="s">
        <v>11</v>
      </c>
      <c r="C5" s="72" t="s">
        <v>26</v>
      </c>
      <c r="D5" s="12" t="s">
        <v>16</v>
      </c>
      <c r="E5" s="12" t="s">
        <v>17</v>
      </c>
      <c r="F5" s="310" t="s">
        <v>46</v>
      </c>
      <c r="G5" s="310"/>
      <c r="H5" s="310"/>
      <c r="I5" s="12" t="s">
        <v>19</v>
      </c>
    </row>
    <row r="6" spans="1:9" x14ac:dyDescent="0.2">
      <c r="A6" s="15"/>
      <c r="B6" s="16"/>
      <c r="C6" s="73"/>
      <c r="D6" s="15"/>
      <c r="E6" s="15"/>
      <c r="F6" s="21" t="s">
        <v>113</v>
      </c>
      <c r="G6" s="21" t="s">
        <v>114</v>
      </c>
      <c r="H6" s="21" t="s">
        <v>20</v>
      </c>
      <c r="I6" s="15"/>
    </row>
    <row r="7" spans="1:9" x14ac:dyDescent="0.2">
      <c r="A7" s="8" t="s">
        <v>0</v>
      </c>
      <c r="B7" s="5">
        <f>'9'!B7</f>
        <v>46107</v>
      </c>
      <c r="C7" s="74" t="s">
        <v>220</v>
      </c>
      <c r="D7" s="6" t="s">
        <v>211</v>
      </c>
      <c r="E7" s="6" t="s">
        <v>165</v>
      </c>
      <c r="F7" s="6">
        <v>1</v>
      </c>
      <c r="G7" s="6"/>
      <c r="H7" s="6">
        <v>5</v>
      </c>
      <c r="I7" s="6"/>
    </row>
    <row r="8" spans="1:9" x14ac:dyDescent="0.2">
      <c r="A8" s="8" t="s">
        <v>1</v>
      </c>
      <c r="B8" s="5"/>
      <c r="C8" s="74" t="s">
        <v>221</v>
      </c>
      <c r="D8" s="6" t="s">
        <v>202</v>
      </c>
      <c r="E8" s="6" t="s">
        <v>222</v>
      </c>
      <c r="F8" s="6">
        <v>1</v>
      </c>
      <c r="G8" s="6"/>
      <c r="H8" s="6">
        <v>2</v>
      </c>
      <c r="I8" s="6"/>
    </row>
    <row r="9" spans="1:9" x14ac:dyDescent="0.2">
      <c r="A9" s="8" t="s">
        <v>2</v>
      </c>
      <c r="B9" s="5"/>
      <c r="C9" s="74" t="s">
        <v>223</v>
      </c>
      <c r="D9" s="6" t="s">
        <v>170</v>
      </c>
      <c r="E9" s="6" t="s">
        <v>171</v>
      </c>
      <c r="F9" s="54">
        <v>1</v>
      </c>
      <c r="G9" s="6"/>
      <c r="H9" s="6">
        <v>6</v>
      </c>
      <c r="I9" s="6"/>
    </row>
    <row r="10" spans="1:9" x14ac:dyDescent="0.2">
      <c r="A10" s="8" t="s">
        <v>3</v>
      </c>
      <c r="B10" s="5"/>
      <c r="C10" s="74" t="s">
        <v>224</v>
      </c>
      <c r="D10" s="6" t="s">
        <v>170</v>
      </c>
      <c r="E10" s="6" t="s">
        <v>171</v>
      </c>
      <c r="F10" s="6">
        <v>1</v>
      </c>
      <c r="G10" s="6"/>
      <c r="H10" s="6">
        <v>6</v>
      </c>
      <c r="I10" s="6"/>
    </row>
    <row r="11" spans="1:9" x14ac:dyDescent="0.2">
      <c r="A11" s="8" t="s">
        <v>4</v>
      </c>
      <c r="B11" s="5"/>
      <c r="C11" s="74" t="s">
        <v>225</v>
      </c>
      <c r="D11" s="6" t="s">
        <v>170</v>
      </c>
      <c r="E11" s="6" t="s">
        <v>165</v>
      </c>
      <c r="F11" s="6">
        <v>1</v>
      </c>
      <c r="G11" s="6"/>
      <c r="H11" s="6">
        <v>6</v>
      </c>
      <c r="I11" s="6"/>
    </row>
    <row r="12" spans="1:9" hidden="1" x14ac:dyDescent="0.2">
      <c r="A12" s="8" t="s">
        <v>5</v>
      </c>
      <c r="B12" s="5"/>
      <c r="C12" s="74"/>
      <c r="D12" s="6"/>
      <c r="E12" s="6"/>
      <c r="F12" s="6"/>
      <c r="G12" s="6"/>
      <c r="H12" s="6"/>
      <c r="I12" s="6"/>
    </row>
    <row r="13" spans="1:9" hidden="1" x14ac:dyDescent="0.2">
      <c r="A13" s="8" t="s">
        <v>6</v>
      </c>
      <c r="B13" s="5"/>
      <c r="C13" s="74"/>
      <c r="D13" s="6"/>
      <c r="E13" s="6"/>
      <c r="F13" s="6"/>
      <c r="G13" s="6"/>
      <c r="H13" s="6"/>
      <c r="I13" s="6"/>
    </row>
    <row r="14" spans="1:9" hidden="1" x14ac:dyDescent="0.2">
      <c r="A14" s="8" t="s">
        <v>7</v>
      </c>
      <c r="B14" s="5"/>
      <c r="C14" s="74"/>
      <c r="D14" s="6"/>
      <c r="E14" s="6"/>
      <c r="F14" s="6"/>
      <c r="G14" s="6"/>
      <c r="H14" s="6"/>
      <c r="I14" s="6"/>
    </row>
    <row r="15" spans="1:9" hidden="1" x14ac:dyDescent="0.2">
      <c r="A15" s="8" t="s">
        <v>8</v>
      </c>
      <c r="B15" s="5"/>
      <c r="C15" s="74"/>
      <c r="D15" s="6"/>
      <c r="E15" s="6"/>
      <c r="F15" s="6"/>
      <c r="G15" s="6"/>
      <c r="H15" s="6"/>
      <c r="I15" s="6"/>
    </row>
    <row r="16" spans="1:9" hidden="1" x14ac:dyDescent="0.2">
      <c r="A16" s="8" t="s">
        <v>9</v>
      </c>
      <c r="B16" s="5"/>
      <c r="C16" s="74"/>
      <c r="D16" s="6"/>
      <c r="E16" s="6"/>
      <c r="F16" s="6"/>
      <c r="G16" s="6"/>
      <c r="H16" s="6"/>
      <c r="I16" s="6"/>
    </row>
    <row r="17" spans="1:9" x14ac:dyDescent="0.2">
      <c r="A17" s="312" t="s">
        <v>10</v>
      </c>
      <c r="B17" s="313"/>
      <c r="C17" s="313"/>
      <c r="D17" s="313"/>
      <c r="E17" s="314"/>
      <c r="F17" s="11">
        <f>SUM(F7:F16)</f>
        <v>5</v>
      </c>
      <c r="G17" s="11">
        <f>SUM(G7:G16)</f>
        <v>0</v>
      </c>
      <c r="H17" s="11">
        <f>SUM(H7:H16)</f>
        <v>25</v>
      </c>
      <c r="I17" s="11"/>
    </row>
    <row r="18" spans="1:9" x14ac:dyDescent="0.2">
      <c r="A18" s="8" t="s">
        <v>0</v>
      </c>
      <c r="B18" s="5">
        <f>B7+1</f>
        <v>46108</v>
      </c>
      <c r="C18" s="75" t="s">
        <v>305</v>
      </c>
      <c r="D18" s="6" t="s">
        <v>211</v>
      </c>
      <c r="E18" s="6" t="s">
        <v>184</v>
      </c>
      <c r="F18" s="6">
        <v>1</v>
      </c>
      <c r="G18" s="6"/>
      <c r="H18" s="6">
        <v>5</v>
      </c>
      <c r="I18" s="6"/>
    </row>
    <row r="19" spans="1:9" x14ac:dyDescent="0.2">
      <c r="A19" s="8" t="s">
        <v>1</v>
      </c>
      <c r="B19" s="5"/>
      <c r="C19" s="75" t="s">
        <v>306</v>
      </c>
      <c r="D19" s="6" t="s">
        <v>170</v>
      </c>
      <c r="E19" s="6" t="s">
        <v>184</v>
      </c>
      <c r="F19" s="6">
        <v>1</v>
      </c>
      <c r="G19" s="6"/>
      <c r="H19" s="6">
        <v>1</v>
      </c>
      <c r="I19" s="6"/>
    </row>
    <row r="20" spans="1:9" x14ac:dyDescent="0.2">
      <c r="A20" s="8" t="s">
        <v>2</v>
      </c>
      <c r="B20" s="5"/>
      <c r="C20" s="75" t="s">
        <v>307</v>
      </c>
      <c r="D20" s="6" t="s">
        <v>242</v>
      </c>
      <c r="E20" s="6" t="s">
        <v>171</v>
      </c>
      <c r="F20" s="6">
        <v>1</v>
      </c>
      <c r="G20" s="6"/>
      <c r="H20" s="6">
        <v>5</v>
      </c>
      <c r="I20" s="6"/>
    </row>
    <row r="21" spans="1:9" x14ac:dyDescent="0.2">
      <c r="A21" s="8" t="s">
        <v>3</v>
      </c>
      <c r="B21" s="5"/>
      <c r="C21" s="75" t="s">
        <v>308</v>
      </c>
      <c r="D21" s="6" t="s">
        <v>276</v>
      </c>
      <c r="E21" s="6" t="s">
        <v>168</v>
      </c>
      <c r="F21" s="6">
        <v>1</v>
      </c>
      <c r="G21" s="6"/>
      <c r="H21" s="6">
        <v>5.5</v>
      </c>
      <c r="I21" s="6"/>
    </row>
    <row r="22" spans="1:9" x14ac:dyDescent="0.2">
      <c r="A22" s="8" t="s">
        <v>4</v>
      </c>
      <c r="B22" s="5"/>
      <c r="C22" s="75" t="s">
        <v>309</v>
      </c>
      <c r="D22" s="6" t="s">
        <v>170</v>
      </c>
      <c r="E22" s="6" t="s">
        <v>171</v>
      </c>
      <c r="F22" s="6">
        <v>1</v>
      </c>
      <c r="G22" s="6"/>
      <c r="H22" s="6">
        <v>6</v>
      </c>
      <c r="I22" s="6"/>
    </row>
    <row r="23" spans="1:9" x14ac:dyDescent="0.2">
      <c r="A23" s="8" t="s">
        <v>5</v>
      </c>
      <c r="B23" s="5"/>
      <c r="C23" s="75" t="s">
        <v>310</v>
      </c>
      <c r="D23" s="6" t="s">
        <v>170</v>
      </c>
      <c r="E23" s="6" t="s">
        <v>171</v>
      </c>
      <c r="F23" s="6"/>
      <c r="G23" s="6">
        <v>1</v>
      </c>
      <c r="H23" s="6">
        <v>6</v>
      </c>
      <c r="I23" s="6"/>
    </row>
    <row r="24" spans="1:9" x14ac:dyDescent="0.2">
      <c r="A24" s="8" t="s">
        <v>6</v>
      </c>
      <c r="B24" s="5"/>
      <c r="C24" s="75" t="s">
        <v>311</v>
      </c>
      <c r="D24" s="6" t="s">
        <v>242</v>
      </c>
      <c r="E24" s="6" t="s">
        <v>171</v>
      </c>
      <c r="F24" s="6"/>
      <c r="G24" s="6">
        <v>1</v>
      </c>
      <c r="H24" s="6">
        <v>6</v>
      </c>
      <c r="I24" s="6"/>
    </row>
    <row r="25" spans="1:9" hidden="1" x14ac:dyDescent="0.2">
      <c r="A25" s="8" t="s">
        <v>7</v>
      </c>
      <c r="B25" s="5"/>
      <c r="C25" s="75"/>
      <c r="D25" s="6"/>
      <c r="E25" s="6"/>
      <c r="F25" s="6"/>
      <c r="G25" s="6"/>
      <c r="H25" s="6"/>
      <c r="I25" s="6"/>
    </row>
    <row r="26" spans="1:9" hidden="1" x14ac:dyDescent="0.2">
      <c r="A26" s="8" t="s">
        <v>8</v>
      </c>
      <c r="B26" s="5"/>
      <c r="C26" s="74"/>
      <c r="D26" s="6"/>
      <c r="E26" s="6"/>
      <c r="F26" s="6"/>
      <c r="G26" s="6"/>
      <c r="H26" s="6"/>
      <c r="I26" s="6"/>
    </row>
    <row r="27" spans="1:9" hidden="1" x14ac:dyDescent="0.2">
      <c r="A27" s="8" t="s">
        <v>9</v>
      </c>
      <c r="B27" s="5"/>
      <c r="C27" s="74"/>
      <c r="D27" s="6"/>
      <c r="E27" s="6"/>
      <c r="F27" s="6"/>
      <c r="G27" s="6"/>
      <c r="H27" s="6"/>
      <c r="I27" s="6"/>
    </row>
    <row r="28" spans="1:9" x14ac:dyDescent="0.2">
      <c r="A28" s="312" t="s">
        <v>10</v>
      </c>
      <c r="B28" s="313"/>
      <c r="C28" s="313"/>
      <c r="D28" s="313"/>
      <c r="E28" s="314"/>
      <c r="F28" s="11">
        <f>SUM(F18:F27)</f>
        <v>5</v>
      </c>
      <c r="G28" s="11">
        <f>SUM(G18:G27)</f>
        <v>2</v>
      </c>
      <c r="H28" s="11">
        <f>SUM(H18:H27)</f>
        <v>34.5</v>
      </c>
      <c r="I28" s="11"/>
    </row>
    <row r="29" spans="1:9" x14ac:dyDescent="0.2">
      <c r="A29" s="8" t="s">
        <v>0</v>
      </c>
      <c r="B29" s="5">
        <f>B18+1</f>
        <v>46109</v>
      </c>
      <c r="C29" s="74" t="s">
        <v>362</v>
      </c>
      <c r="D29" s="6" t="s">
        <v>250</v>
      </c>
      <c r="E29" s="6" t="s">
        <v>168</v>
      </c>
      <c r="F29" s="6">
        <v>1</v>
      </c>
      <c r="G29" s="6"/>
      <c r="H29" s="6">
        <v>5</v>
      </c>
      <c r="I29" s="6"/>
    </row>
    <row r="30" spans="1:9" x14ac:dyDescent="0.2">
      <c r="A30" s="8" t="s">
        <v>1</v>
      </c>
      <c r="B30" s="5"/>
      <c r="C30" s="74" t="s">
        <v>363</v>
      </c>
      <c r="D30" s="6" t="s">
        <v>364</v>
      </c>
      <c r="E30" s="6" t="s">
        <v>174</v>
      </c>
      <c r="F30" s="6">
        <v>1</v>
      </c>
      <c r="G30" s="6"/>
      <c r="H30" s="6">
        <v>6</v>
      </c>
      <c r="I30" s="6"/>
    </row>
    <row r="31" spans="1:9" x14ac:dyDescent="0.2">
      <c r="A31" s="8" t="s">
        <v>2</v>
      </c>
      <c r="B31" s="5"/>
      <c r="C31" s="74" t="s">
        <v>338</v>
      </c>
      <c r="D31" s="6" t="s">
        <v>342</v>
      </c>
      <c r="E31" s="6" t="s">
        <v>165</v>
      </c>
      <c r="F31" s="6">
        <v>1</v>
      </c>
      <c r="G31" s="6"/>
      <c r="H31" s="6">
        <v>5</v>
      </c>
      <c r="I31" s="6"/>
    </row>
    <row r="32" spans="1:9" hidden="1" x14ac:dyDescent="0.2">
      <c r="A32" s="8" t="s">
        <v>3</v>
      </c>
      <c r="B32" s="5"/>
      <c r="C32" s="74"/>
      <c r="D32" s="6"/>
      <c r="E32" s="6"/>
      <c r="F32" s="6"/>
      <c r="G32" s="6"/>
      <c r="H32" s="6"/>
      <c r="I32" s="6"/>
    </row>
    <row r="33" spans="1:9" hidden="1" x14ac:dyDescent="0.2">
      <c r="A33" s="8" t="s">
        <v>4</v>
      </c>
      <c r="B33" s="5"/>
      <c r="C33" s="74"/>
      <c r="D33" s="6"/>
      <c r="E33" s="6"/>
      <c r="F33" s="6"/>
      <c r="G33" s="6"/>
      <c r="H33" s="6"/>
      <c r="I33" s="6"/>
    </row>
    <row r="34" spans="1:9" hidden="1" x14ac:dyDescent="0.2">
      <c r="A34" s="8" t="s">
        <v>5</v>
      </c>
      <c r="B34" s="5"/>
      <c r="C34" s="74"/>
      <c r="D34" s="6"/>
      <c r="E34" s="6"/>
      <c r="F34" s="6"/>
      <c r="G34" s="6"/>
      <c r="H34" s="6"/>
      <c r="I34" s="6"/>
    </row>
    <row r="35" spans="1:9" hidden="1" x14ac:dyDescent="0.2">
      <c r="A35" s="8" t="s">
        <v>6</v>
      </c>
      <c r="B35" s="5"/>
      <c r="C35" s="74"/>
      <c r="D35" s="6"/>
      <c r="E35" s="6"/>
      <c r="F35" s="6"/>
      <c r="G35" s="6"/>
      <c r="H35" s="6"/>
      <c r="I35" s="6"/>
    </row>
    <row r="36" spans="1:9" hidden="1" x14ac:dyDescent="0.2">
      <c r="A36" s="8" t="s">
        <v>7</v>
      </c>
      <c r="B36" s="5"/>
      <c r="C36" s="74"/>
      <c r="D36" s="6"/>
      <c r="E36" s="6"/>
      <c r="F36" s="6"/>
      <c r="G36" s="6"/>
      <c r="H36" s="6"/>
      <c r="I36" s="6"/>
    </row>
    <row r="37" spans="1:9" hidden="1" x14ac:dyDescent="0.2">
      <c r="A37" s="8" t="s">
        <v>8</v>
      </c>
      <c r="B37" s="5"/>
      <c r="C37" s="74"/>
      <c r="D37" s="6"/>
      <c r="E37" s="6"/>
      <c r="F37" s="6"/>
      <c r="G37" s="6"/>
      <c r="H37" s="6"/>
      <c r="I37" s="6"/>
    </row>
    <row r="38" spans="1:9" hidden="1" x14ac:dyDescent="0.2">
      <c r="A38" s="8" t="s">
        <v>9</v>
      </c>
      <c r="B38" s="5"/>
      <c r="C38" s="74"/>
      <c r="D38" s="6"/>
      <c r="E38" s="6"/>
      <c r="F38" s="6"/>
      <c r="G38" s="6"/>
      <c r="H38" s="6"/>
      <c r="I38" s="6"/>
    </row>
    <row r="39" spans="1:9" x14ac:dyDescent="0.2">
      <c r="A39" s="312" t="s">
        <v>10</v>
      </c>
      <c r="B39" s="313"/>
      <c r="C39" s="313"/>
      <c r="D39" s="313"/>
      <c r="E39" s="314"/>
      <c r="F39" s="11">
        <f>SUM(F29:F38)</f>
        <v>3</v>
      </c>
      <c r="G39" s="11">
        <f>SUM(G29:G38)</f>
        <v>0</v>
      </c>
      <c r="H39" s="11">
        <f>SUM(H29:H38)</f>
        <v>16</v>
      </c>
      <c r="I39" s="11"/>
    </row>
    <row r="40" spans="1:9" x14ac:dyDescent="0.2">
      <c r="A40" s="8" t="s">
        <v>0</v>
      </c>
      <c r="B40" s="5">
        <f>B29+1</f>
        <v>46110</v>
      </c>
      <c r="C40" s="75" t="s">
        <v>416</v>
      </c>
      <c r="D40" s="6" t="s">
        <v>371</v>
      </c>
      <c r="E40" s="6" t="s">
        <v>165</v>
      </c>
      <c r="F40" s="6">
        <v>1</v>
      </c>
      <c r="G40" s="6"/>
      <c r="H40" s="6">
        <v>6</v>
      </c>
      <c r="I40" s="6"/>
    </row>
    <row r="41" spans="1:9" x14ac:dyDescent="0.2">
      <c r="A41" s="8" t="s">
        <v>1</v>
      </c>
      <c r="B41" s="5"/>
      <c r="C41" s="75" t="s">
        <v>417</v>
      </c>
      <c r="D41" s="6" t="s">
        <v>242</v>
      </c>
      <c r="E41" s="6" t="s">
        <v>171</v>
      </c>
      <c r="F41" s="6">
        <v>1</v>
      </c>
      <c r="G41" s="6"/>
      <c r="H41" s="6">
        <v>5.5</v>
      </c>
      <c r="I41" s="6"/>
    </row>
    <row r="42" spans="1:9" x14ac:dyDescent="0.2">
      <c r="A42" s="8" t="s">
        <v>2</v>
      </c>
      <c r="B42" s="5"/>
      <c r="C42" s="75" t="s">
        <v>418</v>
      </c>
      <c r="D42" s="6" t="s">
        <v>242</v>
      </c>
      <c r="E42" s="6" t="s">
        <v>171</v>
      </c>
      <c r="F42" s="6">
        <v>1</v>
      </c>
      <c r="G42" s="6"/>
      <c r="H42" s="6">
        <v>5.5</v>
      </c>
      <c r="I42" s="6"/>
    </row>
    <row r="43" spans="1:9" x14ac:dyDescent="0.2">
      <c r="A43" s="8" t="s">
        <v>3</v>
      </c>
      <c r="B43" s="5"/>
      <c r="C43" s="75" t="s">
        <v>419</v>
      </c>
      <c r="D43" s="6" t="s">
        <v>202</v>
      </c>
      <c r="E43" s="6" t="s">
        <v>165</v>
      </c>
      <c r="F43" s="6">
        <v>1</v>
      </c>
      <c r="G43" s="6"/>
      <c r="H43" s="6">
        <v>4</v>
      </c>
      <c r="I43" s="6"/>
    </row>
    <row r="44" spans="1:9" x14ac:dyDescent="0.2">
      <c r="A44" s="8" t="s">
        <v>4</v>
      </c>
      <c r="B44" s="5"/>
      <c r="C44" s="75" t="s">
        <v>420</v>
      </c>
      <c r="D44" s="6" t="s">
        <v>371</v>
      </c>
      <c r="E44" s="6" t="s">
        <v>165</v>
      </c>
      <c r="F44" s="6">
        <v>1</v>
      </c>
      <c r="G44" s="6"/>
      <c r="H44" s="6">
        <v>6</v>
      </c>
      <c r="I44" s="6"/>
    </row>
    <row r="45" spans="1:9" x14ac:dyDescent="0.2">
      <c r="A45" s="8" t="s">
        <v>5</v>
      </c>
      <c r="B45" s="5"/>
      <c r="C45" s="75" t="s">
        <v>421</v>
      </c>
      <c r="D45" s="6" t="s">
        <v>371</v>
      </c>
      <c r="E45" s="6" t="s">
        <v>165</v>
      </c>
      <c r="F45" s="6"/>
      <c r="G45" s="6">
        <v>1</v>
      </c>
      <c r="H45" s="6">
        <v>1.5</v>
      </c>
      <c r="I45" s="6"/>
    </row>
    <row r="46" spans="1:9" hidden="1" x14ac:dyDescent="0.2">
      <c r="A46" s="8" t="s">
        <v>6</v>
      </c>
      <c r="B46" s="5"/>
      <c r="C46" s="75"/>
      <c r="D46" s="6"/>
      <c r="E46" s="6"/>
      <c r="F46" s="6"/>
      <c r="G46" s="6"/>
      <c r="H46" s="6"/>
      <c r="I46" s="6"/>
    </row>
    <row r="47" spans="1:9" hidden="1" x14ac:dyDescent="0.2">
      <c r="A47" s="8" t="s">
        <v>7</v>
      </c>
      <c r="B47" s="5"/>
      <c r="C47" s="74"/>
      <c r="D47" s="6"/>
      <c r="E47" s="6"/>
      <c r="F47" s="6"/>
      <c r="G47" s="6"/>
      <c r="H47" s="6"/>
      <c r="I47" s="6"/>
    </row>
    <row r="48" spans="1:9" hidden="1" x14ac:dyDescent="0.2">
      <c r="A48" s="8" t="s">
        <v>8</v>
      </c>
      <c r="B48" s="5"/>
      <c r="C48" s="74"/>
      <c r="D48" s="6"/>
      <c r="E48" s="6"/>
      <c r="F48" s="6"/>
      <c r="G48" s="6"/>
      <c r="H48" s="6"/>
      <c r="I48" s="6"/>
    </row>
    <row r="49" spans="1:9" hidden="1" x14ac:dyDescent="0.2">
      <c r="A49" s="8" t="s">
        <v>9</v>
      </c>
      <c r="B49" s="5"/>
      <c r="C49" s="74"/>
      <c r="D49" s="6"/>
      <c r="E49" s="6"/>
      <c r="F49" s="6"/>
      <c r="G49" s="6"/>
      <c r="H49" s="6"/>
      <c r="I49" s="6"/>
    </row>
    <row r="50" spans="1:9" x14ac:dyDescent="0.2">
      <c r="A50" s="312" t="s">
        <v>10</v>
      </c>
      <c r="B50" s="313"/>
      <c r="C50" s="313"/>
      <c r="D50" s="313"/>
      <c r="E50" s="314"/>
      <c r="F50" s="11">
        <f>SUM(F40:F49)</f>
        <v>5</v>
      </c>
      <c r="G50" s="11">
        <f>SUM(G40:G49)</f>
        <v>1</v>
      </c>
      <c r="H50" s="11">
        <f>SUM(H40:H49)</f>
        <v>28.5</v>
      </c>
      <c r="I50" s="11"/>
    </row>
    <row r="51" spans="1:9" x14ac:dyDescent="0.2">
      <c r="A51" s="8" t="s">
        <v>0</v>
      </c>
      <c r="B51" s="5">
        <f>B40+1</f>
        <v>46111</v>
      </c>
      <c r="C51" s="75" t="s">
        <v>494</v>
      </c>
      <c r="D51" s="6" t="s">
        <v>250</v>
      </c>
      <c r="E51" s="6" t="s">
        <v>168</v>
      </c>
      <c r="F51" s="6">
        <v>1</v>
      </c>
      <c r="G51" s="6"/>
      <c r="H51" s="6">
        <v>5</v>
      </c>
      <c r="I51" s="6"/>
    </row>
    <row r="52" spans="1:9" x14ac:dyDescent="0.2">
      <c r="A52" s="8" t="s">
        <v>1</v>
      </c>
      <c r="B52" s="5"/>
      <c r="C52" s="75" t="s">
        <v>495</v>
      </c>
      <c r="D52" s="6" t="s">
        <v>282</v>
      </c>
      <c r="E52" s="6" t="s">
        <v>168</v>
      </c>
      <c r="F52" s="6">
        <v>1</v>
      </c>
      <c r="G52" s="6"/>
      <c r="H52" s="6">
        <v>3</v>
      </c>
      <c r="I52" s="6"/>
    </row>
    <row r="53" spans="1:9" x14ac:dyDescent="0.2">
      <c r="A53" s="8" t="s">
        <v>2</v>
      </c>
      <c r="B53" s="5"/>
      <c r="C53" s="75" t="s">
        <v>496</v>
      </c>
      <c r="D53" s="6" t="s">
        <v>170</v>
      </c>
      <c r="E53" s="6" t="s">
        <v>171</v>
      </c>
      <c r="F53" s="6">
        <v>1</v>
      </c>
      <c r="G53" s="6"/>
      <c r="H53" s="6">
        <v>6</v>
      </c>
      <c r="I53" s="6"/>
    </row>
    <row r="54" spans="1:9" x14ac:dyDescent="0.2">
      <c r="A54" s="8" t="s">
        <v>3</v>
      </c>
      <c r="B54" s="5"/>
      <c r="C54" s="75" t="s">
        <v>497</v>
      </c>
      <c r="D54" s="6" t="s">
        <v>170</v>
      </c>
      <c r="E54" s="6" t="s">
        <v>171</v>
      </c>
      <c r="F54" s="6">
        <v>1</v>
      </c>
      <c r="G54" s="6"/>
      <c r="H54" s="6">
        <v>6</v>
      </c>
      <c r="I54" s="6"/>
    </row>
    <row r="55" spans="1:9" x14ac:dyDescent="0.2">
      <c r="A55" s="8" t="s">
        <v>4</v>
      </c>
      <c r="B55" s="5"/>
      <c r="C55" s="75" t="s">
        <v>498</v>
      </c>
      <c r="D55" s="6" t="s">
        <v>170</v>
      </c>
      <c r="E55" s="6" t="s">
        <v>171</v>
      </c>
      <c r="F55" s="6">
        <v>1</v>
      </c>
      <c r="G55" s="6"/>
      <c r="H55" s="6">
        <v>6</v>
      </c>
      <c r="I55" s="6"/>
    </row>
    <row r="56" spans="1:9" x14ac:dyDescent="0.2">
      <c r="A56" s="8" t="s">
        <v>5</v>
      </c>
      <c r="B56" s="5"/>
      <c r="C56" s="75" t="s">
        <v>499</v>
      </c>
      <c r="D56" s="6" t="s">
        <v>253</v>
      </c>
      <c r="E56" s="6" t="s">
        <v>351</v>
      </c>
      <c r="F56" s="6">
        <v>1</v>
      </c>
      <c r="G56" s="6"/>
      <c r="H56" s="6">
        <v>3.75</v>
      </c>
      <c r="I56" s="6"/>
    </row>
    <row r="57" spans="1:9" x14ac:dyDescent="0.2">
      <c r="A57" s="8" t="s">
        <v>6</v>
      </c>
      <c r="B57" s="5"/>
      <c r="C57" s="74" t="s">
        <v>500</v>
      </c>
      <c r="D57" s="6" t="s">
        <v>448</v>
      </c>
      <c r="E57" s="6" t="s">
        <v>165</v>
      </c>
      <c r="F57" s="6"/>
      <c r="G57" s="6">
        <v>1</v>
      </c>
      <c r="H57" s="6">
        <v>6</v>
      </c>
      <c r="I57" s="6"/>
    </row>
    <row r="58" spans="1:9" hidden="1" x14ac:dyDescent="0.2">
      <c r="A58" s="8" t="s">
        <v>7</v>
      </c>
      <c r="B58" s="5"/>
      <c r="C58" s="74"/>
      <c r="D58" s="6"/>
      <c r="E58" s="6"/>
      <c r="F58" s="6"/>
      <c r="G58" s="6"/>
      <c r="H58" s="6"/>
      <c r="I58" s="6"/>
    </row>
    <row r="59" spans="1:9" hidden="1" x14ac:dyDescent="0.2">
      <c r="A59" s="8" t="s">
        <v>8</v>
      </c>
      <c r="B59" s="5"/>
      <c r="C59" s="74"/>
      <c r="D59" s="6"/>
      <c r="E59" s="6"/>
      <c r="F59" s="6"/>
      <c r="G59" s="6"/>
      <c r="H59" s="6"/>
      <c r="I59" s="6"/>
    </row>
    <row r="60" spans="1:9" hidden="1" x14ac:dyDescent="0.2">
      <c r="A60" s="8" t="s">
        <v>9</v>
      </c>
      <c r="B60" s="5"/>
      <c r="C60" s="74"/>
      <c r="D60" s="6"/>
      <c r="E60" s="6"/>
      <c r="F60" s="6"/>
      <c r="G60" s="6"/>
      <c r="H60" s="6"/>
      <c r="I60" s="6"/>
    </row>
    <row r="61" spans="1:9" x14ac:dyDescent="0.2">
      <c r="A61" s="312" t="s">
        <v>10</v>
      </c>
      <c r="B61" s="313"/>
      <c r="C61" s="313"/>
      <c r="D61" s="313"/>
      <c r="E61" s="314"/>
      <c r="F61" s="11">
        <f>SUM(F51:F60)</f>
        <v>6</v>
      </c>
      <c r="G61" s="11">
        <f>SUM(G51:G60)</f>
        <v>1</v>
      </c>
      <c r="H61" s="11">
        <f>SUM(H51:H60)</f>
        <v>35.75</v>
      </c>
      <c r="I61" s="11"/>
    </row>
    <row r="62" spans="1:9" x14ac:dyDescent="0.2">
      <c r="A62" s="8" t="s">
        <v>0</v>
      </c>
      <c r="B62" s="5">
        <f>B51+1</f>
        <v>46112</v>
      </c>
      <c r="C62" s="74" t="s">
        <v>569</v>
      </c>
      <c r="D62" s="6" t="s">
        <v>342</v>
      </c>
      <c r="E62" s="6" t="s">
        <v>165</v>
      </c>
      <c r="F62" s="6">
        <v>1</v>
      </c>
      <c r="G62" s="6"/>
      <c r="H62" s="6">
        <v>6</v>
      </c>
      <c r="I62" s="6"/>
    </row>
    <row r="63" spans="1:9" x14ac:dyDescent="0.2">
      <c r="A63" s="8" t="s">
        <v>1</v>
      </c>
      <c r="B63" s="5"/>
      <c r="C63" s="74" t="s">
        <v>570</v>
      </c>
      <c r="D63" s="6" t="s">
        <v>170</v>
      </c>
      <c r="E63" s="6" t="s">
        <v>165</v>
      </c>
      <c r="F63" s="6">
        <v>1</v>
      </c>
      <c r="G63" s="6"/>
      <c r="H63" s="6">
        <v>6</v>
      </c>
      <c r="I63" s="6"/>
    </row>
    <row r="64" spans="1:9" hidden="1" x14ac:dyDescent="0.2">
      <c r="A64" s="8" t="s">
        <v>2</v>
      </c>
      <c r="B64" s="5"/>
      <c r="C64" s="74"/>
      <c r="D64" s="6"/>
      <c r="E64" s="6"/>
      <c r="F64" s="6"/>
      <c r="G64" s="6"/>
      <c r="H64" s="6"/>
      <c r="I64" s="6"/>
    </row>
    <row r="65" spans="1:9" hidden="1" x14ac:dyDescent="0.2">
      <c r="A65" s="8" t="s">
        <v>3</v>
      </c>
      <c r="B65" s="5"/>
      <c r="C65" s="74"/>
      <c r="D65" s="6"/>
      <c r="E65" s="6"/>
      <c r="F65" s="6"/>
      <c r="G65" s="6"/>
      <c r="H65" s="6"/>
      <c r="I65" s="6"/>
    </row>
    <row r="66" spans="1:9" hidden="1" x14ac:dyDescent="0.2">
      <c r="A66" s="8" t="s">
        <v>4</v>
      </c>
      <c r="B66" s="5"/>
      <c r="C66" s="74"/>
      <c r="D66" s="6"/>
      <c r="E66" s="6"/>
      <c r="F66" s="6"/>
      <c r="G66" s="6"/>
      <c r="H66" s="6"/>
      <c r="I66" s="6"/>
    </row>
    <row r="67" spans="1:9" hidden="1" x14ac:dyDescent="0.2">
      <c r="A67" s="8" t="s">
        <v>5</v>
      </c>
      <c r="B67" s="5"/>
      <c r="C67" s="74"/>
      <c r="D67" s="6"/>
      <c r="E67" s="6"/>
      <c r="F67" s="6"/>
      <c r="G67" s="6"/>
      <c r="H67" s="6"/>
      <c r="I67" s="6"/>
    </row>
    <row r="68" spans="1:9" hidden="1" x14ac:dyDescent="0.2">
      <c r="A68" s="8" t="s">
        <v>6</v>
      </c>
      <c r="B68" s="5"/>
      <c r="C68" s="74"/>
      <c r="D68" s="6"/>
      <c r="E68" s="6"/>
      <c r="F68" s="6"/>
      <c r="G68" s="6"/>
      <c r="H68" s="6"/>
      <c r="I68" s="6"/>
    </row>
    <row r="69" spans="1:9" hidden="1" x14ac:dyDescent="0.2">
      <c r="A69" s="8" t="s">
        <v>7</v>
      </c>
      <c r="B69" s="5"/>
      <c r="C69" s="74"/>
      <c r="D69" s="6"/>
      <c r="E69" s="6"/>
      <c r="F69" s="6"/>
      <c r="G69" s="6"/>
      <c r="H69" s="6"/>
      <c r="I69" s="6"/>
    </row>
    <row r="70" spans="1:9" hidden="1" x14ac:dyDescent="0.2">
      <c r="A70" s="8" t="s">
        <v>8</v>
      </c>
      <c r="B70" s="5"/>
      <c r="C70" s="74"/>
      <c r="D70" s="6"/>
      <c r="E70" s="6"/>
      <c r="F70" s="6"/>
      <c r="G70" s="6"/>
      <c r="H70" s="6"/>
      <c r="I70" s="6"/>
    </row>
    <row r="71" spans="1:9" hidden="1" x14ac:dyDescent="0.2">
      <c r="A71" s="8" t="s">
        <v>9</v>
      </c>
      <c r="B71" s="5"/>
      <c r="C71" s="75"/>
      <c r="D71" s="6"/>
      <c r="E71" s="6"/>
      <c r="F71" s="6"/>
      <c r="G71" s="6"/>
      <c r="H71" s="6"/>
      <c r="I71" s="6"/>
    </row>
    <row r="72" spans="1:9" x14ac:dyDescent="0.2">
      <c r="A72" s="312" t="s">
        <v>10</v>
      </c>
      <c r="B72" s="313"/>
      <c r="C72" s="313"/>
      <c r="D72" s="313"/>
      <c r="E72" s="314"/>
      <c r="F72" s="11">
        <f>SUM(F62:F71)</f>
        <v>2</v>
      </c>
      <c r="G72" s="11">
        <f>SUM(G62:G71)</f>
        <v>0</v>
      </c>
      <c r="H72" s="11">
        <f>SUM(H62:H71)</f>
        <v>12</v>
      </c>
      <c r="I72" s="11"/>
    </row>
    <row r="73" spans="1:9" x14ac:dyDescent="0.2">
      <c r="A73" s="8" t="s">
        <v>0</v>
      </c>
      <c r="B73" s="5">
        <f>B62+1</f>
        <v>46113</v>
      </c>
      <c r="C73" s="74"/>
      <c r="D73" s="6"/>
      <c r="E73" s="6"/>
      <c r="F73" s="6"/>
      <c r="G73" s="6"/>
      <c r="H73" s="6"/>
      <c r="I73" s="6"/>
    </row>
    <row r="74" spans="1:9" x14ac:dyDescent="0.2">
      <c r="A74" s="8" t="s">
        <v>1</v>
      </c>
      <c r="B74" s="5"/>
      <c r="C74" s="74"/>
      <c r="D74" s="6"/>
      <c r="E74" s="6"/>
      <c r="F74" s="6"/>
      <c r="G74" s="6"/>
      <c r="H74" s="6"/>
      <c r="I74" s="6"/>
    </row>
    <row r="75" spans="1:9" x14ac:dyDescent="0.2">
      <c r="A75" s="8" t="s">
        <v>2</v>
      </c>
      <c r="B75" s="5"/>
      <c r="C75" s="74"/>
      <c r="D75" s="6"/>
      <c r="E75" s="6"/>
      <c r="F75" s="6"/>
      <c r="G75" s="6"/>
      <c r="H75" s="6"/>
      <c r="I75" s="6"/>
    </row>
    <row r="76" spans="1:9" x14ac:dyDescent="0.2">
      <c r="A76" s="8" t="s">
        <v>3</v>
      </c>
      <c r="B76" s="5"/>
      <c r="C76" s="74"/>
      <c r="D76" s="6"/>
      <c r="E76" s="6"/>
      <c r="F76" s="6"/>
      <c r="G76" s="6"/>
      <c r="H76" s="6"/>
      <c r="I76" s="6"/>
    </row>
    <row r="77" spans="1:9" x14ac:dyDescent="0.2">
      <c r="A77" s="8" t="s">
        <v>4</v>
      </c>
      <c r="B77" s="5"/>
      <c r="C77" s="74"/>
      <c r="D77" s="6"/>
      <c r="E77" s="6"/>
      <c r="F77" s="6"/>
      <c r="G77" s="6"/>
      <c r="H77" s="6"/>
      <c r="I77" s="6"/>
    </row>
    <row r="78" spans="1:9" x14ac:dyDescent="0.2">
      <c r="A78" s="8" t="s">
        <v>5</v>
      </c>
      <c r="B78" s="5"/>
      <c r="C78" s="74"/>
      <c r="D78" s="6"/>
      <c r="E78" s="6"/>
      <c r="F78" s="6"/>
      <c r="G78" s="6"/>
      <c r="H78" s="6"/>
      <c r="I78" s="6"/>
    </row>
    <row r="79" spans="1:9" x14ac:dyDescent="0.2">
      <c r="A79" s="8" t="s">
        <v>6</v>
      </c>
      <c r="B79" s="5"/>
      <c r="C79" s="74"/>
      <c r="D79" s="6"/>
      <c r="E79" s="6"/>
      <c r="F79" s="6"/>
      <c r="G79" s="6"/>
      <c r="H79" s="6"/>
      <c r="I79" s="6"/>
    </row>
    <row r="80" spans="1:9" x14ac:dyDescent="0.2">
      <c r="A80" s="8" t="s">
        <v>7</v>
      </c>
      <c r="B80" s="5"/>
      <c r="C80" s="74"/>
      <c r="D80" s="6"/>
      <c r="E80" s="6"/>
      <c r="F80" s="6"/>
      <c r="G80" s="6"/>
      <c r="H80" s="6"/>
      <c r="I80" s="6"/>
    </row>
    <row r="81" spans="1:9" x14ac:dyDescent="0.2">
      <c r="A81" s="8" t="s">
        <v>8</v>
      </c>
      <c r="B81" s="5"/>
      <c r="C81" s="74"/>
      <c r="D81" s="6"/>
      <c r="E81" s="6"/>
      <c r="F81" s="6"/>
      <c r="G81" s="6"/>
      <c r="H81" s="6"/>
      <c r="I81" s="6"/>
    </row>
    <row r="82" spans="1:9" x14ac:dyDescent="0.2">
      <c r="A82" s="8" t="s">
        <v>9</v>
      </c>
      <c r="B82" s="5"/>
      <c r="C82" s="74"/>
      <c r="D82" s="6"/>
      <c r="E82" s="6"/>
      <c r="F82" s="6"/>
      <c r="G82" s="6"/>
      <c r="H82" s="6"/>
      <c r="I82" s="6"/>
    </row>
    <row r="83" spans="1:9" x14ac:dyDescent="0.2">
      <c r="A83" s="312" t="s">
        <v>10</v>
      </c>
      <c r="B83" s="313"/>
      <c r="C83" s="313"/>
      <c r="D83" s="313"/>
      <c r="E83" s="314"/>
      <c r="F83" s="11">
        <f>SUM(F73:F82)</f>
        <v>0</v>
      </c>
      <c r="G83" s="11">
        <f>SUM(G73:G82)</f>
        <v>0</v>
      </c>
      <c r="H83" s="11">
        <f>SUM(H73:H82)</f>
        <v>0</v>
      </c>
      <c r="I83" s="11"/>
    </row>
    <row r="84" spans="1:9" s="25" customFormat="1" ht="18" x14ac:dyDescent="0.2">
      <c r="A84" s="324" t="s">
        <v>39</v>
      </c>
      <c r="B84" s="325"/>
      <c r="C84" s="325"/>
      <c r="D84" s="325"/>
      <c r="E84" s="326"/>
      <c r="F84" s="24">
        <f>F17+F28+F39+F50+F61+F72+F83</f>
        <v>26</v>
      </c>
      <c r="G84" s="24">
        <f>G17+G28+G39+G50+G61+G72+G83</f>
        <v>4</v>
      </c>
      <c r="H84" s="24">
        <f>H17+H28+H39+H50+H61+H72+H83</f>
        <v>151.75</v>
      </c>
      <c r="I84" s="24"/>
    </row>
    <row r="85" spans="1:9" ht="21.95" customHeight="1" x14ac:dyDescent="0.2">
      <c r="A85" s="319" t="s">
        <v>14</v>
      </c>
      <c r="B85" s="319"/>
      <c r="C85" s="319"/>
      <c r="D85" s="319"/>
      <c r="E85" s="319"/>
      <c r="F85" s="319"/>
      <c r="G85" s="319"/>
      <c r="H85" s="319"/>
      <c r="I85" s="319"/>
    </row>
    <row r="86" spans="1:9" s="53" customFormat="1" ht="20.100000000000001" customHeight="1" x14ac:dyDescent="0.2">
      <c r="A86" s="323" t="s">
        <v>86</v>
      </c>
      <c r="B86" s="323"/>
      <c r="C86" s="323"/>
      <c r="D86" s="323"/>
      <c r="E86" s="323"/>
      <c r="F86" s="50" t="str">
        <f>F2</f>
        <v>เมษายน</v>
      </c>
      <c r="G86" s="50" t="s">
        <v>87</v>
      </c>
      <c r="H86" s="51">
        <f>H2</f>
        <v>2569</v>
      </c>
      <c r="I86" s="52"/>
    </row>
    <row r="87" spans="1:9" s="3" customFormat="1" ht="20.100000000000001" customHeight="1" x14ac:dyDescent="0.35">
      <c r="A87" s="318" t="s">
        <v>38</v>
      </c>
      <c r="B87" s="318"/>
      <c r="C87" s="318"/>
      <c r="D87" s="2"/>
      <c r="F87" s="4"/>
      <c r="G87" s="4"/>
      <c r="H87" s="4" t="s">
        <v>21</v>
      </c>
      <c r="I87" s="40">
        <f>I3+1</f>
        <v>2</v>
      </c>
    </row>
    <row r="88" spans="1:9" s="3" customFormat="1" ht="20.100000000000001" customHeight="1" x14ac:dyDescent="0.35">
      <c r="A88" s="311" t="s">
        <v>68</v>
      </c>
      <c r="B88" s="311"/>
      <c r="C88" s="311"/>
      <c r="D88" s="2"/>
      <c r="E88" s="39" t="s">
        <v>81</v>
      </c>
      <c r="F88" s="308">
        <f>F4</f>
        <v>46107</v>
      </c>
      <c r="G88" s="308"/>
      <c r="H88" s="39" t="s">
        <v>82</v>
      </c>
      <c r="I88" s="34">
        <f>I4</f>
        <v>46136</v>
      </c>
    </row>
    <row r="89" spans="1:9" x14ac:dyDescent="0.2">
      <c r="A89" s="12" t="s">
        <v>23</v>
      </c>
      <c r="B89" s="13" t="s">
        <v>11</v>
      </c>
      <c r="C89" s="72" t="s">
        <v>26</v>
      </c>
      <c r="D89" s="12" t="s">
        <v>16</v>
      </c>
      <c r="E89" s="12" t="s">
        <v>17</v>
      </c>
      <c r="F89" s="310" t="s">
        <v>46</v>
      </c>
      <c r="G89" s="310"/>
      <c r="H89" s="310"/>
      <c r="I89" s="12" t="s">
        <v>19</v>
      </c>
    </row>
    <row r="90" spans="1:9" x14ac:dyDescent="0.2">
      <c r="A90" s="15"/>
      <c r="B90" s="16"/>
      <c r="C90" s="73"/>
      <c r="D90" s="15"/>
      <c r="E90" s="15"/>
      <c r="F90" s="21" t="s">
        <v>113</v>
      </c>
      <c r="G90" s="21" t="s">
        <v>114</v>
      </c>
      <c r="H90" s="21" t="s">
        <v>20</v>
      </c>
      <c r="I90" s="15"/>
    </row>
    <row r="91" spans="1:9" hidden="1" x14ac:dyDescent="0.2">
      <c r="A91" s="8" t="s">
        <v>0</v>
      </c>
      <c r="B91" s="5">
        <f>B73+1</f>
        <v>46114</v>
      </c>
      <c r="C91" s="74"/>
      <c r="D91" s="6"/>
      <c r="E91" s="6"/>
      <c r="F91" s="6"/>
      <c r="G91" s="6"/>
      <c r="H91" s="6"/>
      <c r="I91" s="6"/>
    </row>
    <row r="92" spans="1:9" hidden="1" x14ac:dyDescent="0.2">
      <c r="A92" s="8" t="s">
        <v>1</v>
      </c>
      <c r="B92" s="5"/>
      <c r="C92" s="74"/>
      <c r="D92" s="6"/>
      <c r="E92" s="6"/>
      <c r="F92" s="6"/>
      <c r="G92" s="6"/>
      <c r="H92" s="6"/>
      <c r="I92" s="6"/>
    </row>
    <row r="93" spans="1:9" hidden="1" x14ac:dyDescent="0.2">
      <c r="A93" s="8" t="s">
        <v>2</v>
      </c>
      <c r="B93" s="5"/>
      <c r="C93" s="74"/>
      <c r="D93" s="6"/>
      <c r="E93" s="6"/>
      <c r="F93" s="6"/>
      <c r="G93" s="6"/>
      <c r="H93" s="6"/>
      <c r="I93" s="6"/>
    </row>
    <row r="94" spans="1:9" hidden="1" x14ac:dyDescent="0.2">
      <c r="A94" s="8" t="s">
        <v>3</v>
      </c>
      <c r="B94" s="5"/>
      <c r="C94" s="74"/>
      <c r="D94" s="6"/>
      <c r="E94" s="6"/>
      <c r="F94" s="6"/>
      <c r="G94" s="6"/>
      <c r="H94" s="6"/>
      <c r="I94" s="6"/>
    </row>
    <row r="95" spans="1:9" hidden="1" x14ac:dyDescent="0.2">
      <c r="A95" s="8" t="s">
        <v>4</v>
      </c>
      <c r="B95" s="5"/>
      <c r="C95" s="74"/>
      <c r="D95" s="6"/>
      <c r="E95" s="6"/>
      <c r="F95" s="6"/>
      <c r="G95" s="6"/>
      <c r="H95" s="6"/>
      <c r="I95" s="6"/>
    </row>
    <row r="96" spans="1:9" hidden="1" x14ac:dyDescent="0.2">
      <c r="A96" s="8" t="s">
        <v>5</v>
      </c>
      <c r="B96" s="5"/>
      <c r="C96" s="74"/>
      <c r="D96" s="6"/>
      <c r="E96" s="6"/>
      <c r="F96" s="6"/>
      <c r="G96" s="6"/>
      <c r="H96" s="6"/>
      <c r="I96" s="6"/>
    </row>
    <row r="97" spans="1:9" hidden="1" x14ac:dyDescent="0.2">
      <c r="A97" s="8" t="s">
        <v>6</v>
      </c>
      <c r="B97" s="5"/>
      <c r="C97" s="74"/>
      <c r="D97" s="6"/>
      <c r="E97" s="6"/>
      <c r="F97" s="6"/>
      <c r="G97" s="6"/>
      <c r="H97" s="6"/>
      <c r="I97" s="6"/>
    </row>
    <row r="98" spans="1:9" hidden="1" x14ac:dyDescent="0.2">
      <c r="A98" s="8" t="s">
        <v>7</v>
      </c>
      <c r="B98" s="5"/>
      <c r="C98" s="74"/>
      <c r="D98" s="6"/>
      <c r="E98" s="6"/>
      <c r="F98" s="6"/>
      <c r="G98" s="6"/>
      <c r="H98" s="6"/>
      <c r="I98" s="6"/>
    </row>
    <row r="99" spans="1:9" hidden="1" x14ac:dyDescent="0.2">
      <c r="A99" s="8" t="s">
        <v>8</v>
      </c>
      <c r="B99" s="5"/>
      <c r="C99" s="74"/>
      <c r="D99" s="6"/>
      <c r="E99" s="6"/>
      <c r="F99" s="6"/>
      <c r="G99" s="6"/>
      <c r="H99" s="6"/>
      <c r="I99" s="6"/>
    </row>
    <row r="100" spans="1:9" hidden="1" x14ac:dyDescent="0.2">
      <c r="A100" s="8" t="s">
        <v>9</v>
      </c>
      <c r="B100" s="5"/>
      <c r="C100" s="74"/>
      <c r="D100" s="6"/>
      <c r="E100" s="6"/>
      <c r="F100" s="6"/>
      <c r="G100" s="6"/>
      <c r="H100" s="6"/>
      <c r="I100" s="6"/>
    </row>
    <row r="101" spans="1:9" hidden="1" x14ac:dyDescent="0.2">
      <c r="A101" s="312" t="s">
        <v>10</v>
      </c>
      <c r="B101" s="313"/>
      <c r="C101" s="313"/>
      <c r="D101" s="313"/>
      <c r="E101" s="314"/>
      <c r="F101" s="11">
        <f>SUM(F91:F100)</f>
        <v>0</v>
      </c>
      <c r="G101" s="11">
        <f>SUM(G91:G100)</f>
        <v>0</v>
      </c>
      <c r="H101" s="11">
        <f>SUM(H91:H100)</f>
        <v>0</v>
      </c>
      <c r="I101" s="11"/>
    </row>
    <row r="102" spans="1:9" x14ac:dyDescent="0.2">
      <c r="A102" s="8" t="s">
        <v>0</v>
      </c>
      <c r="B102" s="5">
        <f>B91+1</f>
        <v>46115</v>
      </c>
      <c r="C102" s="74" t="s">
        <v>794</v>
      </c>
      <c r="D102" s="6" t="s">
        <v>342</v>
      </c>
      <c r="E102" s="6" t="s">
        <v>165</v>
      </c>
      <c r="F102" s="6">
        <v>1</v>
      </c>
      <c r="G102" s="6"/>
      <c r="H102" s="6">
        <v>6</v>
      </c>
      <c r="I102" s="6"/>
    </row>
    <row r="103" spans="1:9" x14ac:dyDescent="0.2">
      <c r="A103" s="8" t="s">
        <v>1</v>
      </c>
      <c r="B103" s="5"/>
      <c r="C103" s="74" t="s">
        <v>795</v>
      </c>
      <c r="D103" s="6" t="s">
        <v>170</v>
      </c>
      <c r="E103" s="6" t="s">
        <v>190</v>
      </c>
      <c r="F103" s="6">
        <v>1</v>
      </c>
      <c r="G103" s="6"/>
      <c r="H103" s="6">
        <v>4</v>
      </c>
      <c r="I103" s="6"/>
    </row>
    <row r="104" spans="1:9" x14ac:dyDescent="0.2">
      <c r="A104" s="8" t="s">
        <v>2</v>
      </c>
      <c r="B104" s="5"/>
      <c r="C104" s="74" t="s">
        <v>796</v>
      </c>
      <c r="D104" s="6" t="s">
        <v>170</v>
      </c>
      <c r="E104" s="6" t="s">
        <v>171</v>
      </c>
      <c r="F104" s="6">
        <v>1</v>
      </c>
      <c r="G104" s="6"/>
      <c r="H104" s="6">
        <v>6</v>
      </c>
      <c r="I104" s="6"/>
    </row>
    <row r="105" spans="1:9" x14ac:dyDescent="0.2">
      <c r="A105" s="8" t="s">
        <v>3</v>
      </c>
      <c r="B105" s="5"/>
      <c r="C105" s="74" t="s">
        <v>797</v>
      </c>
      <c r="D105" s="6" t="s">
        <v>170</v>
      </c>
      <c r="E105" s="6" t="s">
        <v>171</v>
      </c>
      <c r="F105" s="6">
        <v>1</v>
      </c>
      <c r="G105" s="6"/>
      <c r="H105" s="6">
        <v>6</v>
      </c>
      <c r="I105" s="6"/>
    </row>
    <row r="106" spans="1:9" x14ac:dyDescent="0.2">
      <c r="A106" s="8" t="s">
        <v>4</v>
      </c>
      <c r="B106" s="5"/>
      <c r="C106" s="74" t="s">
        <v>788</v>
      </c>
      <c r="D106" s="6" t="s">
        <v>170</v>
      </c>
      <c r="E106" s="6" t="s">
        <v>171</v>
      </c>
      <c r="F106" s="6">
        <v>1</v>
      </c>
      <c r="G106" s="6"/>
      <c r="H106" s="6">
        <v>6</v>
      </c>
      <c r="I106" s="6"/>
    </row>
    <row r="107" spans="1:9" x14ac:dyDescent="0.2">
      <c r="A107" s="8" t="s">
        <v>5</v>
      </c>
      <c r="B107" s="5"/>
      <c r="C107" s="74" t="s">
        <v>798</v>
      </c>
      <c r="D107" s="6" t="s">
        <v>170</v>
      </c>
      <c r="E107" s="6" t="s">
        <v>171</v>
      </c>
      <c r="F107" s="6">
        <v>1</v>
      </c>
      <c r="G107" s="6"/>
      <c r="H107" s="6">
        <v>6</v>
      </c>
      <c r="I107" s="6"/>
    </row>
    <row r="108" spans="1:9" x14ac:dyDescent="0.2">
      <c r="A108" s="8" t="s">
        <v>6</v>
      </c>
      <c r="B108" s="5"/>
      <c r="C108" s="74" t="s">
        <v>799</v>
      </c>
      <c r="D108" s="6" t="s">
        <v>170</v>
      </c>
      <c r="E108" s="6" t="s">
        <v>171</v>
      </c>
      <c r="F108" s="6"/>
      <c r="G108" s="6">
        <v>1</v>
      </c>
      <c r="H108" s="6">
        <v>6</v>
      </c>
      <c r="I108" s="6"/>
    </row>
    <row r="109" spans="1:9" x14ac:dyDescent="0.2">
      <c r="A109" s="8" t="s">
        <v>7</v>
      </c>
      <c r="B109" s="5"/>
      <c r="C109" s="74" t="s">
        <v>800</v>
      </c>
      <c r="D109" s="6" t="s">
        <v>170</v>
      </c>
      <c r="E109" s="6" t="s">
        <v>171</v>
      </c>
      <c r="F109" s="6"/>
      <c r="G109" s="6">
        <v>1</v>
      </c>
      <c r="H109" s="6">
        <v>6</v>
      </c>
      <c r="I109" s="6"/>
    </row>
    <row r="110" spans="1:9" x14ac:dyDescent="0.2">
      <c r="A110" s="8" t="s">
        <v>8</v>
      </c>
      <c r="B110" s="5"/>
      <c r="C110" s="74" t="s">
        <v>801</v>
      </c>
      <c r="D110" s="6" t="s">
        <v>170</v>
      </c>
      <c r="E110" s="6" t="s">
        <v>171</v>
      </c>
      <c r="F110" s="6"/>
      <c r="G110" s="6">
        <v>1</v>
      </c>
      <c r="H110" s="6">
        <v>6</v>
      </c>
      <c r="I110" s="6"/>
    </row>
    <row r="111" spans="1:9" hidden="1" x14ac:dyDescent="0.2">
      <c r="A111" s="8" t="s">
        <v>9</v>
      </c>
      <c r="B111" s="5"/>
      <c r="C111" s="74"/>
      <c r="D111" s="6"/>
      <c r="E111" s="6"/>
      <c r="F111" s="6"/>
      <c r="G111" s="6"/>
      <c r="H111" s="6"/>
      <c r="I111" s="6"/>
    </row>
    <row r="112" spans="1:9" x14ac:dyDescent="0.2">
      <c r="A112" s="312" t="s">
        <v>10</v>
      </c>
      <c r="B112" s="313"/>
      <c r="C112" s="313"/>
      <c r="D112" s="313"/>
      <c r="E112" s="314"/>
      <c r="F112" s="11">
        <f>SUM(F102:F111)</f>
        <v>6</v>
      </c>
      <c r="G112" s="11">
        <f>SUM(G102:G111)</f>
        <v>3</v>
      </c>
      <c r="H112" s="11">
        <f>SUM(H102:H111)</f>
        <v>52</v>
      </c>
      <c r="I112" s="11"/>
    </row>
    <row r="113" spans="1:9" x14ac:dyDescent="0.2">
      <c r="A113" s="8" t="s">
        <v>0</v>
      </c>
      <c r="B113" s="5">
        <f>B102+1</f>
        <v>46116</v>
      </c>
      <c r="C113" s="74" t="s">
        <v>850</v>
      </c>
      <c r="D113" s="6" t="s">
        <v>202</v>
      </c>
      <c r="E113" s="6" t="s">
        <v>165</v>
      </c>
      <c r="F113" s="6">
        <v>1</v>
      </c>
      <c r="G113" s="6"/>
      <c r="H113" s="6">
        <v>4</v>
      </c>
      <c r="I113" s="6"/>
    </row>
    <row r="114" spans="1:9" x14ac:dyDescent="0.2">
      <c r="A114" s="8" t="s">
        <v>1</v>
      </c>
      <c r="B114" s="5"/>
      <c r="C114" s="74" t="s">
        <v>853</v>
      </c>
      <c r="D114" s="6" t="s">
        <v>276</v>
      </c>
      <c r="E114" s="6" t="s">
        <v>168</v>
      </c>
      <c r="F114" s="6">
        <v>1</v>
      </c>
      <c r="G114" s="6"/>
      <c r="H114" s="6">
        <v>3</v>
      </c>
      <c r="I114" s="6"/>
    </row>
    <row r="115" spans="1:9" x14ac:dyDescent="0.2">
      <c r="A115" s="8" t="s">
        <v>2</v>
      </c>
      <c r="B115" s="5"/>
      <c r="C115" s="74" t="s">
        <v>854</v>
      </c>
      <c r="D115" s="6" t="s">
        <v>173</v>
      </c>
      <c r="E115" s="6" t="s">
        <v>544</v>
      </c>
      <c r="F115" s="6">
        <v>1</v>
      </c>
      <c r="G115" s="6"/>
      <c r="H115" s="6">
        <v>5.5</v>
      </c>
      <c r="I115" s="6"/>
    </row>
    <row r="116" spans="1:9" x14ac:dyDescent="0.2">
      <c r="A116" s="8" t="s">
        <v>3</v>
      </c>
      <c r="B116" s="5"/>
      <c r="C116" s="74" t="s">
        <v>855</v>
      </c>
      <c r="D116" s="6" t="s">
        <v>170</v>
      </c>
      <c r="E116" s="6" t="s">
        <v>174</v>
      </c>
      <c r="F116" s="6">
        <v>1</v>
      </c>
      <c r="G116" s="6"/>
      <c r="H116" s="6">
        <v>5</v>
      </c>
      <c r="I116" s="6"/>
    </row>
    <row r="117" spans="1:9" x14ac:dyDescent="0.2">
      <c r="A117" s="8" t="s">
        <v>4</v>
      </c>
      <c r="B117" s="5"/>
      <c r="C117" s="74" t="s">
        <v>856</v>
      </c>
      <c r="D117" s="6" t="s">
        <v>817</v>
      </c>
      <c r="E117" s="6" t="s">
        <v>190</v>
      </c>
      <c r="F117" s="6"/>
      <c r="G117" s="6">
        <v>1</v>
      </c>
      <c r="H117" s="6">
        <v>4</v>
      </c>
      <c r="I117" s="6"/>
    </row>
    <row r="118" spans="1:9" hidden="1" x14ac:dyDescent="0.2">
      <c r="A118" s="8" t="s">
        <v>5</v>
      </c>
      <c r="B118" s="5"/>
      <c r="C118" s="74"/>
      <c r="D118" s="6"/>
      <c r="E118" s="6"/>
      <c r="F118" s="6"/>
      <c r="G118" s="6"/>
      <c r="H118" s="6"/>
      <c r="I118" s="6"/>
    </row>
    <row r="119" spans="1:9" hidden="1" x14ac:dyDescent="0.2">
      <c r="A119" s="8" t="s">
        <v>6</v>
      </c>
      <c r="B119" s="5"/>
      <c r="C119" s="74"/>
      <c r="D119" s="6"/>
      <c r="E119" s="6"/>
      <c r="F119" s="6"/>
      <c r="G119" s="6"/>
      <c r="H119" s="6"/>
      <c r="I119" s="6"/>
    </row>
    <row r="120" spans="1:9" hidden="1" x14ac:dyDescent="0.2">
      <c r="A120" s="8" t="s">
        <v>7</v>
      </c>
      <c r="B120" s="5"/>
      <c r="C120" s="74"/>
      <c r="D120" s="6"/>
      <c r="E120" s="6"/>
      <c r="F120" s="6"/>
      <c r="G120" s="6"/>
      <c r="H120" s="6"/>
      <c r="I120" s="6"/>
    </row>
    <row r="121" spans="1:9" hidden="1" x14ac:dyDescent="0.2">
      <c r="A121" s="8" t="s">
        <v>8</v>
      </c>
      <c r="B121" s="5"/>
      <c r="C121" s="74"/>
      <c r="D121" s="6"/>
      <c r="E121" s="6"/>
      <c r="F121" s="6"/>
      <c r="G121" s="6"/>
      <c r="H121" s="6"/>
      <c r="I121" s="6"/>
    </row>
    <row r="122" spans="1:9" hidden="1" x14ac:dyDescent="0.2">
      <c r="A122" s="8" t="s">
        <v>9</v>
      </c>
      <c r="B122" s="5"/>
      <c r="C122" s="74"/>
      <c r="D122" s="6"/>
      <c r="E122" s="6"/>
      <c r="F122" s="6"/>
      <c r="G122" s="6"/>
      <c r="H122" s="6"/>
      <c r="I122" s="6"/>
    </row>
    <row r="123" spans="1:9" x14ac:dyDescent="0.2">
      <c r="A123" s="312" t="s">
        <v>10</v>
      </c>
      <c r="B123" s="313"/>
      <c r="C123" s="313"/>
      <c r="D123" s="313"/>
      <c r="E123" s="314"/>
      <c r="F123" s="11">
        <f>SUM(F113:F122)</f>
        <v>4</v>
      </c>
      <c r="G123" s="11">
        <f>SUM(G113:G122)</f>
        <v>1</v>
      </c>
      <c r="H123" s="11">
        <f>SUM(H113:H122)</f>
        <v>21.5</v>
      </c>
      <c r="I123" s="11"/>
    </row>
    <row r="124" spans="1:9" x14ac:dyDescent="0.2">
      <c r="A124" s="8" t="s">
        <v>0</v>
      </c>
      <c r="B124" s="5">
        <f>B113+1</f>
        <v>46117</v>
      </c>
      <c r="C124" s="75" t="s">
        <v>904</v>
      </c>
      <c r="D124" s="6" t="s">
        <v>342</v>
      </c>
      <c r="E124" s="6" t="s">
        <v>165</v>
      </c>
      <c r="F124" s="6">
        <v>1</v>
      </c>
      <c r="G124" s="6"/>
      <c r="H124" s="6">
        <v>6</v>
      </c>
      <c r="I124" s="6"/>
    </row>
    <row r="125" spans="1:9" x14ac:dyDescent="0.2">
      <c r="A125" s="8" t="s">
        <v>1</v>
      </c>
      <c r="B125" s="5"/>
      <c r="C125" s="75" t="s">
        <v>905</v>
      </c>
      <c r="D125" s="6" t="s">
        <v>342</v>
      </c>
      <c r="E125" s="6" t="s">
        <v>165</v>
      </c>
      <c r="F125" s="6">
        <v>1</v>
      </c>
      <c r="G125" s="6"/>
      <c r="H125" s="6">
        <v>4</v>
      </c>
      <c r="I125" s="6"/>
    </row>
    <row r="126" spans="1:9" x14ac:dyDescent="0.2">
      <c r="A126" s="8" t="s">
        <v>2</v>
      </c>
      <c r="B126" s="5"/>
      <c r="C126" s="75" t="s">
        <v>906</v>
      </c>
      <c r="D126" s="6" t="s">
        <v>170</v>
      </c>
      <c r="E126" s="6" t="s">
        <v>171</v>
      </c>
      <c r="F126" s="6">
        <v>1</v>
      </c>
      <c r="G126" s="6"/>
      <c r="H126" s="6">
        <v>1</v>
      </c>
      <c r="I126" s="6"/>
    </row>
    <row r="127" spans="1:9" x14ac:dyDescent="0.2">
      <c r="A127" s="8" t="s">
        <v>3</v>
      </c>
      <c r="B127" s="5"/>
      <c r="C127" s="75" t="s">
        <v>907</v>
      </c>
      <c r="D127" s="6" t="s">
        <v>211</v>
      </c>
      <c r="E127" s="6" t="s">
        <v>165</v>
      </c>
      <c r="F127" s="6">
        <v>1</v>
      </c>
      <c r="G127" s="6"/>
      <c r="H127" s="6">
        <v>2</v>
      </c>
      <c r="I127" s="6"/>
    </row>
    <row r="128" spans="1:9" x14ac:dyDescent="0.2">
      <c r="A128" s="8" t="s">
        <v>4</v>
      </c>
      <c r="B128" s="5"/>
      <c r="C128" s="75" t="s">
        <v>908</v>
      </c>
      <c r="D128" s="6" t="s">
        <v>170</v>
      </c>
      <c r="E128" s="6" t="s">
        <v>171</v>
      </c>
      <c r="F128" s="6">
        <v>1</v>
      </c>
      <c r="G128" s="6"/>
      <c r="H128" s="6">
        <v>6</v>
      </c>
      <c r="I128" s="6"/>
    </row>
    <row r="129" spans="1:9" x14ac:dyDescent="0.2">
      <c r="A129" s="8" t="s">
        <v>5</v>
      </c>
      <c r="B129" s="5"/>
      <c r="C129" s="74" t="s">
        <v>909</v>
      </c>
      <c r="D129" s="6" t="s">
        <v>170</v>
      </c>
      <c r="E129" s="6" t="s">
        <v>171</v>
      </c>
      <c r="F129" s="6">
        <v>1</v>
      </c>
      <c r="G129" s="6"/>
      <c r="H129" s="6">
        <v>6</v>
      </c>
      <c r="I129" s="6"/>
    </row>
    <row r="130" spans="1:9" x14ac:dyDescent="0.2">
      <c r="A130" s="8" t="s">
        <v>6</v>
      </c>
      <c r="B130" s="5"/>
      <c r="C130" s="74" t="s">
        <v>910</v>
      </c>
      <c r="D130" s="6" t="s">
        <v>206</v>
      </c>
      <c r="E130" s="6" t="s">
        <v>171</v>
      </c>
      <c r="F130" s="6"/>
      <c r="G130" s="6">
        <v>1</v>
      </c>
      <c r="H130" s="6">
        <v>4.75</v>
      </c>
      <c r="I130" s="6"/>
    </row>
    <row r="131" spans="1:9" hidden="1" x14ac:dyDescent="0.2">
      <c r="A131" s="8" t="s">
        <v>7</v>
      </c>
      <c r="B131" s="5"/>
      <c r="C131" s="74"/>
      <c r="D131" s="6"/>
      <c r="E131" s="6"/>
      <c r="F131" s="6"/>
      <c r="G131" s="6"/>
      <c r="H131" s="6"/>
      <c r="I131" s="6"/>
    </row>
    <row r="132" spans="1:9" hidden="1" x14ac:dyDescent="0.2">
      <c r="A132" s="8" t="s">
        <v>8</v>
      </c>
      <c r="B132" s="5"/>
      <c r="C132" s="74"/>
      <c r="D132" s="6"/>
      <c r="E132" s="6"/>
      <c r="F132" s="6"/>
      <c r="G132" s="6"/>
      <c r="H132" s="6"/>
      <c r="I132" s="6"/>
    </row>
    <row r="133" spans="1:9" hidden="1" x14ac:dyDescent="0.2">
      <c r="A133" s="8" t="s">
        <v>9</v>
      </c>
      <c r="B133" s="5"/>
      <c r="C133" s="74"/>
      <c r="D133" s="6"/>
      <c r="E133" s="6"/>
      <c r="F133" s="6"/>
      <c r="G133" s="6"/>
      <c r="H133" s="6"/>
      <c r="I133" s="6"/>
    </row>
    <row r="134" spans="1:9" x14ac:dyDescent="0.2">
      <c r="A134" s="312" t="s">
        <v>10</v>
      </c>
      <c r="B134" s="313"/>
      <c r="C134" s="313"/>
      <c r="D134" s="313"/>
      <c r="E134" s="314"/>
      <c r="F134" s="11">
        <f>SUM(F124:F133)</f>
        <v>6</v>
      </c>
      <c r="G134" s="11">
        <f>SUM(G124:G133)</f>
        <v>1</v>
      </c>
      <c r="H134" s="11">
        <f>SUM(H124:H133)</f>
        <v>29.75</v>
      </c>
      <c r="I134" s="11"/>
    </row>
    <row r="135" spans="1:9" x14ac:dyDescent="0.2">
      <c r="A135" s="8" t="s">
        <v>0</v>
      </c>
      <c r="B135" s="5">
        <f>B124+1</f>
        <v>46118</v>
      </c>
      <c r="C135" s="75" t="s">
        <v>985</v>
      </c>
      <c r="D135" s="6" t="s">
        <v>242</v>
      </c>
      <c r="E135" s="6" t="s">
        <v>171</v>
      </c>
      <c r="F135" s="6">
        <v>1</v>
      </c>
      <c r="G135" s="6"/>
      <c r="H135" s="6">
        <v>5.5</v>
      </c>
      <c r="I135" s="6"/>
    </row>
    <row r="136" spans="1:9" x14ac:dyDescent="0.2">
      <c r="A136" s="8" t="s">
        <v>1</v>
      </c>
      <c r="B136" s="5"/>
      <c r="C136" s="75" t="s">
        <v>986</v>
      </c>
      <c r="D136" s="6" t="s">
        <v>242</v>
      </c>
      <c r="E136" s="6" t="s">
        <v>171</v>
      </c>
      <c r="F136" s="6">
        <v>1</v>
      </c>
      <c r="G136" s="6"/>
      <c r="H136" s="6">
        <v>5.5</v>
      </c>
      <c r="I136" s="6"/>
    </row>
    <row r="137" spans="1:9" x14ac:dyDescent="0.2">
      <c r="A137" s="8" t="s">
        <v>2</v>
      </c>
      <c r="B137" s="5"/>
      <c r="C137" s="75" t="s">
        <v>977</v>
      </c>
      <c r="D137" s="6" t="s">
        <v>242</v>
      </c>
      <c r="E137" s="6" t="s">
        <v>171</v>
      </c>
      <c r="F137" s="6">
        <v>1</v>
      </c>
      <c r="G137" s="6"/>
      <c r="H137" s="6">
        <v>6</v>
      </c>
      <c r="I137" s="6"/>
    </row>
    <row r="138" spans="1:9" x14ac:dyDescent="0.2">
      <c r="A138" s="8" t="s">
        <v>3</v>
      </c>
      <c r="B138" s="5"/>
      <c r="C138" s="75" t="s">
        <v>987</v>
      </c>
      <c r="D138" s="6" t="s">
        <v>211</v>
      </c>
      <c r="E138" s="6" t="s">
        <v>165</v>
      </c>
      <c r="F138" s="6">
        <v>1</v>
      </c>
      <c r="G138" s="6"/>
      <c r="H138" s="6">
        <v>6</v>
      </c>
      <c r="I138" s="6"/>
    </row>
    <row r="139" spans="1:9" x14ac:dyDescent="0.2">
      <c r="A139" s="8" t="s">
        <v>4</v>
      </c>
      <c r="B139" s="5"/>
      <c r="C139" s="75" t="s">
        <v>988</v>
      </c>
      <c r="D139" s="6" t="s">
        <v>242</v>
      </c>
      <c r="E139" s="6" t="s">
        <v>171</v>
      </c>
      <c r="F139" s="6">
        <v>1</v>
      </c>
      <c r="G139" s="6"/>
      <c r="H139" s="6">
        <v>6</v>
      </c>
      <c r="I139" s="6"/>
    </row>
    <row r="140" spans="1:9" x14ac:dyDescent="0.2">
      <c r="A140" s="8" t="s">
        <v>5</v>
      </c>
      <c r="B140" s="5"/>
      <c r="C140" s="75" t="s">
        <v>950</v>
      </c>
      <c r="D140" s="6" t="s">
        <v>170</v>
      </c>
      <c r="E140" s="6" t="s">
        <v>171</v>
      </c>
      <c r="F140" s="6"/>
      <c r="G140" s="6">
        <v>1</v>
      </c>
      <c r="H140" s="6">
        <v>6</v>
      </c>
      <c r="I140" s="6"/>
    </row>
    <row r="141" spans="1:9" x14ac:dyDescent="0.2">
      <c r="A141" s="8" t="s">
        <v>6</v>
      </c>
      <c r="B141" s="5"/>
      <c r="C141" s="74" t="s">
        <v>989</v>
      </c>
      <c r="D141" s="6" t="s">
        <v>170</v>
      </c>
      <c r="E141" s="6" t="s">
        <v>171</v>
      </c>
      <c r="F141" s="6"/>
      <c r="G141" s="6">
        <v>1</v>
      </c>
      <c r="H141" s="6">
        <v>6</v>
      </c>
      <c r="I141" s="6"/>
    </row>
    <row r="142" spans="1:9" x14ac:dyDescent="0.2">
      <c r="A142" s="8" t="s">
        <v>7</v>
      </c>
      <c r="B142" s="5"/>
      <c r="C142" s="74" t="s">
        <v>990</v>
      </c>
      <c r="D142" s="6" t="s">
        <v>170</v>
      </c>
      <c r="E142" s="6" t="s">
        <v>171</v>
      </c>
      <c r="F142" s="6"/>
      <c r="G142" s="6">
        <v>1</v>
      </c>
      <c r="H142" s="6">
        <v>6</v>
      </c>
      <c r="I142" s="6"/>
    </row>
    <row r="143" spans="1:9" x14ac:dyDescent="0.2">
      <c r="A143" s="8" t="s">
        <v>8</v>
      </c>
      <c r="B143" s="5"/>
      <c r="C143" s="74" t="s">
        <v>991</v>
      </c>
      <c r="D143" s="6" t="s">
        <v>170</v>
      </c>
      <c r="E143" s="6" t="s">
        <v>171</v>
      </c>
      <c r="F143" s="6"/>
      <c r="G143" s="6">
        <v>1</v>
      </c>
      <c r="H143" s="6">
        <v>6</v>
      </c>
      <c r="I143" s="6"/>
    </row>
    <row r="144" spans="1:9" hidden="1" x14ac:dyDescent="0.2">
      <c r="A144" s="8" t="s">
        <v>9</v>
      </c>
      <c r="B144" s="5"/>
      <c r="C144" s="74"/>
      <c r="D144" s="6"/>
      <c r="E144" s="6"/>
      <c r="F144" s="6"/>
      <c r="G144" s="6"/>
      <c r="H144" s="6"/>
      <c r="I144" s="6"/>
    </row>
    <row r="145" spans="1:9" x14ac:dyDescent="0.2">
      <c r="A145" s="312" t="s">
        <v>10</v>
      </c>
      <c r="B145" s="313"/>
      <c r="C145" s="313"/>
      <c r="D145" s="313"/>
      <c r="E145" s="314"/>
      <c r="F145" s="11">
        <f>SUM(F135:F144)</f>
        <v>5</v>
      </c>
      <c r="G145" s="11">
        <f>SUM(G135:G144)</f>
        <v>4</v>
      </c>
      <c r="H145" s="11">
        <f>SUM(H135:H144)</f>
        <v>53</v>
      </c>
      <c r="I145" s="11"/>
    </row>
    <row r="146" spans="1:9" x14ac:dyDescent="0.2">
      <c r="A146" s="8" t="s">
        <v>0</v>
      </c>
      <c r="B146" s="5">
        <f>B135+1</f>
        <v>46119</v>
      </c>
      <c r="C146" s="74" t="s">
        <v>1049</v>
      </c>
      <c r="D146" s="6" t="s">
        <v>173</v>
      </c>
      <c r="E146" s="6" t="s">
        <v>441</v>
      </c>
      <c r="F146" s="6">
        <v>1</v>
      </c>
      <c r="G146" s="6"/>
      <c r="H146" s="6">
        <v>6</v>
      </c>
      <c r="I146" s="6"/>
    </row>
    <row r="147" spans="1:9" x14ac:dyDescent="0.2">
      <c r="A147" s="8" t="s">
        <v>1</v>
      </c>
      <c r="B147" s="5"/>
      <c r="C147" s="74" t="s">
        <v>1050</v>
      </c>
      <c r="D147" s="6" t="s">
        <v>211</v>
      </c>
      <c r="E147" s="6" t="s">
        <v>171</v>
      </c>
      <c r="F147" s="6">
        <v>1</v>
      </c>
      <c r="G147" s="6"/>
      <c r="H147" s="6">
        <v>6</v>
      </c>
      <c r="I147" s="6"/>
    </row>
    <row r="148" spans="1:9" x14ac:dyDescent="0.2">
      <c r="A148" s="8" t="s">
        <v>2</v>
      </c>
      <c r="B148" s="5"/>
      <c r="C148" s="74" t="s">
        <v>1046</v>
      </c>
      <c r="D148" s="6" t="s">
        <v>173</v>
      </c>
      <c r="E148" s="6" t="s">
        <v>441</v>
      </c>
      <c r="F148" s="6">
        <v>1</v>
      </c>
      <c r="G148" s="6"/>
      <c r="H148" s="6">
        <v>5.75</v>
      </c>
      <c r="I148" s="6"/>
    </row>
    <row r="149" spans="1:9" x14ac:dyDescent="0.2">
      <c r="A149" s="8" t="s">
        <v>3</v>
      </c>
      <c r="B149" s="5"/>
      <c r="C149" s="74" t="s">
        <v>1051</v>
      </c>
      <c r="D149" s="6" t="s">
        <v>347</v>
      </c>
      <c r="E149" s="6" t="s">
        <v>190</v>
      </c>
      <c r="F149" s="6">
        <v>1</v>
      </c>
      <c r="G149" s="6"/>
      <c r="H149" s="6">
        <v>4</v>
      </c>
      <c r="I149" s="6"/>
    </row>
    <row r="150" spans="1:9" x14ac:dyDescent="0.2">
      <c r="A150" s="8" t="s">
        <v>4</v>
      </c>
      <c r="B150" s="5"/>
      <c r="C150" s="74" t="s">
        <v>1052</v>
      </c>
      <c r="D150" s="6" t="s">
        <v>211</v>
      </c>
      <c r="E150" s="6" t="s">
        <v>171</v>
      </c>
      <c r="F150" s="6">
        <v>1</v>
      </c>
      <c r="G150" s="6"/>
      <c r="H150" s="6">
        <v>6</v>
      </c>
      <c r="I150" s="6"/>
    </row>
    <row r="151" spans="1:9" x14ac:dyDescent="0.2">
      <c r="A151" s="8" t="s">
        <v>5</v>
      </c>
      <c r="B151" s="5"/>
      <c r="C151" s="74" t="s">
        <v>1053</v>
      </c>
      <c r="D151" s="6" t="s">
        <v>334</v>
      </c>
      <c r="E151" s="6" t="s">
        <v>168</v>
      </c>
      <c r="F151" s="6">
        <v>1</v>
      </c>
      <c r="G151" s="6"/>
      <c r="H151" s="6">
        <v>4</v>
      </c>
      <c r="I151" s="6"/>
    </row>
    <row r="152" spans="1:9" x14ac:dyDescent="0.2">
      <c r="A152" s="8" t="s">
        <v>6</v>
      </c>
      <c r="B152" s="5"/>
      <c r="C152" s="74" t="s">
        <v>1054</v>
      </c>
      <c r="D152" s="6" t="s">
        <v>347</v>
      </c>
      <c r="E152" s="6" t="s">
        <v>441</v>
      </c>
      <c r="F152" s="6"/>
      <c r="G152" s="6">
        <v>1</v>
      </c>
      <c r="H152" s="6">
        <v>5</v>
      </c>
      <c r="I152" s="6"/>
    </row>
    <row r="153" spans="1:9" hidden="1" x14ac:dyDescent="0.2">
      <c r="A153" s="8" t="s">
        <v>7</v>
      </c>
      <c r="B153" s="5"/>
      <c r="C153" s="74"/>
      <c r="D153" s="6"/>
      <c r="E153" s="6"/>
      <c r="F153" s="6"/>
      <c r="G153" s="6"/>
      <c r="H153" s="6"/>
      <c r="I153" s="6"/>
    </row>
    <row r="154" spans="1:9" hidden="1" x14ac:dyDescent="0.2">
      <c r="A154" s="8" t="s">
        <v>8</v>
      </c>
      <c r="B154" s="5"/>
      <c r="C154" s="74"/>
      <c r="D154" s="6"/>
      <c r="E154" s="6"/>
      <c r="F154" s="6"/>
      <c r="G154" s="6"/>
      <c r="H154" s="6"/>
      <c r="I154" s="6"/>
    </row>
    <row r="155" spans="1:9" hidden="1" x14ac:dyDescent="0.2">
      <c r="A155" s="8" t="s">
        <v>9</v>
      </c>
      <c r="B155" s="5"/>
      <c r="C155" s="75"/>
      <c r="D155" s="6"/>
      <c r="E155" s="6"/>
      <c r="F155" s="6"/>
      <c r="G155" s="6"/>
      <c r="H155" s="6"/>
      <c r="I155" s="6"/>
    </row>
    <row r="156" spans="1:9" x14ac:dyDescent="0.2">
      <c r="A156" s="312" t="s">
        <v>10</v>
      </c>
      <c r="B156" s="313"/>
      <c r="C156" s="313"/>
      <c r="D156" s="313"/>
      <c r="E156" s="314"/>
      <c r="F156" s="11">
        <f>SUM(F146:F155)</f>
        <v>6</v>
      </c>
      <c r="G156" s="11">
        <f>SUM(G146:G155)</f>
        <v>1</v>
      </c>
      <c r="H156" s="11">
        <f>SUM(H146:H155)</f>
        <v>36.75</v>
      </c>
      <c r="I156" s="11"/>
    </row>
    <row r="157" spans="1:9" x14ac:dyDescent="0.2">
      <c r="A157" s="8" t="s">
        <v>0</v>
      </c>
      <c r="B157" s="5">
        <f>B146+1</f>
        <v>46120</v>
      </c>
      <c r="C157" s="74" t="s">
        <v>1101</v>
      </c>
      <c r="D157" s="6" t="s">
        <v>170</v>
      </c>
      <c r="E157" s="6" t="s">
        <v>165</v>
      </c>
      <c r="F157" s="6">
        <v>1</v>
      </c>
      <c r="G157" s="6"/>
      <c r="H157" s="6">
        <v>6</v>
      </c>
      <c r="I157" s="6"/>
    </row>
    <row r="158" spans="1:9" x14ac:dyDescent="0.2">
      <c r="A158" s="8" t="s">
        <v>1</v>
      </c>
      <c r="B158" s="5"/>
      <c r="C158" s="74" t="s">
        <v>1102</v>
      </c>
      <c r="D158" s="6" t="s">
        <v>170</v>
      </c>
      <c r="E158" s="6" t="s">
        <v>165</v>
      </c>
      <c r="F158" s="6">
        <v>1</v>
      </c>
      <c r="G158" s="6"/>
      <c r="H158" s="6">
        <v>6</v>
      </c>
      <c r="I158" s="6"/>
    </row>
    <row r="159" spans="1:9" x14ac:dyDescent="0.2">
      <c r="A159" s="8" t="s">
        <v>2</v>
      </c>
      <c r="B159" s="5"/>
      <c r="C159" s="74" t="s">
        <v>1103</v>
      </c>
      <c r="D159" s="6" t="s">
        <v>211</v>
      </c>
      <c r="E159" s="6" t="s">
        <v>165</v>
      </c>
      <c r="F159" s="6">
        <v>1</v>
      </c>
      <c r="G159" s="6"/>
      <c r="H159" s="6">
        <v>6</v>
      </c>
      <c r="I159" s="6"/>
    </row>
    <row r="160" spans="1:9" x14ac:dyDescent="0.2">
      <c r="A160" s="8" t="s">
        <v>3</v>
      </c>
      <c r="B160" s="5"/>
      <c r="C160" s="74" t="s">
        <v>1104</v>
      </c>
      <c r="D160" s="6" t="s">
        <v>211</v>
      </c>
      <c r="E160" s="6" t="s">
        <v>165</v>
      </c>
      <c r="F160" s="6">
        <v>1</v>
      </c>
      <c r="G160" s="6"/>
      <c r="H160" s="6">
        <v>6</v>
      </c>
      <c r="I160" s="6"/>
    </row>
    <row r="161" spans="1:9" x14ac:dyDescent="0.2">
      <c r="A161" s="8" t="s">
        <v>4</v>
      </c>
      <c r="B161" s="5"/>
      <c r="C161" s="74" t="s">
        <v>1105</v>
      </c>
      <c r="D161" s="6" t="s">
        <v>211</v>
      </c>
      <c r="E161" s="6" t="s">
        <v>165</v>
      </c>
      <c r="F161" s="6">
        <v>1</v>
      </c>
      <c r="G161" s="6"/>
      <c r="H161" s="6">
        <v>6</v>
      </c>
      <c r="I161" s="6"/>
    </row>
    <row r="162" spans="1:9" hidden="1" x14ac:dyDescent="0.2">
      <c r="A162" s="8" t="s">
        <v>5</v>
      </c>
      <c r="B162" s="5"/>
      <c r="C162" s="74"/>
      <c r="D162" s="6"/>
      <c r="E162" s="6"/>
      <c r="F162" s="6"/>
      <c r="G162" s="6"/>
      <c r="H162" s="6"/>
      <c r="I162" s="6"/>
    </row>
    <row r="163" spans="1:9" hidden="1" x14ac:dyDescent="0.2">
      <c r="A163" s="8" t="s">
        <v>6</v>
      </c>
      <c r="B163" s="5"/>
      <c r="C163" s="74"/>
      <c r="D163" s="6"/>
      <c r="E163" s="6"/>
      <c r="F163" s="6"/>
      <c r="G163" s="6"/>
      <c r="H163" s="6"/>
      <c r="I163" s="6"/>
    </row>
    <row r="164" spans="1:9" hidden="1" x14ac:dyDescent="0.2">
      <c r="A164" s="8" t="s">
        <v>7</v>
      </c>
      <c r="B164" s="5"/>
      <c r="C164" s="74"/>
      <c r="D164" s="6"/>
      <c r="E164" s="6"/>
      <c r="F164" s="6"/>
      <c r="G164" s="6"/>
      <c r="H164" s="6"/>
      <c r="I164" s="6"/>
    </row>
    <row r="165" spans="1:9" hidden="1" x14ac:dyDescent="0.2">
      <c r="A165" s="8" t="s">
        <v>8</v>
      </c>
      <c r="B165" s="5"/>
      <c r="C165" s="74"/>
      <c r="D165" s="6"/>
      <c r="E165" s="6"/>
      <c r="F165" s="6"/>
      <c r="G165" s="6"/>
      <c r="H165" s="6"/>
      <c r="I165" s="6"/>
    </row>
    <row r="166" spans="1:9" hidden="1" x14ac:dyDescent="0.2">
      <c r="A166" s="8" t="s">
        <v>9</v>
      </c>
      <c r="B166" s="5"/>
      <c r="C166" s="74"/>
      <c r="D166" s="6"/>
      <c r="E166" s="6"/>
      <c r="F166" s="6"/>
      <c r="G166" s="6"/>
      <c r="H166" s="6"/>
      <c r="I166" s="6"/>
    </row>
    <row r="167" spans="1:9" x14ac:dyDescent="0.2">
      <c r="A167" s="312" t="s">
        <v>10</v>
      </c>
      <c r="B167" s="313"/>
      <c r="C167" s="313"/>
      <c r="D167" s="313"/>
      <c r="E167" s="314"/>
      <c r="F167" s="11">
        <f>SUM(F157:F166)</f>
        <v>5</v>
      </c>
      <c r="G167" s="11">
        <f>SUM(G157:G166)</f>
        <v>0</v>
      </c>
      <c r="H167" s="11">
        <f>SUM(H157:H166)</f>
        <v>30</v>
      </c>
      <c r="I167" s="11"/>
    </row>
    <row r="168" spans="1:9" s="25" customFormat="1" ht="18" x14ac:dyDescent="0.2">
      <c r="A168" s="315" t="s">
        <v>39</v>
      </c>
      <c r="B168" s="316"/>
      <c r="C168" s="316"/>
      <c r="D168" s="316"/>
      <c r="E168" s="317"/>
      <c r="F168" s="22">
        <f>F101+F112+F123+F134+F145+F156+F167+F84</f>
        <v>58</v>
      </c>
      <c r="G168" s="22">
        <f>G101+G112+G123+G134+G145+G156+G167+G84</f>
        <v>14</v>
      </c>
      <c r="H168" s="22">
        <f>H101+H112+H123+H134+H145+H156+H167+H84</f>
        <v>374.75</v>
      </c>
      <c r="I168" s="22"/>
    </row>
    <row r="169" spans="1:9" ht="21.95" customHeight="1" x14ac:dyDescent="0.2">
      <c r="A169" s="319" t="s">
        <v>14</v>
      </c>
      <c r="B169" s="319"/>
      <c r="C169" s="319"/>
      <c r="D169" s="319"/>
      <c r="E169" s="319"/>
      <c r="F169" s="319"/>
      <c r="G169" s="319"/>
      <c r="H169" s="319"/>
      <c r="I169" s="319"/>
    </row>
    <row r="170" spans="1:9" s="53" customFormat="1" ht="20.100000000000001" customHeight="1" x14ac:dyDescent="0.2">
      <c r="A170" s="323" t="s">
        <v>86</v>
      </c>
      <c r="B170" s="323"/>
      <c r="C170" s="323"/>
      <c r="D170" s="323"/>
      <c r="E170" s="323"/>
      <c r="F170" s="50" t="str">
        <f>F86</f>
        <v>เมษายน</v>
      </c>
      <c r="G170" s="50" t="s">
        <v>87</v>
      </c>
      <c r="H170" s="51">
        <f>H86</f>
        <v>2569</v>
      </c>
      <c r="I170" s="52"/>
    </row>
    <row r="171" spans="1:9" s="3" customFormat="1" ht="20.100000000000001" customHeight="1" x14ac:dyDescent="0.35">
      <c r="A171" s="318" t="s">
        <v>38</v>
      </c>
      <c r="B171" s="318"/>
      <c r="C171" s="318"/>
      <c r="D171" s="2"/>
      <c r="F171" s="4"/>
      <c r="G171" s="4"/>
      <c r="H171" s="4" t="s">
        <v>21</v>
      </c>
      <c r="I171" s="40">
        <f>I87+1</f>
        <v>3</v>
      </c>
    </row>
    <row r="172" spans="1:9" s="3" customFormat="1" ht="20.100000000000001" customHeight="1" x14ac:dyDescent="0.35">
      <c r="A172" s="311" t="s">
        <v>68</v>
      </c>
      <c r="B172" s="311"/>
      <c r="C172" s="311"/>
      <c r="D172" s="2"/>
      <c r="E172" s="39" t="s">
        <v>81</v>
      </c>
      <c r="F172" s="308">
        <f>F88</f>
        <v>46107</v>
      </c>
      <c r="G172" s="308"/>
      <c r="H172" s="39" t="s">
        <v>82</v>
      </c>
      <c r="I172" s="34">
        <f>I88</f>
        <v>46136</v>
      </c>
    </row>
    <row r="173" spans="1:9" x14ac:dyDescent="0.2">
      <c r="A173" s="12" t="s">
        <v>23</v>
      </c>
      <c r="B173" s="13" t="s">
        <v>11</v>
      </c>
      <c r="C173" s="72" t="s">
        <v>26</v>
      </c>
      <c r="D173" s="12" t="s">
        <v>16</v>
      </c>
      <c r="E173" s="12" t="s">
        <v>17</v>
      </c>
      <c r="F173" s="310" t="s">
        <v>46</v>
      </c>
      <c r="G173" s="310"/>
      <c r="H173" s="310"/>
      <c r="I173" s="12" t="s">
        <v>19</v>
      </c>
    </row>
    <row r="174" spans="1:9" x14ac:dyDescent="0.2">
      <c r="A174" s="15"/>
      <c r="B174" s="16"/>
      <c r="C174" s="73"/>
      <c r="D174" s="15"/>
      <c r="E174" s="15"/>
      <c r="F174" s="21" t="s">
        <v>113</v>
      </c>
      <c r="G174" s="21" t="s">
        <v>114</v>
      </c>
      <c r="H174" s="21" t="s">
        <v>20</v>
      </c>
      <c r="I174" s="15"/>
    </row>
    <row r="175" spans="1:9" x14ac:dyDescent="0.2">
      <c r="A175" s="8" t="s">
        <v>0</v>
      </c>
      <c r="B175" s="5">
        <f>B157+1</f>
        <v>46121</v>
      </c>
      <c r="C175" s="74" t="s">
        <v>1158</v>
      </c>
      <c r="D175" s="6" t="s">
        <v>379</v>
      </c>
      <c r="E175" s="6" t="s">
        <v>165</v>
      </c>
      <c r="F175" s="6">
        <v>1</v>
      </c>
      <c r="G175" s="6"/>
      <c r="H175" s="6">
        <v>5</v>
      </c>
      <c r="I175" s="6"/>
    </row>
    <row r="176" spans="1:9" x14ac:dyDescent="0.2">
      <c r="A176" s="8" t="s">
        <v>1</v>
      </c>
      <c r="B176" s="5"/>
      <c r="C176" s="74" t="s">
        <v>1159</v>
      </c>
      <c r="D176" s="6" t="s">
        <v>342</v>
      </c>
      <c r="E176" s="6" t="s">
        <v>165</v>
      </c>
      <c r="F176" s="6">
        <v>1</v>
      </c>
      <c r="G176" s="6"/>
      <c r="H176" s="6">
        <v>6</v>
      </c>
      <c r="I176" s="6"/>
    </row>
    <row r="177" spans="1:9" x14ac:dyDescent="0.2">
      <c r="A177" s="8" t="s">
        <v>2</v>
      </c>
      <c r="B177" s="5"/>
      <c r="C177" s="74" t="s">
        <v>1160</v>
      </c>
      <c r="D177" s="6" t="s">
        <v>347</v>
      </c>
      <c r="E177" s="6" t="s">
        <v>441</v>
      </c>
      <c r="F177" s="6">
        <v>1</v>
      </c>
      <c r="G177" s="6"/>
      <c r="H177" s="6">
        <v>6</v>
      </c>
      <c r="I177" s="6"/>
    </row>
    <row r="178" spans="1:9" x14ac:dyDescent="0.2">
      <c r="A178" s="8" t="s">
        <v>3</v>
      </c>
      <c r="B178" s="5"/>
      <c r="C178" s="74" t="s">
        <v>1161</v>
      </c>
      <c r="D178" s="6" t="s">
        <v>206</v>
      </c>
      <c r="E178" s="6" t="s">
        <v>632</v>
      </c>
      <c r="F178" s="6">
        <v>1</v>
      </c>
      <c r="G178" s="6"/>
      <c r="H178" s="6">
        <v>6</v>
      </c>
      <c r="I178" s="6"/>
    </row>
    <row r="179" spans="1:9" x14ac:dyDescent="0.2">
      <c r="A179" s="8" t="s">
        <v>4</v>
      </c>
      <c r="B179" s="5"/>
      <c r="C179" s="74" t="s">
        <v>1162</v>
      </c>
      <c r="D179" s="6" t="s">
        <v>188</v>
      </c>
      <c r="E179" s="6" t="s">
        <v>190</v>
      </c>
      <c r="F179" s="6">
        <v>1</v>
      </c>
      <c r="G179" s="6"/>
      <c r="H179" s="6">
        <v>3</v>
      </c>
      <c r="I179" s="6"/>
    </row>
    <row r="180" spans="1:9" hidden="1" x14ac:dyDescent="0.2">
      <c r="A180" s="8" t="s">
        <v>5</v>
      </c>
      <c r="B180" s="5"/>
      <c r="C180" s="74"/>
      <c r="D180" s="6"/>
      <c r="E180" s="6"/>
      <c r="F180" s="6"/>
      <c r="G180" s="6"/>
      <c r="H180" s="6"/>
      <c r="I180" s="6"/>
    </row>
    <row r="181" spans="1:9" hidden="1" x14ac:dyDescent="0.2">
      <c r="A181" s="8" t="s">
        <v>6</v>
      </c>
      <c r="B181" s="5"/>
      <c r="C181" s="74"/>
      <c r="D181" s="6"/>
      <c r="E181" s="6"/>
      <c r="F181" s="6"/>
      <c r="G181" s="6"/>
      <c r="H181" s="6"/>
      <c r="I181" s="6"/>
    </row>
    <row r="182" spans="1:9" hidden="1" x14ac:dyDescent="0.2">
      <c r="A182" s="8" t="s">
        <v>7</v>
      </c>
      <c r="B182" s="5"/>
      <c r="C182" s="74"/>
      <c r="D182" s="6"/>
      <c r="E182" s="6"/>
      <c r="F182" s="6"/>
      <c r="G182" s="6"/>
      <c r="H182" s="6"/>
      <c r="I182" s="6"/>
    </row>
    <row r="183" spans="1:9" hidden="1" x14ac:dyDescent="0.2">
      <c r="A183" s="8" t="s">
        <v>8</v>
      </c>
      <c r="B183" s="5"/>
      <c r="C183" s="74"/>
      <c r="D183" s="6"/>
      <c r="E183" s="6"/>
      <c r="F183" s="6"/>
      <c r="G183" s="6"/>
      <c r="H183" s="6"/>
      <c r="I183" s="6"/>
    </row>
    <row r="184" spans="1:9" hidden="1" x14ac:dyDescent="0.2">
      <c r="A184" s="8" t="s">
        <v>9</v>
      </c>
      <c r="B184" s="5"/>
      <c r="C184" s="74"/>
      <c r="D184" s="6"/>
      <c r="E184" s="6"/>
      <c r="F184" s="6"/>
      <c r="G184" s="6"/>
      <c r="H184" s="6"/>
      <c r="I184" s="6"/>
    </row>
    <row r="185" spans="1:9" x14ac:dyDescent="0.2">
      <c r="A185" s="312" t="s">
        <v>10</v>
      </c>
      <c r="B185" s="313"/>
      <c r="C185" s="313"/>
      <c r="D185" s="313"/>
      <c r="E185" s="314"/>
      <c r="F185" s="11">
        <f>SUM(F175:F184)</f>
        <v>5</v>
      </c>
      <c r="G185" s="11">
        <f>SUM(G175:G184)</f>
        <v>0</v>
      </c>
      <c r="H185" s="11">
        <f>SUM(H175:H184)</f>
        <v>26</v>
      </c>
      <c r="I185" s="11"/>
    </row>
    <row r="186" spans="1:9" x14ac:dyDescent="0.2">
      <c r="A186" s="8" t="s">
        <v>0</v>
      </c>
      <c r="B186" s="5">
        <f>B175+1</f>
        <v>46122</v>
      </c>
      <c r="C186" s="74" t="s">
        <v>1218</v>
      </c>
      <c r="D186" s="6" t="s">
        <v>173</v>
      </c>
      <c r="E186" s="6" t="s">
        <v>441</v>
      </c>
      <c r="F186" s="6">
        <v>1</v>
      </c>
      <c r="G186" s="6"/>
      <c r="H186" s="6">
        <v>6</v>
      </c>
      <c r="I186" s="6"/>
    </row>
    <row r="187" spans="1:9" x14ac:dyDescent="0.2">
      <c r="A187" s="8" t="s">
        <v>1</v>
      </c>
      <c r="B187" s="5"/>
      <c r="C187" s="74" t="s">
        <v>1189</v>
      </c>
      <c r="D187" s="6" t="s">
        <v>276</v>
      </c>
      <c r="E187" s="6" t="s">
        <v>168</v>
      </c>
      <c r="F187" s="6">
        <v>1</v>
      </c>
      <c r="G187" s="6"/>
      <c r="H187" s="6">
        <v>6</v>
      </c>
      <c r="I187" s="6"/>
    </row>
    <row r="188" spans="1:9" x14ac:dyDescent="0.2">
      <c r="A188" s="8" t="s">
        <v>2</v>
      </c>
      <c r="B188" s="5"/>
      <c r="C188" s="74" t="s">
        <v>1219</v>
      </c>
      <c r="D188" s="6" t="s">
        <v>206</v>
      </c>
      <c r="E188" s="6" t="s">
        <v>171</v>
      </c>
      <c r="F188" s="6">
        <v>1</v>
      </c>
      <c r="G188" s="6"/>
      <c r="H188" s="6">
        <v>3.5</v>
      </c>
      <c r="I188" s="6"/>
    </row>
    <row r="189" spans="1:9" x14ac:dyDescent="0.2">
      <c r="A189" s="8" t="s">
        <v>3</v>
      </c>
      <c r="B189" s="5"/>
      <c r="C189" s="74" t="s">
        <v>1213</v>
      </c>
      <c r="D189" s="6" t="s">
        <v>188</v>
      </c>
      <c r="E189" s="6" t="s">
        <v>165</v>
      </c>
      <c r="F189" s="6"/>
      <c r="G189" s="6">
        <v>1</v>
      </c>
      <c r="H189" s="6">
        <v>6</v>
      </c>
      <c r="I189" s="6"/>
    </row>
    <row r="190" spans="1:9" x14ac:dyDescent="0.2">
      <c r="A190" s="8" t="s">
        <v>4</v>
      </c>
      <c r="B190" s="5"/>
      <c r="C190" s="74" t="s">
        <v>1220</v>
      </c>
      <c r="D190" s="6" t="s">
        <v>188</v>
      </c>
      <c r="E190" s="6" t="s">
        <v>165</v>
      </c>
      <c r="F190" s="6"/>
      <c r="G190" s="6">
        <v>1</v>
      </c>
      <c r="H190" s="6">
        <v>6</v>
      </c>
      <c r="I190" s="6"/>
    </row>
    <row r="191" spans="1:9" hidden="1" x14ac:dyDescent="0.2">
      <c r="A191" s="8" t="s">
        <v>5</v>
      </c>
      <c r="B191" s="5"/>
      <c r="C191" s="74"/>
      <c r="D191" s="6"/>
      <c r="E191" s="6"/>
      <c r="F191" s="6"/>
      <c r="G191" s="6"/>
      <c r="H191" s="6"/>
      <c r="I191" s="6"/>
    </row>
    <row r="192" spans="1:9" hidden="1" x14ac:dyDescent="0.2">
      <c r="A192" s="8" t="s">
        <v>6</v>
      </c>
      <c r="B192" s="5"/>
      <c r="C192" s="74"/>
      <c r="D192" s="6"/>
      <c r="E192" s="6"/>
      <c r="F192" s="6"/>
      <c r="G192" s="6"/>
      <c r="H192" s="6"/>
      <c r="I192" s="6"/>
    </row>
    <row r="193" spans="1:9" hidden="1" x14ac:dyDescent="0.2">
      <c r="A193" s="8" t="s">
        <v>7</v>
      </c>
      <c r="B193" s="5"/>
      <c r="C193" s="74"/>
      <c r="D193" s="6"/>
      <c r="E193" s="6"/>
      <c r="F193" s="6"/>
      <c r="G193" s="6"/>
      <c r="H193" s="6"/>
      <c r="I193" s="6"/>
    </row>
    <row r="194" spans="1:9" hidden="1" x14ac:dyDescent="0.2">
      <c r="A194" s="8" t="s">
        <v>8</v>
      </c>
      <c r="B194" s="5"/>
      <c r="C194" s="74"/>
      <c r="D194" s="6"/>
      <c r="E194" s="6"/>
      <c r="F194" s="6"/>
      <c r="G194" s="6"/>
      <c r="H194" s="6"/>
      <c r="I194" s="6"/>
    </row>
    <row r="195" spans="1:9" hidden="1" x14ac:dyDescent="0.2">
      <c r="A195" s="8" t="s">
        <v>9</v>
      </c>
      <c r="B195" s="5"/>
      <c r="C195" s="74"/>
      <c r="D195" s="6"/>
      <c r="E195" s="6"/>
      <c r="F195" s="6"/>
      <c r="G195" s="6"/>
      <c r="H195" s="6"/>
      <c r="I195" s="6"/>
    </row>
    <row r="196" spans="1:9" x14ac:dyDescent="0.2">
      <c r="A196" s="312" t="s">
        <v>10</v>
      </c>
      <c r="B196" s="313"/>
      <c r="C196" s="313"/>
      <c r="D196" s="313"/>
      <c r="E196" s="314"/>
      <c r="F196" s="11">
        <f>SUM(F186:F195)</f>
        <v>3</v>
      </c>
      <c r="G196" s="11">
        <f>SUM(G186:G195)</f>
        <v>2</v>
      </c>
      <c r="H196" s="11">
        <f>SUM(H186:H195)</f>
        <v>27.5</v>
      </c>
      <c r="I196" s="11"/>
    </row>
    <row r="197" spans="1:9" x14ac:dyDescent="0.2">
      <c r="A197" s="8" t="s">
        <v>0</v>
      </c>
      <c r="B197" s="5">
        <f>B186+1</f>
        <v>46123</v>
      </c>
      <c r="C197" s="74" t="s">
        <v>1260</v>
      </c>
      <c r="D197" s="6" t="s">
        <v>342</v>
      </c>
      <c r="E197" s="6" t="s">
        <v>165</v>
      </c>
      <c r="F197" s="6">
        <v>1</v>
      </c>
      <c r="G197" s="6"/>
      <c r="H197" s="6">
        <v>6</v>
      </c>
      <c r="I197" s="6"/>
    </row>
    <row r="198" spans="1:9" x14ac:dyDescent="0.2">
      <c r="A198" s="8" t="s">
        <v>1</v>
      </c>
      <c r="B198" s="5"/>
      <c r="C198" s="74" t="s">
        <v>1265</v>
      </c>
      <c r="D198" s="6" t="s">
        <v>342</v>
      </c>
      <c r="E198" s="6" t="s">
        <v>165</v>
      </c>
      <c r="F198" s="6">
        <v>1</v>
      </c>
      <c r="G198" s="6"/>
      <c r="H198" s="6">
        <v>6</v>
      </c>
      <c r="I198" s="6"/>
    </row>
    <row r="199" spans="1:9" x14ac:dyDescent="0.2">
      <c r="A199" s="8" t="s">
        <v>2</v>
      </c>
      <c r="B199" s="5"/>
      <c r="C199" s="74" t="s">
        <v>1266</v>
      </c>
      <c r="D199" s="6" t="s">
        <v>342</v>
      </c>
      <c r="E199" s="6" t="s">
        <v>165</v>
      </c>
      <c r="F199" s="6">
        <v>1</v>
      </c>
      <c r="G199" s="6"/>
      <c r="H199" s="6">
        <v>6</v>
      </c>
      <c r="I199" s="6"/>
    </row>
    <row r="200" spans="1:9" x14ac:dyDescent="0.2">
      <c r="A200" s="8" t="s">
        <v>3</v>
      </c>
      <c r="B200" s="5"/>
      <c r="C200" s="74" t="s">
        <v>1267</v>
      </c>
      <c r="D200" s="6" t="s">
        <v>347</v>
      </c>
      <c r="E200" s="6" t="s">
        <v>441</v>
      </c>
      <c r="F200" s="6">
        <v>1</v>
      </c>
      <c r="G200" s="6"/>
      <c r="H200" s="6">
        <v>6</v>
      </c>
      <c r="I200" s="6"/>
    </row>
    <row r="201" spans="1:9" hidden="1" x14ac:dyDescent="0.2">
      <c r="A201" s="8" t="s">
        <v>4</v>
      </c>
      <c r="B201" s="5"/>
      <c r="C201" s="74"/>
      <c r="D201" s="6"/>
      <c r="E201" s="6"/>
      <c r="F201" s="6"/>
      <c r="G201" s="6"/>
      <c r="H201" s="6"/>
      <c r="I201" s="6"/>
    </row>
    <row r="202" spans="1:9" hidden="1" x14ac:dyDescent="0.2">
      <c r="A202" s="8" t="s">
        <v>5</v>
      </c>
      <c r="B202" s="5"/>
      <c r="C202" s="74"/>
      <c r="D202" s="6"/>
      <c r="E202" s="6"/>
      <c r="F202" s="6"/>
      <c r="G202" s="6"/>
      <c r="H202" s="6"/>
      <c r="I202" s="6"/>
    </row>
    <row r="203" spans="1:9" hidden="1" x14ac:dyDescent="0.2">
      <c r="A203" s="8" t="s">
        <v>6</v>
      </c>
      <c r="B203" s="5"/>
      <c r="C203" s="74"/>
      <c r="D203" s="6"/>
      <c r="E203" s="6"/>
      <c r="F203" s="6"/>
      <c r="G203" s="6"/>
      <c r="H203" s="6"/>
      <c r="I203" s="6"/>
    </row>
    <row r="204" spans="1:9" hidden="1" x14ac:dyDescent="0.2">
      <c r="A204" s="8" t="s">
        <v>7</v>
      </c>
      <c r="B204" s="5"/>
      <c r="C204" s="74"/>
      <c r="D204" s="6"/>
      <c r="E204" s="6"/>
      <c r="F204" s="6"/>
      <c r="G204" s="6"/>
      <c r="H204" s="6"/>
      <c r="I204" s="6"/>
    </row>
    <row r="205" spans="1:9" hidden="1" x14ac:dyDescent="0.2">
      <c r="A205" s="8" t="s">
        <v>8</v>
      </c>
      <c r="B205" s="5"/>
      <c r="C205" s="74"/>
      <c r="D205" s="6"/>
      <c r="E205" s="6"/>
      <c r="F205" s="6"/>
      <c r="G205" s="6"/>
      <c r="H205" s="6"/>
      <c r="I205" s="6"/>
    </row>
    <row r="206" spans="1:9" hidden="1" x14ac:dyDescent="0.2">
      <c r="A206" s="8" t="s">
        <v>9</v>
      </c>
      <c r="B206" s="5"/>
      <c r="C206" s="74"/>
      <c r="D206" s="6"/>
      <c r="E206" s="6"/>
      <c r="F206" s="6"/>
      <c r="G206" s="6"/>
      <c r="H206" s="6"/>
      <c r="I206" s="6"/>
    </row>
    <row r="207" spans="1:9" x14ac:dyDescent="0.2">
      <c r="A207" s="312" t="s">
        <v>10</v>
      </c>
      <c r="B207" s="313"/>
      <c r="C207" s="313"/>
      <c r="D207" s="313"/>
      <c r="E207" s="314"/>
      <c r="F207" s="11">
        <f>SUM(F197:F206)</f>
        <v>4</v>
      </c>
      <c r="G207" s="11">
        <f>SUM(G197:G206)</f>
        <v>0</v>
      </c>
      <c r="H207" s="11">
        <f>SUM(H197:H206)</f>
        <v>24</v>
      </c>
      <c r="I207" s="11"/>
    </row>
    <row r="208" spans="1:9" hidden="1" x14ac:dyDescent="0.2">
      <c r="A208" s="8" t="s">
        <v>0</v>
      </c>
      <c r="B208" s="5">
        <f>B197+1</f>
        <v>46124</v>
      </c>
      <c r="C208" s="75"/>
      <c r="D208" s="6"/>
      <c r="E208" s="6"/>
      <c r="F208" s="6"/>
      <c r="G208" s="6"/>
      <c r="H208" s="6"/>
      <c r="I208" s="6"/>
    </row>
    <row r="209" spans="1:9" hidden="1" x14ac:dyDescent="0.2">
      <c r="A209" s="8" t="s">
        <v>1</v>
      </c>
      <c r="B209" s="5"/>
      <c r="C209" s="75"/>
      <c r="D209" s="6"/>
      <c r="E209" s="6"/>
      <c r="F209" s="6"/>
      <c r="G209" s="6"/>
      <c r="H209" s="6"/>
      <c r="I209" s="6"/>
    </row>
    <row r="210" spans="1:9" hidden="1" x14ac:dyDescent="0.2">
      <c r="A210" s="8" t="s">
        <v>2</v>
      </c>
      <c r="B210" s="5"/>
      <c r="C210" s="75"/>
      <c r="D210" s="6"/>
      <c r="E210" s="6"/>
      <c r="F210" s="6"/>
      <c r="G210" s="6"/>
      <c r="H210" s="6"/>
      <c r="I210" s="6"/>
    </row>
    <row r="211" spans="1:9" hidden="1" x14ac:dyDescent="0.2">
      <c r="A211" s="8" t="s">
        <v>3</v>
      </c>
      <c r="B211" s="5"/>
      <c r="C211" s="75"/>
      <c r="D211" s="6"/>
      <c r="E211" s="6"/>
      <c r="F211" s="6"/>
      <c r="G211" s="6"/>
      <c r="H211" s="6"/>
      <c r="I211" s="6"/>
    </row>
    <row r="212" spans="1:9" hidden="1" x14ac:dyDescent="0.2">
      <c r="A212" s="8" t="s">
        <v>4</v>
      </c>
      <c r="B212" s="5"/>
      <c r="C212" s="75"/>
      <c r="D212" s="6"/>
      <c r="E212" s="6"/>
      <c r="F212" s="6"/>
      <c r="G212" s="6"/>
      <c r="H212" s="6"/>
      <c r="I212" s="6"/>
    </row>
    <row r="213" spans="1:9" hidden="1" x14ac:dyDescent="0.2">
      <c r="A213" s="8" t="s">
        <v>5</v>
      </c>
      <c r="B213" s="5"/>
      <c r="C213" s="75"/>
      <c r="D213" s="6"/>
      <c r="E213" s="6"/>
      <c r="F213" s="6"/>
      <c r="G213" s="6"/>
      <c r="H213" s="6"/>
      <c r="I213" s="6"/>
    </row>
    <row r="214" spans="1:9" hidden="1" x14ac:dyDescent="0.2">
      <c r="A214" s="8" t="s">
        <v>6</v>
      </c>
      <c r="B214" s="5"/>
      <c r="C214" s="75"/>
      <c r="D214" s="6"/>
      <c r="E214" s="6"/>
      <c r="F214" s="6"/>
      <c r="G214" s="6"/>
      <c r="H214" s="6"/>
      <c r="I214" s="6"/>
    </row>
    <row r="215" spans="1:9" hidden="1" x14ac:dyDescent="0.2">
      <c r="A215" s="8" t="s">
        <v>7</v>
      </c>
      <c r="B215" s="5"/>
      <c r="C215" s="74"/>
      <c r="D215" s="6"/>
      <c r="E215" s="6"/>
      <c r="F215" s="6"/>
      <c r="G215" s="6"/>
      <c r="H215" s="6"/>
      <c r="I215" s="6"/>
    </row>
    <row r="216" spans="1:9" hidden="1" x14ac:dyDescent="0.2">
      <c r="A216" s="8" t="s">
        <v>8</v>
      </c>
      <c r="B216" s="5"/>
      <c r="C216" s="74"/>
      <c r="D216" s="6"/>
      <c r="E216" s="6"/>
      <c r="F216" s="6"/>
      <c r="G216" s="6"/>
      <c r="H216" s="6"/>
      <c r="I216" s="6"/>
    </row>
    <row r="217" spans="1:9" hidden="1" x14ac:dyDescent="0.2">
      <c r="A217" s="8" t="s">
        <v>9</v>
      </c>
      <c r="B217" s="5"/>
      <c r="C217" s="74"/>
      <c r="D217" s="6"/>
      <c r="E217" s="6"/>
      <c r="F217" s="6"/>
      <c r="G217" s="6"/>
      <c r="H217" s="6"/>
      <c r="I217" s="6"/>
    </row>
    <row r="218" spans="1:9" hidden="1" x14ac:dyDescent="0.2">
      <c r="A218" s="312" t="s">
        <v>10</v>
      </c>
      <c r="B218" s="313"/>
      <c r="C218" s="313"/>
      <c r="D218" s="313"/>
      <c r="E218" s="314"/>
      <c r="F218" s="11">
        <f>SUM(F208:F217)</f>
        <v>0</v>
      </c>
      <c r="G218" s="11">
        <f>SUM(G208:G217)</f>
        <v>0</v>
      </c>
      <c r="H218" s="11">
        <f>SUM(H208:H217)</f>
        <v>0</v>
      </c>
      <c r="I218" s="11"/>
    </row>
    <row r="219" spans="1:9" hidden="1" x14ac:dyDescent="0.2">
      <c r="A219" s="8" t="s">
        <v>0</v>
      </c>
      <c r="B219" s="5">
        <f>B208+1</f>
        <v>46125</v>
      </c>
      <c r="C219" s="75"/>
      <c r="D219" s="6"/>
      <c r="E219" s="6"/>
      <c r="F219" s="6"/>
      <c r="G219" s="6"/>
      <c r="H219" s="6"/>
      <c r="I219" s="6"/>
    </row>
    <row r="220" spans="1:9" hidden="1" x14ac:dyDescent="0.2">
      <c r="A220" s="8" t="s">
        <v>1</v>
      </c>
      <c r="B220" s="5"/>
      <c r="C220" s="75"/>
      <c r="D220" s="6"/>
      <c r="E220" s="6"/>
      <c r="F220" s="6"/>
      <c r="G220" s="6"/>
      <c r="H220" s="6"/>
      <c r="I220" s="6"/>
    </row>
    <row r="221" spans="1:9" hidden="1" x14ac:dyDescent="0.2">
      <c r="A221" s="8" t="s">
        <v>2</v>
      </c>
      <c r="B221" s="5"/>
      <c r="C221" s="75"/>
      <c r="D221" s="6"/>
      <c r="E221" s="6"/>
      <c r="F221" s="6"/>
      <c r="G221" s="6"/>
      <c r="H221" s="6"/>
      <c r="I221" s="6"/>
    </row>
    <row r="222" spans="1:9" hidden="1" x14ac:dyDescent="0.2">
      <c r="A222" s="8" t="s">
        <v>3</v>
      </c>
      <c r="B222" s="5"/>
      <c r="C222" s="75"/>
      <c r="D222" s="6"/>
      <c r="E222" s="6"/>
      <c r="F222" s="6"/>
      <c r="G222" s="6"/>
      <c r="H222" s="6"/>
      <c r="I222" s="6"/>
    </row>
    <row r="223" spans="1:9" hidden="1" x14ac:dyDescent="0.2">
      <c r="A223" s="8" t="s">
        <v>4</v>
      </c>
      <c r="B223" s="5"/>
      <c r="C223" s="75"/>
      <c r="D223" s="6"/>
      <c r="E223" s="6"/>
      <c r="F223" s="6"/>
      <c r="G223" s="6"/>
      <c r="H223" s="6"/>
      <c r="I223" s="6"/>
    </row>
    <row r="224" spans="1:9" hidden="1" x14ac:dyDescent="0.2">
      <c r="A224" s="8" t="s">
        <v>5</v>
      </c>
      <c r="B224" s="5"/>
      <c r="C224" s="75"/>
      <c r="D224" s="6"/>
      <c r="E224" s="6"/>
      <c r="F224" s="6"/>
      <c r="G224" s="6"/>
      <c r="H224" s="6"/>
      <c r="I224" s="6"/>
    </row>
    <row r="225" spans="1:9" hidden="1" x14ac:dyDescent="0.2">
      <c r="A225" s="8" t="s">
        <v>6</v>
      </c>
      <c r="B225" s="5"/>
      <c r="C225" s="74"/>
      <c r="D225" s="6"/>
      <c r="E225" s="6"/>
      <c r="F225" s="6"/>
      <c r="G225" s="6"/>
      <c r="H225" s="6"/>
      <c r="I225" s="6"/>
    </row>
    <row r="226" spans="1:9" hidden="1" x14ac:dyDescent="0.2">
      <c r="A226" s="8" t="s">
        <v>7</v>
      </c>
      <c r="B226" s="5"/>
      <c r="C226" s="74"/>
      <c r="D226" s="6"/>
      <c r="E226" s="6"/>
      <c r="F226" s="6"/>
      <c r="G226" s="6"/>
      <c r="H226" s="6"/>
      <c r="I226" s="6"/>
    </row>
    <row r="227" spans="1:9" hidden="1" x14ac:dyDescent="0.2">
      <c r="A227" s="8" t="s">
        <v>8</v>
      </c>
      <c r="B227" s="5"/>
      <c r="C227" s="74"/>
      <c r="D227" s="6"/>
      <c r="E227" s="6"/>
      <c r="F227" s="6"/>
      <c r="G227" s="6"/>
      <c r="H227" s="6"/>
      <c r="I227" s="6"/>
    </row>
    <row r="228" spans="1:9" hidden="1" x14ac:dyDescent="0.2">
      <c r="A228" s="8" t="s">
        <v>9</v>
      </c>
      <c r="B228" s="5"/>
      <c r="C228" s="74"/>
      <c r="D228" s="6"/>
      <c r="E228" s="6"/>
      <c r="F228" s="6"/>
      <c r="G228" s="6"/>
      <c r="H228" s="6"/>
      <c r="I228" s="6"/>
    </row>
    <row r="229" spans="1:9" hidden="1" x14ac:dyDescent="0.2">
      <c r="A229" s="312" t="s">
        <v>10</v>
      </c>
      <c r="B229" s="313"/>
      <c r="C229" s="313"/>
      <c r="D229" s="313"/>
      <c r="E229" s="314"/>
      <c r="F229" s="11">
        <f>SUM(F219:F228)</f>
        <v>0</v>
      </c>
      <c r="G229" s="11">
        <f>SUM(G219:G228)</f>
        <v>0</v>
      </c>
      <c r="H229" s="11">
        <f>SUM(H219:H228)</f>
        <v>0</v>
      </c>
      <c r="I229" s="11"/>
    </row>
    <row r="230" spans="1:9" hidden="1" x14ac:dyDescent="0.2">
      <c r="A230" s="8" t="s">
        <v>0</v>
      </c>
      <c r="B230" s="5">
        <f>B219+1</f>
        <v>46126</v>
      </c>
      <c r="C230" s="75"/>
      <c r="D230" s="6"/>
      <c r="E230" s="6"/>
      <c r="F230" s="6"/>
      <c r="G230" s="6"/>
      <c r="H230" s="6"/>
      <c r="I230" s="6"/>
    </row>
    <row r="231" spans="1:9" hidden="1" x14ac:dyDescent="0.2">
      <c r="A231" s="8" t="s">
        <v>1</v>
      </c>
      <c r="B231" s="5"/>
      <c r="C231" s="75"/>
      <c r="D231" s="6"/>
      <c r="E231" s="6"/>
      <c r="F231" s="6"/>
      <c r="G231" s="6"/>
      <c r="H231" s="6"/>
      <c r="I231" s="6"/>
    </row>
    <row r="232" spans="1:9" hidden="1" x14ac:dyDescent="0.2">
      <c r="A232" s="8" t="s">
        <v>2</v>
      </c>
      <c r="B232" s="5"/>
      <c r="C232" s="75"/>
      <c r="D232" s="6"/>
      <c r="E232" s="6"/>
      <c r="F232" s="6"/>
      <c r="G232" s="6"/>
      <c r="H232" s="6"/>
      <c r="I232" s="6"/>
    </row>
    <row r="233" spans="1:9" hidden="1" x14ac:dyDescent="0.2">
      <c r="A233" s="8" t="s">
        <v>3</v>
      </c>
      <c r="B233" s="5"/>
      <c r="C233" s="75"/>
      <c r="D233" s="6"/>
      <c r="E233" s="6"/>
      <c r="F233" s="6"/>
      <c r="G233" s="6"/>
      <c r="H233" s="6"/>
      <c r="I233" s="6"/>
    </row>
    <row r="234" spans="1:9" hidden="1" x14ac:dyDescent="0.2">
      <c r="A234" s="8" t="s">
        <v>4</v>
      </c>
      <c r="B234" s="5"/>
      <c r="C234" s="75"/>
      <c r="D234" s="6"/>
      <c r="E234" s="6"/>
      <c r="F234" s="6"/>
      <c r="G234" s="6"/>
      <c r="H234" s="6"/>
      <c r="I234" s="6"/>
    </row>
    <row r="235" spans="1:9" hidden="1" x14ac:dyDescent="0.2">
      <c r="A235" s="8" t="s">
        <v>5</v>
      </c>
      <c r="B235" s="5"/>
      <c r="C235" s="75"/>
      <c r="D235" s="6"/>
      <c r="E235" s="6"/>
      <c r="F235" s="6"/>
      <c r="G235" s="6"/>
      <c r="H235" s="6"/>
      <c r="I235" s="6"/>
    </row>
    <row r="236" spans="1:9" hidden="1" x14ac:dyDescent="0.2">
      <c r="A236" s="8" t="s">
        <v>6</v>
      </c>
      <c r="B236" s="5"/>
      <c r="C236" s="75"/>
      <c r="D236" s="6"/>
      <c r="E236" s="6"/>
      <c r="F236" s="6"/>
      <c r="G236" s="6"/>
      <c r="H236" s="6"/>
      <c r="I236" s="6"/>
    </row>
    <row r="237" spans="1:9" hidden="1" x14ac:dyDescent="0.2">
      <c r="A237" s="8" t="s">
        <v>7</v>
      </c>
      <c r="B237" s="5"/>
      <c r="C237" s="75"/>
      <c r="D237" s="6"/>
      <c r="E237" s="6"/>
      <c r="F237" s="6"/>
      <c r="G237" s="6"/>
      <c r="H237" s="6"/>
      <c r="I237" s="6"/>
    </row>
    <row r="238" spans="1:9" hidden="1" x14ac:dyDescent="0.2">
      <c r="A238" s="8" t="s">
        <v>8</v>
      </c>
      <c r="B238" s="5"/>
      <c r="C238" s="75"/>
      <c r="D238" s="6"/>
      <c r="E238" s="6"/>
      <c r="F238" s="6"/>
      <c r="G238" s="6"/>
      <c r="H238" s="6"/>
      <c r="I238" s="6"/>
    </row>
    <row r="239" spans="1:9" hidden="1" x14ac:dyDescent="0.2">
      <c r="A239" s="8" t="s">
        <v>9</v>
      </c>
      <c r="B239" s="5"/>
      <c r="C239" s="75"/>
      <c r="D239" s="6"/>
      <c r="E239" s="6"/>
      <c r="F239" s="6"/>
      <c r="G239" s="6"/>
      <c r="H239" s="6"/>
      <c r="I239" s="6"/>
    </row>
    <row r="240" spans="1:9" hidden="1" x14ac:dyDescent="0.2">
      <c r="A240" s="312" t="s">
        <v>10</v>
      </c>
      <c r="B240" s="313"/>
      <c r="C240" s="313"/>
      <c r="D240" s="313"/>
      <c r="E240" s="314"/>
      <c r="F240" s="11">
        <f>SUM(F230:F239)</f>
        <v>0</v>
      </c>
      <c r="G240" s="11">
        <f>SUM(G230:G239)</f>
        <v>0</v>
      </c>
      <c r="H240" s="11">
        <f>SUM(H230:H239)</f>
        <v>0</v>
      </c>
      <c r="I240" s="11"/>
    </row>
    <row r="241" spans="1:9" hidden="1" x14ac:dyDescent="0.2">
      <c r="A241" s="8" t="s">
        <v>0</v>
      </c>
      <c r="B241" s="5">
        <f>B230+1</f>
        <v>46127</v>
      </c>
      <c r="C241" s="74"/>
      <c r="D241" s="6"/>
      <c r="E241" s="6"/>
      <c r="F241" s="6"/>
      <c r="G241" s="6"/>
      <c r="H241" s="6"/>
      <c r="I241" s="6"/>
    </row>
    <row r="242" spans="1:9" hidden="1" x14ac:dyDescent="0.2">
      <c r="A242" s="8" t="s">
        <v>1</v>
      </c>
      <c r="B242" s="5"/>
      <c r="C242" s="74"/>
      <c r="D242" s="6"/>
      <c r="E242" s="6"/>
      <c r="F242" s="6"/>
      <c r="G242" s="6"/>
      <c r="H242" s="6"/>
      <c r="I242" s="6"/>
    </row>
    <row r="243" spans="1:9" hidden="1" x14ac:dyDescent="0.2">
      <c r="A243" s="8" t="s">
        <v>2</v>
      </c>
      <c r="B243" s="5"/>
      <c r="C243" s="74"/>
      <c r="D243" s="6"/>
      <c r="E243" s="6"/>
      <c r="F243" s="6"/>
      <c r="G243" s="6"/>
      <c r="H243" s="6"/>
      <c r="I243" s="6"/>
    </row>
    <row r="244" spans="1:9" hidden="1" x14ac:dyDescent="0.2">
      <c r="A244" s="8" t="s">
        <v>3</v>
      </c>
      <c r="B244" s="5"/>
      <c r="C244" s="74"/>
      <c r="D244" s="6"/>
      <c r="E244" s="6"/>
      <c r="F244" s="6"/>
      <c r="G244" s="6"/>
      <c r="H244" s="6"/>
      <c r="I244" s="6"/>
    </row>
    <row r="245" spans="1:9" hidden="1" x14ac:dyDescent="0.2">
      <c r="A245" s="8" t="s">
        <v>4</v>
      </c>
      <c r="B245" s="5"/>
      <c r="C245" s="74"/>
      <c r="D245" s="6"/>
      <c r="E245" s="6"/>
      <c r="F245" s="6"/>
      <c r="G245" s="6"/>
      <c r="H245" s="6"/>
      <c r="I245" s="6"/>
    </row>
    <row r="246" spans="1:9" hidden="1" x14ac:dyDescent="0.2">
      <c r="A246" s="8" t="s">
        <v>5</v>
      </c>
      <c r="B246" s="5"/>
      <c r="C246" s="74"/>
      <c r="D246" s="6"/>
      <c r="E246" s="6"/>
      <c r="F246" s="6"/>
      <c r="G246" s="6"/>
      <c r="H246" s="6"/>
      <c r="I246" s="6"/>
    </row>
    <row r="247" spans="1:9" hidden="1" x14ac:dyDescent="0.2">
      <c r="A247" s="8" t="s">
        <v>6</v>
      </c>
      <c r="B247" s="5"/>
      <c r="C247" s="74"/>
      <c r="D247" s="6"/>
      <c r="E247" s="6"/>
      <c r="F247" s="6"/>
      <c r="G247" s="6"/>
      <c r="H247" s="6"/>
      <c r="I247" s="6"/>
    </row>
    <row r="248" spans="1:9" hidden="1" x14ac:dyDescent="0.2">
      <c r="A248" s="8" t="s">
        <v>7</v>
      </c>
      <c r="B248" s="5"/>
      <c r="C248" s="74"/>
      <c r="D248" s="6"/>
      <c r="E248" s="6"/>
      <c r="F248" s="6"/>
      <c r="G248" s="6"/>
      <c r="H248" s="6"/>
      <c r="I248" s="6"/>
    </row>
    <row r="249" spans="1:9" hidden="1" x14ac:dyDescent="0.2">
      <c r="A249" s="8" t="s">
        <v>8</v>
      </c>
      <c r="B249" s="5"/>
      <c r="C249" s="74"/>
      <c r="D249" s="6"/>
      <c r="E249" s="6"/>
      <c r="F249" s="6"/>
      <c r="G249" s="6"/>
      <c r="H249" s="6"/>
      <c r="I249" s="6"/>
    </row>
    <row r="250" spans="1:9" hidden="1" x14ac:dyDescent="0.2">
      <c r="A250" s="8" t="s">
        <v>9</v>
      </c>
      <c r="B250" s="5"/>
      <c r="C250" s="74"/>
      <c r="D250" s="6"/>
      <c r="E250" s="6"/>
      <c r="F250" s="6"/>
      <c r="G250" s="6"/>
      <c r="H250" s="6"/>
      <c r="I250" s="6"/>
    </row>
    <row r="251" spans="1:9" hidden="1" x14ac:dyDescent="0.2">
      <c r="A251" s="312" t="s">
        <v>10</v>
      </c>
      <c r="B251" s="313"/>
      <c r="C251" s="313"/>
      <c r="D251" s="313"/>
      <c r="E251" s="314"/>
      <c r="F251" s="11">
        <f>SUM(F241:F250)</f>
        <v>0</v>
      </c>
      <c r="G251" s="11">
        <f>SUM(G241:G250)</f>
        <v>0</v>
      </c>
      <c r="H251" s="11">
        <f>SUM(H241:H250)</f>
        <v>0</v>
      </c>
      <c r="I251" s="11"/>
    </row>
    <row r="252" spans="1:9" s="25" customFormat="1" ht="18" x14ac:dyDescent="0.2">
      <c r="A252" s="315" t="s">
        <v>39</v>
      </c>
      <c r="B252" s="316"/>
      <c r="C252" s="316"/>
      <c r="D252" s="316"/>
      <c r="E252" s="317"/>
      <c r="F252" s="22">
        <f>F185+F196+F207+F218+F229+F240+F251+F168</f>
        <v>70</v>
      </c>
      <c r="G252" s="22">
        <f>G185+G196+G207+G218+G229+G240+G251+G168</f>
        <v>16</v>
      </c>
      <c r="H252" s="22">
        <f>H185+H196+H207+H218+H229+H240+H251+H168</f>
        <v>452.25</v>
      </c>
      <c r="I252" s="22"/>
    </row>
    <row r="253" spans="1:9" ht="21.95" customHeight="1" x14ac:dyDescent="0.2">
      <c r="A253" s="319" t="s">
        <v>14</v>
      </c>
      <c r="B253" s="319"/>
      <c r="C253" s="319"/>
      <c r="D253" s="319"/>
      <c r="E253" s="319"/>
      <c r="F253" s="319"/>
      <c r="G253" s="319"/>
      <c r="H253" s="319"/>
      <c r="I253" s="319"/>
    </row>
    <row r="254" spans="1:9" s="53" customFormat="1" ht="20.100000000000001" customHeight="1" x14ac:dyDescent="0.2">
      <c r="A254" s="323" t="s">
        <v>86</v>
      </c>
      <c r="B254" s="323"/>
      <c r="C254" s="323"/>
      <c r="D254" s="323"/>
      <c r="E254" s="323"/>
      <c r="F254" s="50" t="str">
        <f>F170</f>
        <v>เมษายน</v>
      </c>
      <c r="G254" s="50" t="s">
        <v>87</v>
      </c>
      <c r="H254" s="51">
        <f>H170</f>
        <v>2569</v>
      </c>
      <c r="I254" s="52"/>
    </row>
    <row r="255" spans="1:9" s="3" customFormat="1" ht="20.100000000000001" customHeight="1" x14ac:dyDescent="0.35">
      <c r="A255" s="318" t="s">
        <v>38</v>
      </c>
      <c r="B255" s="318"/>
      <c r="C255" s="318"/>
      <c r="D255" s="2"/>
      <c r="F255" s="4"/>
      <c r="G255" s="4"/>
      <c r="H255" s="4" t="s">
        <v>21</v>
      </c>
      <c r="I255" s="40">
        <f>I171+1</f>
        <v>4</v>
      </c>
    </row>
    <row r="256" spans="1:9" s="3" customFormat="1" ht="20.100000000000001" customHeight="1" x14ac:dyDescent="0.35">
      <c r="A256" s="311" t="s">
        <v>68</v>
      </c>
      <c r="B256" s="311"/>
      <c r="C256" s="311"/>
      <c r="D256" s="2"/>
      <c r="E256" s="39" t="s">
        <v>81</v>
      </c>
      <c r="F256" s="308">
        <f>F172</f>
        <v>46107</v>
      </c>
      <c r="G256" s="308"/>
      <c r="H256" s="39" t="s">
        <v>82</v>
      </c>
      <c r="I256" s="34">
        <f>I172</f>
        <v>46136</v>
      </c>
    </row>
    <row r="257" spans="1:9" x14ac:dyDescent="0.2">
      <c r="A257" s="12" t="s">
        <v>23</v>
      </c>
      <c r="B257" s="13" t="s">
        <v>11</v>
      </c>
      <c r="C257" s="72" t="s">
        <v>26</v>
      </c>
      <c r="D257" s="12" t="s">
        <v>16</v>
      </c>
      <c r="E257" s="12" t="s">
        <v>17</v>
      </c>
      <c r="F257" s="310" t="s">
        <v>46</v>
      </c>
      <c r="G257" s="310"/>
      <c r="H257" s="310"/>
      <c r="I257" s="12" t="s">
        <v>19</v>
      </c>
    </row>
    <row r="258" spans="1:9" x14ac:dyDescent="0.2">
      <c r="A258" s="15"/>
      <c r="B258" s="16"/>
      <c r="C258" s="73"/>
      <c r="D258" s="15"/>
      <c r="E258" s="15"/>
      <c r="F258" s="21" t="s">
        <v>113</v>
      </c>
      <c r="G258" s="21" t="s">
        <v>114</v>
      </c>
      <c r="H258" s="21" t="s">
        <v>20</v>
      </c>
      <c r="I258" s="15"/>
    </row>
    <row r="259" spans="1:9" hidden="1" x14ac:dyDescent="0.2">
      <c r="A259" s="8" t="s">
        <v>0</v>
      </c>
      <c r="B259" s="5">
        <f>B241+1</f>
        <v>46128</v>
      </c>
      <c r="C259" s="74"/>
      <c r="D259" s="6"/>
      <c r="E259" s="6"/>
      <c r="F259" s="6"/>
      <c r="G259" s="6"/>
      <c r="H259" s="6"/>
      <c r="I259" s="6"/>
    </row>
    <row r="260" spans="1:9" hidden="1" x14ac:dyDescent="0.2">
      <c r="A260" s="8" t="s">
        <v>1</v>
      </c>
      <c r="B260" s="5"/>
      <c r="C260" s="74"/>
      <c r="D260" s="6"/>
      <c r="E260" s="6"/>
      <c r="F260" s="6"/>
      <c r="G260" s="6"/>
      <c r="H260" s="6"/>
      <c r="I260" s="6"/>
    </row>
    <row r="261" spans="1:9" hidden="1" x14ac:dyDescent="0.2">
      <c r="A261" s="8" t="s">
        <v>2</v>
      </c>
      <c r="B261" s="5"/>
      <c r="C261" s="74"/>
      <c r="D261" s="6"/>
      <c r="E261" s="6"/>
      <c r="F261" s="6"/>
      <c r="G261" s="6"/>
      <c r="H261" s="6"/>
      <c r="I261" s="6"/>
    </row>
    <row r="262" spans="1:9" hidden="1" x14ac:dyDescent="0.2">
      <c r="A262" s="8" t="s">
        <v>3</v>
      </c>
      <c r="B262" s="5"/>
      <c r="C262" s="74"/>
      <c r="D262" s="6"/>
      <c r="E262" s="6"/>
      <c r="F262" s="6"/>
      <c r="G262" s="6"/>
      <c r="H262" s="6"/>
      <c r="I262" s="6"/>
    </row>
    <row r="263" spans="1:9" hidden="1" x14ac:dyDescent="0.2">
      <c r="A263" s="8" t="s">
        <v>4</v>
      </c>
      <c r="B263" s="5"/>
      <c r="C263" s="74"/>
      <c r="D263" s="6"/>
      <c r="E263" s="6"/>
      <c r="F263" s="6"/>
      <c r="G263" s="6"/>
      <c r="H263" s="6"/>
      <c r="I263" s="6"/>
    </row>
    <row r="264" spans="1:9" hidden="1" x14ac:dyDescent="0.2">
      <c r="A264" s="8" t="s">
        <v>5</v>
      </c>
      <c r="B264" s="5"/>
      <c r="C264" s="74"/>
      <c r="D264" s="6"/>
      <c r="E264" s="6"/>
      <c r="F264" s="6"/>
      <c r="G264" s="6"/>
      <c r="H264" s="6"/>
      <c r="I264" s="6"/>
    </row>
    <row r="265" spans="1:9" hidden="1" x14ac:dyDescent="0.2">
      <c r="A265" s="8" t="s">
        <v>6</v>
      </c>
      <c r="B265" s="5"/>
      <c r="C265" s="74"/>
      <c r="D265" s="6"/>
      <c r="E265" s="6"/>
      <c r="F265" s="6"/>
      <c r="G265" s="6"/>
      <c r="H265" s="6"/>
      <c r="I265" s="6"/>
    </row>
    <row r="266" spans="1:9" hidden="1" x14ac:dyDescent="0.2">
      <c r="A266" s="8" t="s">
        <v>7</v>
      </c>
      <c r="B266" s="5"/>
      <c r="C266" s="74"/>
      <c r="D266" s="6"/>
      <c r="E266" s="6"/>
      <c r="F266" s="6"/>
      <c r="G266" s="6"/>
      <c r="H266" s="6"/>
      <c r="I266" s="6"/>
    </row>
    <row r="267" spans="1:9" hidden="1" x14ac:dyDescent="0.2">
      <c r="A267" s="8" t="s">
        <v>8</v>
      </c>
      <c r="B267" s="5"/>
      <c r="C267" s="74"/>
      <c r="D267" s="6"/>
      <c r="E267" s="6"/>
      <c r="F267" s="6"/>
      <c r="G267" s="6"/>
      <c r="H267" s="6"/>
      <c r="I267" s="6"/>
    </row>
    <row r="268" spans="1:9" hidden="1" x14ac:dyDescent="0.2">
      <c r="A268" s="8" t="s">
        <v>9</v>
      </c>
      <c r="B268" s="5"/>
      <c r="C268" s="74"/>
      <c r="D268" s="6"/>
      <c r="E268" s="6"/>
      <c r="F268" s="6"/>
      <c r="G268" s="6"/>
      <c r="H268" s="6"/>
      <c r="I268" s="6"/>
    </row>
    <row r="269" spans="1:9" hidden="1" x14ac:dyDescent="0.2">
      <c r="A269" s="312" t="s">
        <v>10</v>
      </c>
      <c r="B269" s="313"/>
      <c r="C269" s="313"/>
      <c r="D269" s="313"/>
      <c r="E269" s="314"/>
      <c r="F269" s="11">
        <f>SUM(F259:F268)</f>
        <v>0</v>
      </c>
      <c r="G269" s="11">
        <f>SUM(G259:G268)</f>
        <v>0</v>
      </c>
      <c r="H269" s="11">
        <f>SUM(H259:H268)</f>
        <v>0</v>
      </c>
      <c r="I269" s="11"/>
    </row>
    <row r="270" spans="1:9" hidden="1" x14ac:dyDescent="0.2">
      <c r="A270" s="8" t="s">
        <v>0</v>
      </c>
      <c r="B270" s="5">
        <f>B259+1</f>
        <v>46129</v>
      </c>
      <c r="C270" s="74"/>
      <c r="D270" s="6"/>
      <c r="E270" s="6"/>
      <c r="F270" s="6"/>
      <c r="G270" s="6"/>
      <c r="H270" s="6"/>
      <c r="I270" s="6"/>
    </row>
    <row r="271" spans="1:9" hidden="1" x14ac:dyDescent="0.2">
      <c r="A271" s="8" t="s">
        <v>1</v>
      </c>
      <c r="B271" s="5"/>
      <c r="C271" s="74"/>
      <c r="D271" s="6"/>
      <c r="E271" s="6"/>
      <c r="F271" s="6"/>
      <c r="G271" s="6"/>
      <c r="H271" s="6"/>
      <c r="I271" s="6"/>
    </row>
    <row r="272" spans="1:9" hidden="1" x14ac:dyDescent="0.2">
      <c r="A272" s="8" t="s">
        <v>2</v>
      </c>
      <c r="B272" s="5"/>
      <c r="C272" s="74"/>
      <c r="D272" s="6"/>
      <c r="E272" s="6"/>
      <c r="F272" s="6"/>
      <c r="G272" s="6"/>
      <c r="H272" s="6"/>
      <c r="I272" s="6"/>
    </row>
    <row r="273" spans="1:9" hidden="1" x14ac:dyDescent="0.2">
      <c r="A273" s="8" t="s">
        <v>3</v>
      </c>
      <c r="B273" s="5"/>
      <c r="C273" s="74"/>
      <c r="D273" s="6"/>
      <c r="E273" s="6"/>
      <c r="F273" s="6"/>
      <c r="G273" s="6"/>
      <c r="H273" s="6"/>
      <c r="I273" s="6"/>
    </row>
    <row r="274" spans="1:9" hidden="1" x14ac:dyDescent="0.2">
      <c r="A274" s="8" t="s">
        <v>4</v>
      </c>
      <c r="B274" s="5"/>
      <c r="C274" s="74"/>
      <c r="D274" s="6"/>
      <c r="E274" s="6"/>
      <c r="F274" s="6"/>
      <c r="G274" s="6"/>
      <c r="H274" s="6"/>
      <c r="I274" s="6"/>
    </row>
    <row r="275" spans="1:9" hidden="1" x14ac:dyDescent="0.2">
      <c r="A275" s="8" t="s">
        <v>5</v>
      </c>
      <c r="B275" s="5"/>
      <c r="C275" s="74"/>
      <c r="D275" s="6"/>
      <c r="E275" s="6"/>
      <c r="F275" s="6"/>
      <c r="G275" s="6"/>
      <c r="H275" s="6"/>
      <c r="I275" s="6"/>
    </row>
    <row r="276" spans="1:9" hidden="1" x14ac:dyDescent="0.2">
      <c r="A276" s="8" t="s">
        <v>6</v>
      </c>
      <c r="B276" s="5"/>
      <c r="C276" s="74"/>
      <c r="D276" s="6"/>
      <c r="E276" s="6"/>
      <c r="F276" s="6"/>
      <c r="G276" s="6"/>
      <c r="H276" s="6"/>
      <c r="I276" s="6"/>
    </row>
    <row r="277" spans="1:9" hidden="1" x14ac:dyDescent="0.2">
      <c r="A277" s="8" t="s">
        <v>7</v>
      </c>
      <c r="B277" s="5"/>
      <c r="C277" s="74"/>
      <c r="D277" s="6"/>
      <c r="E277" s="6"/>
      <c r="F277" s="6"/>
      <c r="G277" s="6"/>
      <c r="H277" s="6"/>
      <c r="I277" s="6"/>
    </row>
    <row r="278" spans="1:9" hidden="1" x14ac:dyDescent="0.2">
      <c r="A278" s="8" t="s">
        <v>8</v>
      </c>
      <c r="B278" s="5"/>
      <c r="C278" s="74"/>
      <c r="D278" s="6"/>
      <c r="E278" s="6"/>
      <c r="F278" s="6"/>
      <c r="G278" s="6"/>
      <c r="H278" s="6"/>
      <c r="I278" s="6"/>
    </row>
    <row r="279" spans="1:9" hidden="1" x14ac:dyDescent="0.2">
      <c r="A279" s="8" t="s">
        <v>9</v>
      </c>
      <c r="B279" s="5"/>
      <c r="C279" s="74"/>
      <c r="D279" s="6"/>
      <c r="E279" s="6"/>
      <c r="F279" s="6"/>
      <c r="G279" s="6"/>
      <c r="H279" s="6"/>
      <c r="I279" s="6"/>
    </row>
    <row r="280" spans="1:9" hidden="1" x14ac:dyDescent="0.2">
      <c r="A280" s="312" t="s">
        <v>10</v>
      </c>
      <c r="B280" s="313"/>
      <c r="C280" s="313"/>
      <c r="D280" s="313"/>
      <c r="E280" s="314"/>
      <c r="F280" s="11">
        <f>SUM(F270:F279)</f>
        <v>0</v>
      </c>
      <c r="G280" s="11">
        <f>SUM(G270:G279)</f>
        <v>0</v>
      </c>
      <c r="H280" s="11">
        <f>SUM(H270:H279)</f>
        <v>0</v>
      </c>
      <c r="I280" s="11"/>
    </row>
    <row r="281" spans="1:9" hidden="1" x14ac:dyDescent="0.2">
      <c r="A281" s="8" t="s">
        <v>0</v>
      </c>
      <c r="B281" s="5">
        <f>B270+1</f>
        <v>46130</v>
      </c>
      <c r="C281" s="74"/>
      <c r="D281" s="6"/>
      <c r="E281" s="6"/>
      <c r="F281" s="6"/>
      <c r="G281" s="6"/>
      <c r="H281" s="6"/>
      <c r="I281" s="6"/>
    </row>
    <row r="282" spans="1:9" hidden="1" x14ac:dyDescent="0.2">
      <c r="A282" s="8" t="s">
        <v>1</v>
      </c>
      <c r="B282" s="5"/>
      <c r="C282" s="74"/>
      <c r="D282" s="6"/>
      <c r="E282" s="6"/>
      <c r="F282" s="6"/>
      <c r="G282" s="6"/>
      <c r="H282" s="6"/>
      <c r="I282" s="6"/>
    </row>
    <row r="283" spans="1:9" hidden="1" x14ac:dyDescent="0.2">
      <c r="A283" s="8" t="s">
        <v>2</v>
      </c>
      <c r="B283" s="5"/>
      <c r="C283" s="74"/>
      <c r="D283" s="6"/>
      <c r="E283" s="6"/>
      <c r="F283" s="6"/>
      <c r="G283" s="6"/>
      <c r="H283" s="6"/>
      <c r="I283" s="6"/>
    </row>
    <row r="284" spans="1:9" hidden="1" x14ac:dyDescent="0.2">
      <c r="A284" s="8" t="s">
        <v>3</v>
      </c>
      <c r="B284" s="5"/>
      <c r="C284" s="74"/>
      <c r="D284" s="6"/>
      <c r="E284" s="6"/>
      <c r="F284" s="6"/>
      <c r="G284" s="6"/>
      <c r="H284" s="6"/>
      <c r="I284" s="6"/>
    </row>
    <row r="285" spans="1:9" hidden="1" x14ac:dyDescent="0.2">
      <c r="A285" s="8" t="s">
        <v>4</v>
      </c>
      <c r="B285" s="5"/>
      <c r="C285" s="74"/>
      <c r="D285" s="6"/>
      <c r="E285" s="6"/>
      <c r="F285" s="6"/>
      <c r="G285" s="6"/>
      <c r="H285" s="6"/>
      <c r="I285" s="6"/>
    </row>
    <row r="286" spans="1:9" hidden="1" x14ac:dyDescent="0.2">
      <c r="A286" s="8" t="s">
        <v>5</v>
      </c>
      <c r="B286" s="5"/>
      <c r="C286" s="74"/>
      <c r="D286" s="6"/>
      <c r="E286" s="6"/>
      <c r="F286" s="6"/>
      <c r="G286" s="6"/>
      <c r="H286" s="6"/>
      <c r="I286" s="6"/>
    </row>
    <row r="287" spans="1:9" hidden="1" x14ac:dyDescent="0.2">
      <c r="A287" s="8" t="s">
        <v>6</v>
      </c>
      <c r="B287" s="5"/>
      <c r="C287" s="74"/>
      <c r="D287" s="6"/>
      <c r="E287" s="6"/>
      <c r="F287" s="6"/>
      <c r="G287" s="6"/>
      <c r="H287" s="6"/>
      <c r="I287" s="6"/>
    </row>
    <row r="288" spans="1:9" hidden="1" x14ac:dyDescent="0.2">
      <c r="A288" s="8" t="s">
        <v>7</v>
      </c>
      <c r="B288" s="5"/>
      <c r="C288" s="74"/>
      <c r="D288" s="6"/>
      <c r="E288" s="6"/>
      <c r="F288" s="6"/>
      <c r="G288" s="6"/>
      <c r="H288" s="6"/>
      <c r="I288" s="6"/>
    </row>
    <row r="289" spans="1:9" hidden="1" x14ac:dyDescent="0.2">
      <c r="A289" s="8" t="s">
        <v>8</v>
      </c>
      <c r="B289" s="5"/>
      <c r="C289" s="74"/>
      <c r="D289" s="6"/>
      <c r="E289" s="6"/>
      <c r="F289" s="6"/>
      <c r="G289" s="6"/>
      <c r="H289" s="6"/>
      <c r="I289" s="6"/>
    </row>
    <row r="290" spans="1:9" hidden="1" x14ac:dyDescent="0.2">
      <c r="A290" s="8" t="s">
        <v>9</v>
      </c>
      <c r="B290" s="5"/>
      <c r="C290" s="74"/>
      <c r="D290" s="6"/>
      <c r="E290" s="6"/>
      <c r="F290" s="6"/>
      <c r="G290" s="6"/>
      <c r="H290" s="6"/>
      <c r="I290" s="6"/>
    </row>
    <row r="291" spans="1:9" hidden="1" x14ac:dyDescent="0.2">
      <c r="A291" s="312" t="s">
        <v>10</v>
      </c>
      <c r="B291" s="313"/>
      <c r="C291" s="313"/>
      <c r="D291" s="313"/>
      <c r="E291" s="314"/>
      <c r="F291" s="11">
        <f>SUM(F281:F290)</f>
        <v>0</v>
      </c>
      <c r="G291" s="11">
        <f>SUM(G281:G290)</f>
        <v>0</v>
      </c>
      <c r="H291" s="11">
        <f>SUM(H281:H290)</f>
        <v>0</v>
      </c>
      <c r="I291" s="11"/>
    </row>
    <row r="292" spans="1:9" x14ac:dyDescent="0.2">
      <c r="A292" s="8" t="s">
        <v>0</v>
      </c>
      <c r="B292" s="5">
        <f>B281+1</f>
        <v>46131</v>
      </c>
      <c r="C292" s="75" t="s">
        <v>1282</v>
      </c>
      <c r="D292" s="6" t="s">
        <v>173</v>
      </c>
      <c r="E292" s="6" t="s">
        <v>544</v>
      </c>
      <c r="F292" s="6">
        <v>1</v>
      </c>
      <c r="G292" s="6"/>
      <c r="H292" s="6">
        <v>5.5</v>
      </c>
      <c r="I292" s="6"/>
    </row>
    <row r="293" spans="1:9" hidden="1" x14ac:dyDescent="0.2">
      <c r="A293" s="8" t="s">
        <v>1</v>
      </c>
      <c r="B293" s="5"/>
      <c r="C293" s="75"/>
      <c r="D293" s="6"/>
      <c r="E293" s="6"/>
      <c r="F293" s="6"/>
      <c r="G293" s="6"/>
      <c r="H293" s="6"/>
      <c r="I293" s="6"/>
    </row>
    <row r="294" spans="1:9" hidden="1" x14ac:dyDescent="0.2">
      <c r="A294" s="8" t="s">
        <v>2</v>
      </c>
      <c r="B294" s="5"/>
      <c r="C294" s="75"/>
      <c r="D294" s="6"/>
      <c r="E294" s="6"/>
      <c r="F294" s="6"/>
      <c r="G294" s="6"/>
      <c r="H294" s="6"/>
      <c r="I294" s="6"/>
    </row>
    <row r="295" spans="1:9" hidden="1" x14ac:dyDescent="0.2">
      <c r="A295" s="8" t="s">
        <v>3</v>
      </c>
      <c r="B295" s="5"/>
      <c r="C295" s="75"/>
      <c r="D295" s="6"/>
      <c r="E295" s="6"/>
      <c r="F295" s="6"/>
      <c r="G295" s="6"/>
      <c r="H295" s="6"/>
      <c r="I295" s="6"/>
    </row>
    <row r="296" spans="1:9" hidden="1" x14ac:dyDescent="0.2">
      <c r="A296" s="8" t="s">
        <v>4</v>
      </c>
      <c r="B296" s="5"/>
      <c r="C296" s="75"/>
      <c r="D296" s="6"/>
      <c r="E296" s="6"/>
      <c r="F296" s="6"/>
      <c r="G296" s="6"/>
      <c r="H296" s="6"/>
      <c r="I296" s="6"/>
    </row>
    <row r="297" spans="1:9" hidden="1" x14ac:dyDescent="0.2">
      <c r="A297" s="8" t="s">
        <v>5</v>
      </c>
      <c r="B297" s="5"/>
      <c r="C297" s="75"/>
      <c r="D297" s="6"/>
      <c r="E297" s="6"/>
      <c r="F297" s="6"/>
      <c r="G297" s="6"/>
      <c r="H297" s="6"/>
      <c r="I297" s="6"/>
    </row>
    <row r="298" spans="1:9" hidden="1" x14ac:dyDescent="0.2">
      <c r="A298" s="8" t="s">
        <v>6</v>
      </c>
      <c r="B298" s="5"/>
      <c r="C298" s="75"/>
      <c r="D298" s="6"/>
      <c r="E298" s="6"/>
      <c r="F298" s="6"/>
      <c r="G298" s="6"/>
      <c r="H298" s="6"/>
      <c r="I298" s="6"/>
    </row>
    <row r="299" spans="1:9" hidden="1" x14ac:dyDescent="0.2">
      <c r="A299" s="8" t="s">
        <v>7</v>
      </c>
      <c r="B299" s="5"/>
      <c r="C299" s="74"/>
      <c r="D299" s="6"/>
      <c r="E299" s="6"/>
      <c r="F299" s="6"/>
      <c r="G299" s="6"/>
      <c r="H299" s="6"/>
      <c r="I299" s="6"/>
    </row>
    <row r="300" spans="1:9" hidden="1" x14ac:dyDescent="0.2">
      <c r="A300" s="8" t="s">
        <v>8</v>
      </c>
      <c r="B300" s="5"/>
      <c r="C300" s="74"/>
      <c r="D300" s="6"/>
      <c r="E300" s="6"/>
      <c r="F300" s="6"/>
      <c r="G300" s="6"/>
      <c r="H300" s="6"/>
      <c r="I300" s="6"/>
    </row>
    <row r="301" spans="1:9" hidden="1" x14ac:dyDescent="0.2">
      <c r="A301" s="8" t="s">
        <v>9</v>
      </c>
      <c r="B301" s="5"/>
      <c r="C301" s="74"/>
      <c r="D301" s="6"/>
      <c r="E301" s="6"/>
      <c r="F301" s="6"/>
      <c r="G301" s="6"/>
      <c r="H301" s="6"/>
      <c r="I301" s="6"/>
    </row>
    <row r="302" spans="1:9" x14ac:dyDescent="0.2">
      <c r="A302" s="312" t="s">
        <v>10</v>
      </c>
      <c r="B302" s="313"/>
      <c r="C302" s="313"/>
      <c r="D302" s="313"/>
      <c r="E302" s="314"/>
      <c r="F302" s="11">
        <f>SUM(F292:F301)</f>
        <v>1</v>
      </c>
      <c r="G302" s="11">
        <f>SUM(G292:G301)</f>
        <v>0</v>
      </c>
      <c r="H302" s="11">
        <f>SUM(H292:H301)</f>
        <v>5.5</v>
      </c>
      <c r="I302" s="11"/>
    </row>
    <row r="303" spans="1:9" x14ac:dyDescent="0.2">
      <c r="A303" s="8" t="s">
        <v>0</v>
      </c>
      <c r="B303" s="5">
        <f>B292+1</f>
        <v>46132</v>
      </c>
      <c r="C303" s="75" t="s">
        <v>1341</v>
      </c>
      <c r="D303" s="6" t="s">
        <v>170</v>
      </c>
      <c r="E303" s="6" t="s">
        <v>165</v>
      </c>
      <c r="F303" s="6">
        <v>1</v>
      </c>
      <c r="G303" s="6"/>
      <c r="H303" s="6">
        <v>6</v>
      </c>
      <c r="I303" s="6"/>
    </row>
    <row r="304" spans="1:9" x14ac:dyDescent="0.2">
      <c r="A304" s="8" t="s">
        <v>1</v>
      </c>
      <c r="B304" s="5"/>
      <c r="C304" s="75" t="s">
        <v>1342</v>
      </c>
      <c r="D304" s="6" t="s">
        <v>188</v>
      </c>
      <c r="E304" s="6" t="s">
        <v>165</v>
      </c>
      <c r="F304" s="6">
        <v>1</v>
      </c>
      <c r="G304" s="6"/>
      <c r="H304" s="6">
        <v>6</v>
      </c>
      <c r="I304" s="6"/>
    </row>
    <row r="305" spans="1:9" x14ac:dyDescent="0.2">
      <c r="A305" s="8" t="s">
        <v>2</v>
      </c>
      <c r="B305" s="5"/>
      <c r="C305" s="75" t="s">
        <v>1343</v>
      </c>
      <c r="D305" s="6" t="s">
        <v>170</v>
      </c>
      <c r="E305" s="6" t="s">
        <v>165</v>
      </c>
      <c r="F305" s="6">
        <v>1</v>
      </c>
      <c r="G305" s="6"/>
      <c r="H305" s="6">
        <v>6</v>
      </c>
      <c r="I305" s="6"/>
    </row>
    <row r="306" spans="1:9" x14ac:dyDescent="0.2">
      <c r="A306" s="8" t="s">
        <v>3</v>
      </c>
      <c r="B306" s="5"/>
      <c r="C306" s="75" t="s">
        <v>1344</v>
      </c>
      <c r="D306" s="6" t="s">
        <v>188</v>
      </c>
      <c r="E306" s="6" t="s">
        <v>165</v>
      </c>
      <c r="F306" s="6">
        <v>1</v>
      </c>
      <c r="G306" s="6"/>
      <c r="H306" s="6">
        <v>6</v>
      </c>
      <c r="I306" s="6"/>
    </row>
    <row r="307" spans="1:9" x14ac:dyDescent="0.2">
      <c r="A307" s="8" t="s">
        <v>4</v>
      </c>
      <c r="B307" s="5"/>
      <c r="C307" s="75" t="s">
        <v>1345</v>
      </c>
      <c r="D307" s="6" t="s">
        <v>170</v>
      </c>
      <c r="E307" s="6" t="s">
        <v>165</v>
      </c>
      <c r="F307" s="6">
        <v>1</v>
      </c>
      <c r="G307" s="6"/>
      <c r="H307" s="6">
        <v>3</v>
      </c>
      <c r="I307" s="6"/>
    </row>
    <row r="308" spans="1:9" x14ac:dyDescent="0.2">
      <c r="A308" s="8" t="s">
        <v>5</v>
      </c>
      <c r="B308" s="5"/>
      <c r="C308" s="75" t="s">
        <v>1346</v>
      </c>
      <c r="D308" s="6" t="s">
        <v>347</v>
      </c>
      <c r="E308" s="6" t="s">
        <v>174</v>
      </c>
      <c r="F308" s="6"/>
      <c r="G308" s="6">
        <v>1</v>
      </c>
      <c r="H308" s="6">
        <v>6</v>
      </c>
      <c r="I308" s="6"/>
    </row>
    <row r="309" spans="1:9" hidden="1" x14ac:dyDescent="0.2">
      <c r="A309" s="8" t="s">
        <v>6</v>
      </c>
      <c r="B309" s="5"/>
      <c r="C309" s="74"/>
      <c r="D309" s="6"/>
      <c r="E309" s="6"/>
      <c r="F309" s="6"/>
      <c r="G309" s="6"/>
      <c r="H309" s="6"/>
      <c r="I309" s="6"/>
    </row>
    <row r="310" spans="1:9" hidden="1" x14ac:dyDescent="0.2">
      <c r="A310" s="8" t="s">
        <v>7</v>
      </c>
      <c r="B310" s="5"/>
      <c r="C310" s="74"/>
      <c r="D310" s="6"/>
      <c r="E310" s="6"/>
      <c r="F310" s="6"/>
      <c r="G310" s="6"/>
      <c r="H310" s="6"/>
      <c r="I310" s="6"/>
    </row>
    <row r="311" spans="1:9" hidden="1" x14ac:dyDescent="0.2">
      <c r="A311" s="8" t="s">
        <v>8</v>
      </c>
      <c r="B311" s="5"/>
      <c r="C311" s="74"/>
      <c r="D311" s="6"/>
      <c r="E311" s="6"/>
      <c r="F311" s="6"/>
      <c r="G311" s="6"/>
      <c r="H311" s="6"/>
      <c r="I311" s="6"/>
    </row>
    <row r="312" spans="1:9" hidden="1" x14ac:dyDescent="0.2">
      <c r="A312" s="8" t="s">
        <v>9</v>
      </c>
      <c r="B312" s="5"/>
      <c r="C312" s="74"/>
      <c r="D312" s="6"/>
      <c r="E312" s="6"/>
      <c r="F312" s="6"/>
      <c r="G312" s="6"/>
      <c r="H312" s="6"/>
      <c r="I312" s="6"/>
    </row>
    <row r="313" spans="1:9" x14ac:dyDescent="0.2">
      <c r="A313" s="312" t="s">
        <v>10</v>
      </c>
      <c r="B313" s="313"/>
      <c r="C313" s="313"/>
      <c r="D313" s="313"/>
      <c r="E313" s="314"/>
      <c r="F313" s="11">
        <f>SUM(F303:F312)</f>
        <v>5</v>
      </c>
      <c r="G313" s="11">
        <f>SUM(G303:G312)</f>
        <v>1</v>
      </c>
      <c r="H313" s="11">
        <f>SUM(H303:H312)</f>
        <v>33</v>
      </c>
      <c r="I313" s="11"/>
    </row>
    <row r="314" spans="1:9" x14ac:dyDescent="0.2">
      <c r="A314" s="8" t="s">
        <v>0</v>
      </c>
      <c r="B314" s="5">
        <f>B303+1</f>
        <v>46133</v>
      </c>
      <c r="C314" s="75" t="s">
        <v>1423</v>
      </c>
      <c r="D314" s="6" t="s">
        <v>342</v>
      </c>
      <c r="E314" s="6" t="s">
        <v>165</v>
      </c>
      <c r="F314" s="6">
        <v>1</v>
      </c>
      <c r="G314" s="6"/>
      <c r="H314" s="6">
        <v>6</v>
      </c>
      <c r="I314" s="6"/>
    </row>
    <row r="315" spans="1:9" x14ac:dyDescent="0.2">
      <c r="A315" s="8" t="s">
        <v>1</v>
      </c>
      <c r="B315" s="5"/>
      <c r="C315" s="75" t="s">
        <v>1425</v>
      </c>
      <c r="D315" s="6" t="s">
        <v>170</v>
      </c>
      <c r="E315" s="6" t="s">
        <v>171</v>
      </c>
      <c r="F315" s="6">
        <v>1</v>
      </c>
      <c r="G315" s="6"/>
      <c r="H315" s="6">
        <v>6</v>
      </c>
      <c r="I315" s="6"/>
    </row>
    <row r="316" spans="1:9" x14ac:dyDescent="0.2">
      <c r="A316" s="8" t="s">
        <v>2</v>
      </c>
      <c r="B316" s="5"/>
      <c r="C316" s="75" t="s">
        <v>1426</v>
      </c>
      <c r="D316" s="6" t="s">
        <v>170</v>
      </c>
      <c r="E316" s="6" t="s">
        <v>171</v>
      </c>
      <c r="F316" s="6">
        <v>1</v>
      </c>
      <c r="G316" s="6"/>
      <c r="H316" s="6">
        <v>6</v>
      </c>
      <c r="I316" s="6"/>
    </row>
    <row r="317" spans="1:9" x14ac:dyDescent="0.2">
      <c r="A317" s="8" t="s">
        <v>3</v>
      </c>
      <c r="B317" s="5"/>
      <c r="C317" s="75" t="s">
        <v>1427</v>
      </c>
      <c r="D317" s="6" t="s">
        <v>170</v>
      </c>
      <c r="E317" s="6" t="s">
        <v>171</v>
      </c>
      <c r="F317" s="6">
        <v>1</v>
      </c>
      <c r="G317" s="6"/>
      <c r="H317" s="6">
        <v>6</v>
      </c>
      <c r="I317" s="6"/>
    </row>
    <row r="318" spans="1:9" x14ac:dyDescent="0.2">
      <c r="A318" s="8" t="s">
        <v>4</v>
      </c>
      <c r="B318" s="5"/>
      <c r="C318" s="75" t="s">
        <v>1428</v>
      </c>
      <c r="D318" s="6" t="s">
        <v>170</v>
      </c>
      <c r="E318" s="6" t="s">
        <v>171</v>
      </c>
      <c r="F318" s="6">
        <v>1</v>
      </c>
      <c r="G318" s="6"/>
      <c r="H318" s="6">
        <v>6</v>
      </c>
      <c r="I318" s="6"/>
    </row>
    <row r="319" spans="1:9" x14ac:dyDescent="0.2">
      <c r="A319" s="8" t="s">
        <v>5</v>
      </c>
      <c r="B319" s="5"/>
      <c r="C319" s="75" t="s">
        <v>1409</v>
      </c>
      <c r="D319" s="6" t="s">
        <v>870</v>
      </c>
      <c r="E319" s="6" t="s">
        <v>168</v>
      </c>
      <c r="F319" s="6">
        <v>1</v>
      </c>
      <c r="G319" s="6"/>
      <c r="H319" s="6">
        <v>4</v>
      </c>
      <c r="I319" s="6"/>
    </row>
    <row r="320" spans="1:9" x14ac:dyDescent="0.2">
      <c r="A320" s="8" t="s">
        <v>6</v>
      </c>
      <c r="B320" s="5"/>
      <c r="C320" s="75" t="s">
        <v>1429</v>
      </c>
      <c r="D320" s="6" t="s">
        <v>170</v>
      </c>
      <c r="E320" s="6" t="s">
        <v>171</v>
      </c>
      <c r="F320" s="6"/>
      <c r="G320" s="6">
        <v>1</v>
      </c>
      <c r="H320" s="6">
        <v>6</v>
      </c>
      <c r="I320" s="6"/>
    </row>
    <row r="321" spans="1:9" x14ac:dyDescent="0.2">
      <c r="A321" s="8" t="s">
        <v>7</v>
      </c>
      <c r="B321" s="5"/>
      <c r="C321" s="75" t="s">
        <v>1430</v>
      </c>
      <c r="D321" s="6" t="s">
        <v>170</v>
      </c>
      <c r="E321" s="6" t="s">
        <v>171</v>
      </c>
      <c r="F321" s="6"/>
      <c r="G321" s="6">
        <v>1</v>
      </c>
      <c r="H321" s="6">
        <v>6</v>
      </c>
      <c r="I321" s="6"/>
    </row>
    <row r="322" spans="1:9" hidden="1" x14ac:dyDescent="0.2">
      <c r="A322" s="8" t="s">
        <v>8</v>
      </c>
      <c r="B322" s="5"/>
      <c r="C322" s="75"/>
      <c r="D322" s="6"/>
      <c r="E322" s="6"/>
      <c r="F322" s="6"/>
      <c r="G322" s="6"/>
      <c r="H322" s="6"/>
      <c r="I322" s="6"/>
    </row>
    <row r="323" spans="1:9" hidden="1" x14ac:dyDescent="0.2">
      <c r="A323" s="8" t="s">
        <v>9</v>
      </c>
      <c r="B323" s="5"/>
      <c r="C323" s="75"/>
      <c r="D323" s="6"/>
      <c r="E323" s="6"/>
      <c r="F323" s="6"/>
      <c r="G323" s="6"/>
      <c r="H323" s="6"/>
      <c r="I323" s="6"/>
    </row>
    <row r="324" spans="1:9" x14ac:dyDescent="0.2">
      <c r="A324" s="312" t="s">
        <v>10</v>
      </c>
      <c r="B324" s="313"/>
      <c r="C324" s="313"/>
      <c r="D324" s="313"/>
      <c r="E324" s="314"/>
      <c r="F324" s="11">
        <f>SUM(F314:F323)</f>
        <v>6</v>
      </c>
      <c r="G324" s="11">
        <f>SUM(G314:G323)</f>
        <v>2</v>
      </c>
      <c r="H324" s="11">
        <f>SUM(H314:H323)</f>
        <v>46</v>
      </c>
      <c r="I324" s="11"/>
    </row>
    <row r="325" spans="1:9" x14ac:dyDescent="0.2">
      <c r="A325" s="8" t="s">
        <v>0</v>
      </c>
      <c r="B325" s="5">
        <f>B314+1</f>
        <v>46134</v>
      </c>
      <c r="C325" s="74" t="s">
        <v>1481</v>
      </c>
      <c r="D325" s="6" t="s">
        <v>173</v>
      </c>
      <c r="E325" s="6" t="s">
        <v>165</v>
      </c>
      <c r="F325" s="6">
        <v>1</v>
      </c>
      <c r="G325" s="6"/>
      <c r="H325" s="6">
        <v>6</v>
      </c>
      <c r="I325" s="6"/>
    </row>
    <row r="326" spans="1:9" x14ac:dyDescent="0.2">
      <c r="A326" s="8" t="s">
        <v>1</v>
      </c>
      <c r="B326" s="5"/>
      <c r="C326" s="74" t="s">
        <v>1482</v>
      </c>
      <c r="D326" s="6" t="s">
        <v>832</v>
      </c>
      <c r="E326" s="6" t="s">
        <v>168</v>
      </c>
      <c r="F326" s="6">
        <v>1</v>
      </c>
      <c r="G326" s="6"/>
      <c r="H326" s="6">
        <v>5</v>
      </c>
      <c r="I326" s="6"/>
    </row>
    <row r="327" spans="1:9" x14ac:dyDescent="0.2">
      <c r="A327" s="8" t="s">
        <v>2</v>
      </c>
      <c r="B327" s="5"/>
      <c r="C327" s="74" t="s">
        <v>1478</v>
      </c>
      <c r="D327" s="6" t="s">
        <v>170</v>
      </c>
      <c r="E327" s="6" t="s">
        <v>171</v>
      </c>
      <c r="F327" s="6">
        <v>1</v>
      </c>
      <c r="G327" s="6"/>
      <c r="H327" s="6">
        <v>6</v>
      </c>
      <c r="I327" s="6"/>
    </row>
    <row r="328" spans="1:9" x14ac:dyDescent="0.2">
      <c r="A328" s="8" t="s">
        <v>3</v>
      </c>
      <c r="B328" s="5"/>
      <c r="C328" s="74" t="s">
        <v>1484</v>
      </c>
      <c r="D328" s="6" t="s">
        <v>170</v>
      </c>
      <c r="E328" s="6" t="s">
        <v>171</v>
      </c>
      <c r="F328" s="6">
        <v>1</v>
      </c>
      <c r="G328" s="6"/>
      <c r="H328" s="6">
        <v>6</v>
      </c>
      <c r="I328" s="6"/>
    </row>
    <row r="329" spans="1:9" hidden="1" x14ac:dyDescent="0.2">
      <c r="A329" s="8" t="s">
        <v>4</v>
      </c>
      <c r="B329" s="5"/>
      <c r="C329" s="74"/>
      <c r="D329" s="6"/>
      <c r="E329" s="6"/>
      <c r="F329" s="6"/>
      <c r="G329" s="6"/>
      <c r="H329" s="6"/>
      <c r="I329" s="6"/>
    </row>
    <row r="330" spans="1:9" hidden="1" x14ac:dyDescent="0.2">
      <c r="A330" s="8" t="s">
        <v>5</v>
      </c>
      <c r="B330" s="5"/>
      <c r="C330" s="74"/>
      <c r="D330" s="6"/>
      <c r="E330" s="6"/>
      <c r="F330" s="6"/>
      <c r="G330" s="6"/>
      <c r="H330" s="6"/>
      <c r="I330" s="6"/>
    </row>
    <row r="331" spans="1:9" hidden="1" x14ac:dyDescent="0.2">
      <c r="A331" s="8" t="s">
        <v>6</v>
      </c>
      <c r="B331" s="5"/>
      <c r="C331" s="74"/>
      <c r="D331" s="6"/>
      <c r="E331" s="6"/>
      <c r="F331" s="6"/>
      <c r="G331" s="6"/>
      <c r="H331" s="6"/>
      <c r="I331" s="6"/>
    </row>
    <row r="332" spans="1:9" hidden="1" x14ac:dyDescent="0.2">
      <c r="A332" s="8" t="s">
        <v>7</v>
      </c>
      <c r="B332" s="5"/>
      <c r="C332" s="74"/>
      <c r="D332" s="6"/>
      <c r="E332" s="6"/>
      <c r="F332" s="6"/>
      <c r="G332" s="6"/>
      <c r="H332" s="6"/>
      <c r="I332" s="6"/>
    </row>
    <row r="333" spans="1:9" hidden="1" x14ac:dyDescent="0.2">
      <c r="A333" s="8" t="s">
        <v>8</v>
      </c>
      <c r="B333" s="5"/>
      <c r="C333" s="74"/>
      <c r="D333" s="6"/>
      <c r="E333" s="6"/>
      <c r="F333" s="6"/>
      <c r="G333" s="6"/>
      <c r="H333" s="6"/>
      <c r="I333" s="6"/>
    </row>
    <row r="334" spans="1:9" hidden="1" x14ac:dyDescent="0.2">
      <c r="A334" s="8" t="s">
        <v>9</v>
      </c>
      <c r="B334" s="5"/>
      <c r="C334" s="74"/>
      <c r="D334" s="6"/>
      <c r="E334" s="6"/>
      <c r="F334" s="6"/>
      <c r="G334" s="6"/>
      <c r="H334" s="6"/>
      <c r="I334" s="6"/>
    </row>
    <row r="335" spans="1:9" x14ac:dyDescent="0.2">
      <c r="A335" s="312" t="s">
        <v>10</v>
      </c>
      <c r="B335" s="313"/>
      <c r="C335" s="313"/>
      <c r="D335" s="313"/>
      <c r="E335" s="314"/>
      <c r="F335" s="11">
        <f>SUM(F325:F334)</f>
        <v>4</v>
      </c>
      <c r="G335" s="11">
        <f>SUM(G325:G334)</f>
        <v>0</v>
      </c>
      <c r="H335" s="11">
        <f>SUM(H325:H334)</f>
        <v>23</v>
      </c>
      <c r="I335" s="11"/>
    </row>
    <row r="336" spans="1:9" s="25" customFormat="1" ht="18" x14ac:dyDescent="0.2">
      <c r="A336" s="315" t="s">
        <v>39</v>
      </c>
      <c r="B336" s="316"/>
      <c r="C336" s="316"/>
      <c r="D336" s="316"/>
      <c r="E336" s="317"/>
      <c r="F336" s="22">
        <f>F269+F280+F291+F302+F313+F324+F335+F252</f>
        <v>86</v>
      </c>
      <c r="G336" s="22">
        <f>G269+G280+G291+G302+G313+G324+G335+G252</f>
        <v>19</v>
      </c>
      <c r="H336" s="22">
        <f>H269+H280+H291+H302+H313+H324+H335+H252</f>
        <v>559.75</v>
      </c>
      <c r="I336" s="22"/>
    </row>
    <row r="337" spans="1:9" ht="21.95" customHeight="1" x14ac:dyDescent="0.2">
      <c r="A337" s="319" t="s">
        <v>14</v>
      </c>
      <c r="B337" s="319"/>
      <c r="C337" s="319"/>
      <c r="D337" s="319"/>
      <c r="E337" s="319"/>
      <c r="F337" s="319"/>
      <c r="G337" s="319"/>
      <c r="H337" s="319"/>
      <c r="I337" s="319"/>
    </row>
    <row r="338" spans="1:9" s="53" customFormat="1" ht="20.100000000000001" customHeight="1" x14ac:dyDescent="0.2">
      <c r="A338" s="323" t="s">
        <v>86</v>
      </c>
      <c r="B338" s="323"/>
      <c r="C338" s="323"/>
      <c r="D338" s="323"/>
      <c r="E338" s="323"/>
      <c r="F338" s="50" t="str">
        <f>F254</f>
        <v>เมษายน</v>
      </c>
      <c r="G338" s="50" t="s">
        <v>87</v>
      </c>
      <c r="H338" s="51">
        <f>H254</f>
        <v>2569</v>
      </c>
      <c r="I338" s="52"/>
    </row>
    <row r="339" spans="1:9" s="3" customFormat="1" ht="20.100000000000001" customHeight="1" x14ac:dyDescent="0.35">
      <c r="A339" s="318" t="s">
        <v>38</v>
      </c>
      <c r="B339" s="318"/>
      <c r="C339" s="318"/>
      <c r="D339" s="2"/>
      <c r="F339" s="4"/>
      <c r="G339" s="4"/>
      <c r="H339" s="4" t="s">
        <v>21</v>
      </c>
      <c r="I339" s="40">
        <f>I255+1</f>
        <v>5</v>
      </c>
    </row>
    <row r="340" spans="1:9" s="3" customFormat="1" ht="20.100000000000001" customHeight="1" x14ac:dyDescent="0.35">
      <c r="A340" s="311" t="s">
        <v>68</v>
      </c>
      <c r="B340" s="311"/>
      <c r="C340" s="311"/>
      <c r="D340" s="2"/>
      <c r="E340" s="39" t="s">
        <v>81</v>
      </c>
      <c r="F340" s="308">
        <f>F256</f>
        <v>46107</v>
      </c>
      <c r="G340" s="308"/>
      <c r="H340" s="39" t="s">
        <v>82</v>
      </c>
      <c r="I340" s="34">
        <f>I256</f>
        <v>46136</v>
      </c>
    </row>
    <row r="341" spans="1:9" x14ac:dyDescent="0.2">
      <c r="A341" s="12" t="s">
        <v>23</v>
      </c>
      <c r="B341" s="13" t="s">
        <v>11</v>
      </c>
      <c r="C341" s="72" t="s">
        <v>26</v>
      </c>
      <c r="D341" s="12" t="s">
        <v>16</v>
      </c>
      <c r="E341" s="12" t="s">
        <v>17</v>
      </c>
      <c r="F341" s="310" t="s">
        <v>18</v>
      </c>
      <c r="G341" s="310"/>
      <c r="H341" s="310"/>
      <c r="I341" s="12" t="s">
        <v>19</v>
      </c>
    </row>
    <row r="342" spans="1:9" x14ac:dyDescent="0.2">
      <c r="A342" s="15"/>
      <c r="B342" s="16"/>
      <c r="C342" s="73"/>
      <c r="D342" s="15"/>
      <c r="E342" s="15"/>
      <c r="F342" s="21" t="s">
        <v>113</v>
      </c>
      <c r="G342" s="21" t="s">
        <v>114</v>
      </c>
      <c r="H342" s="21" t="s">
        <v>20</v>
      </c>
      <c r="I342" s="15"/>
    </row>
    <row r="343" spans="1:9" x14ac:dyDescent="0.2">
      <c r="A343" s="8" t="s">
        <v>0</v>
      </c>
      <c r="B343" s="5">
        <f>B325+1</f>
        <v>46135</v>
      </c>
      <c r="C343" s="74" t="s">
        <v>1546</v>
      </c>
      <c r="D343" s="6" t="s">
        <v>178</v>
      </c>
      <c r="E343" s="6" t="s">
        <v>165</v>
      </c>
      <c r="F343" s="6">
        <v>1</v>
      </c>
      <c r="G343" s="6"/>
      <c r="H343" s="6">
        <v>6</v>
      </c>
      <c r="I343" s="6"/>
    </row>
    <row r="344" spans="1:9" x14ac:dyDescent="0.2">
      <c r="A344" s="8" t="s">
        <v>1</v>
      </c>
      <c r="B344" s="5"/>
      <c r="C344" s="74" t="s">
        <v>1547</v>
      </c>
      <c r="D344" s="6" t="s">
        <v>332</v>
      </c>
      <c r="E344" s="6" t="s">
        <v>216</v>
      </c>
      <c r="F344" s="6">
        <v>1</v>
      </c>
      <c r="G344" s="6"/>
      <c r="H344" s="6">
        <v>5</v>
      </c>
      <c r="I344" s="6"/>
    </row>
    <row r="345" spans="1:9" x14ac:dyDescent="0.2">
      <c r="A345" s="8" t="s">
        <v>2</v>
      </c>
      <c r="B345" s="5"/>
      <c r="C345" s="74" t="s">
        <v>1548</v>
      </c>
      <c r="D345" s="6" t="s">
        <v>188</v>
      </c>
      <c r="E345" s="6" t="s">
        <v>165</v>
      </c>
      <c r="F345" s="6">
        <v>1</v>
      </c>
      <c r="G345" s="6"/>
      <c r="H345" s="6">
        <v>6</v>
      </c>
      <c r="I345" s="6"/>
    </row>
    <row r="346" spans="1:9" x14ac:dyDescent="0.2">
      <c r="A346" s="8" t="s">
        <v>3</v>
      </c>
      <c r="B346" s="5"/>
      <c r="C346" s="74" t="s">
        <v>1549</v>
      </c>
      <c r="D346" s="6" t="s">
        <v>170</v>
      </c>
      <c r="E346" s="6" t="s">
        <v>165</v>
      </c>
      <c r="F346" s="6">
        <v>1</v>
      </c>
      <c r="G346" s="6"/>
      <c r="H346" s="6">
        <v>6</v>
      </c>
      <c r="I346" s="6"/>
    </row>
    <row r="347" spans="1:9" x14ac:dyDescent="0.2">
      <c r="A347" s="8" t="s">
        <v>4</v>
      </c>
      <c r="B347" s="5"/>
      <c r="C347" s="74" t="s">
        <v>1550</v>
      </c>
      <c r="D347" s="6" t="s">
        <v>188</v>
      </c>
      <c r="E347" s="6" t="s">
        <v>165</v>
      </c>
      <c r="F347" s="6">
        <v>1</v>
      </c>
      <c r="G347" s="6"/>
      <c r="H347" s="6">
        <v>6</v>
      </c>
      <c r="I347" s="6"/>
    </row>
    <row r="348" spans="1:9" x14ac:dyDescent="0.2">
      <c r="A348" s="8" t="s">
        <v>5</v>
      </c>
      <c r="B348" s="5"/>
      <c r="C348" s="74" t="s">
        <v>1551</v>
      </c>
      <c r="D348" s="6" t="s">
        <v>170</v>
      </c>
      <c r="E348" s="6" t="s">
        <v>165</v>
      </c>
      <c r="F348" s="6">
        <v>1</v>
      </c>
      <c r="G348" s="6"/>
      <c r="H348" s="6">
        <v>6</v>
      </c>
      <c r="I348" s="6"/>
    </row>
    <row r="349" spans="1:9" x14ac:dyDescent="0.2">
      <c r="A349" s="8" t="s">
        <v>6</v>
      </c>
      <c r="B349" s="5"/>
      <c r="C349" s="74" t="s">
        <v>1552</v>
      </c>
      <c r="D349" s="6" t="s">
        <v>579</v>
      </c>
      <c r="E349" s="6" t="s">
        <v>168</v>
      </c>
      <c r="F349" s="6"/>
      <c r="G349" s="6">
        <v>1</v>
      </c>
      <c r="H349" s="6">
        <v>5</v>
      </c>
      <c r="I349" s="6"/>
    </row>
    <row r="350" spans="1:9" hidden="1" x14ac:dyDescent="0.2">
      <c r="A350" s="8" t="s">
        <v>7</v>
      </c>
      <c r="B350" s="5"/>
      <c r="C350" s="74"/>
      <c r="D350" s="6"/>
      <c r="E350" s="6"/>
      <c r="F350" s="6"/>
      <c r="G350" s="6"/>
      <c r="H350" s="6"/>
      <c r="I350" s="6"/>
    </row>
    <row r="351" spans="1:9" hidden="1" x14ac:dyDescent="0.2">
      <c r="A351" s="8" t="s">
        <v>8</v>
      </c>
      <c r="B351" s="5"/>
      <c r="C351" s="74"/>
      <c r="D351" s="6"/>
      <c r="E351" s="6"/>
      <c r="F351" s="6"/>
      <c r="G351" s="6"/>
      <c r="H351" s="6"/>
      <c r="I351" s="6"/>
    </row>
    <row r="352" spans="1:9" hidden="1" x14ac:dyDescent="0.2">
      <c r="A352" s="8" t="s">
        <v>9</v>
      </c>
      <c r="B352" s="5"/>
      <c r="C352" s="74"/>
      <c r="D352" s="6"/>
      <c r="E352" s="6"/>
      <c r="F352" s="6"/>
      <c r="G352" s="6"/>
      <c r="H352" s="6"/>
      <c r="I352" s="6"/>
    </row>
    <row r="353" spans="1:9" hidden="1" x14ac:dyDescent="0.2">
      <c r="A353" s="8" t="s">
        <v>99</v>
      </c>
      <c r="B353" s="5"/>
      <c r="C353" s="74"/>
      <c r="D353" s="6"/>
      <c r="E353" s="6"/>
      <c r="F353" s="6"/>
      <c r="G353" s="6"/>
      <c r="H353" s="6"/>
      <c r="I353" s="6"/>
    </row>
    <row r="354" spans="1:9" x14ac:dyDescent="0.2">
      <c r="A354" s="312" t="s">
        <v>10</v>
      </c>
      <c r="B354" s="313"/>
      <c r="C354" s="313"/>
      <c r="D354" s="313"/>
      <c r="E354" s="314"/>
      <c r="F354" s="11">
        <f>SUM(F343:F353)</f>
        <v>6</v>
      </c>
      <c r="G354" s="11">
        <f>SUM(G343:G353)</f>
        <v>1</v>
      </c>
      <c r="H354" s="11">
        <f>SUM(H343:H353)</f>
        <v>40</v>
      </c>
      <c r="I354" s="11"/>
    </row>
    <row r="355" spans="1:9" x14ac:dyDescent="0.2">
      <c r="A355" s="8" t="s">
        <v>0</v>
      </c>
      <c r="B355" s="5">
        <f>B343+1</f>
        <v>46136</v>
      </c>
      <c r="C355" s="74" t="s">
        <v>1627</v>
      </c>
      <c r="D355" s="6" t="s">
        <v>170</v>
      </c>
      <c r="E355" s="6" t="s">
        <v>171</v>
      </c>
      <c r="F355" s="6">
        <v>1</v>
      </c>
      <c r="G355" s="6"/>
      <c r="H355" s="6">
        <v>6</v>
      </c>
      <c r="I355" s="6"/>
    </row>
    <row r="356" spans="1:9" x14ac:dyDescent="0.2">
      <c r="A356" s="8" t="s">
        <v>1</v>
      </c>
      <c r="B356" s="5"/>
      <c r="C356" s="74" t="s">
        <v>1628</v>
      </c>
      <c r="D356" s="6" t="s">
        <v>170</v>
      </c>
      <c r="E356" s="6" t="s">
        <v>171</v>
      </c>
      <c r="F356" s="6">
        <v>1</v>
      </c>
      <c r="G356" s="6"/>
      <c r="H356" s="6">
        <v>6</v>
      </c>
      <c r="I356" s="6"/>
    </row>
    <row r="357" spans="1:9" x14ac:dyDescent="0.2">
      <c r="A357" s="8" t="s">
        <v>2</v>
      </c>
      <c r="B357" s="5"/>
      <c r="C357" s="74" t="s">
        <v>1629</v>
      </c>
      <c r="D357" s="6" t="s">
        <v>170</v>
      </c>
      <c r="E357" s="6" t="s">
        <v>171</v>
      </c>
      <c r="F357" s="6">
        <v>1</v>
      </c>
      <c r="G357" s="6"/>
      <c r="H357" s="6">
        <v>6</v>
      </c>
      <c r="I357" s="6"/>
    </row>
    <row r="358" spans="1:9" x14ac:dyDescent="0.2">
      <c r="A358" s="8" t="s">
        <v>3</v>
      </c>
      <c r="B358" s="5"/>
      <c r="C358" s="74" t="s">
        <v>1610</v>
      </c>
      <c r="D358" s="6" t="s">
        <v>839</v>
      </c>
      <c r="E358" s="6" t="s">
        <v>190</v>
      </c>
      <c r="F358" s="6">
        <v>1</v>
      </c>
      <c r="G358" s="6"/>
      <c r="H358" s="6">
        <v>6</v>
      </c>
      <c r="I358" s="6"/>
    </row>
    <row r="359" spans="1:9" x14ac:dyDescent="0.2">
      <c r="A359" s="8" t="s">
        <v>4</v>
      </c>
      <c r="B359" s="5"/>
      <c r="C359" s="74" t="s">
        <v>1617</v>
      </c>
      <c r="D359" s="6" t="s">
        <v>211</v>
      </c>
      <c r="E359" s="6" t="s">
        <v>165</v>
      </c>
      <c r="F359" s="6">
        <v>1</v>
      </c>
      <c r="G359" s="6"/>
      <c r="H359" s="6">
        <v>5</v>
      </c>
      <c r="I359" s="6"/>
    </row>
    <row r="360" spans="1:9" x14ac:dyDescent="0.2">
      <c r="A360" s="8" t="s">
        <v>5</v>
      </c>
      <c r="B360" s="5"/>
      <c r="C360" s="74" t="s">
        <v>1630</v>
      </c>
      <c r="D360" s="6" t="s">
        <v>253</v>
      </c>
      <c r="E360" s="6" t="s">
        <v>596</v>
      </c>
      <c r="F360" s="6"/>
      <c r="G360" s="6">
        <v>1</v>
      </c>
      <c r="H360" s="6">
        <v>6</v>
      </c>
      <c r="I360" s="6"/>
    </row>
    <row r="361" spans="1:9" hidden="1" x14ac:dyDescent="0.2">
      <c r="A361" s="8" t="s">
        <v>6</v>
      </c>
      <c r="B361" s="5"/>
      <c r="C361" s="74"/>
      <c r="D361" s="6"/>
      <c r="E361" s="6"/>
      <c r="F361" s="6"/>
      <c r="G361" s="6"/>
      <c r="H361" s="6"/>
      <c r="I361" s="6"/>
    </row>
    <row r="362" spans="1:9" hidden="1" x14ac:dyDescent="0.2">
      <c r="A362" s="8" t="s">
        <v>7</v>
      </c>
      <c r="B362" s="5"/>
      <c r="C362" s="74"/>
      <c r="D362" s="6"/>
      <c r="E362" s="6"/>
      <c r="F362" s="6"/>
      <c r="G362" s="6"/>
      <c r="H362" s="6"/>
      <c r="I362" s="6"/>
    </row>
    <row r="363" spans="1:9" hidden="1" x14ac:dyDescent="0.2">
      <c r="A363" s="8" t="s">
        <v>8</v>
      </c>
      <c r="B363" s="5"/>
      <c r="C363" s="74"/>
      <c r="D363" s="6"/>
      <c r="E363" s="6"/>
      <c r="F363" s="6"/>
      <c r="G363" s="6"/>
      <c r="H363" s="6"/>
      <c r="I363" s="6"/>
    </row>
    <row r="364" spans="1:9" hidden="1" x14ac:dyDescent="0.2">
      <c r="A364" s="8" t="s">
        <v>9</v>
      </c>
      <c r="B364" s="5"/>
      <c r="C364" s="74"/>
      <c r="D364" s="6"/>
      <c r="E364" s="6"/>
      <c r="F364" s="6"/>
      <c r="G364" s="6"/>
      <c r="H364" s="6"/>
      <c r="I364" s="6"/>
    </row>
    <row r="365" spans="1:9" x14ac:dyDescent="0.2">
      <c r="A365" s="312" t="s">
        <v>10</v>
      </c>
      <c r="B365" s="313"/>
      <c r="C365" s="313"/>
      <c r="D365" s="313"/>
      <c r="E365" s="314"/>
      <c r="F365" s="11">
        <f>SUM(F355:F364)</f>
        <v>5</v>
      </c>
      <c r="G365" s="11">
        <f>SUM(G355:G364)</f>
        <v>1</v>
      </c>
      <c r="H365" s="11">
        <f>SUM(H355:H364)</f>
        <v>35</v>
      </c>
      <c r="I365" s="11"/>
    </row>
    <row r="366" spans="1:9" hidden="1" x14ac:dyDescent="0.2">
      <c r="A366" s="8" t="s">
        <v>0</v>
      </c>
      <c r="B366" s="5">
        <f>B355+1</f>
        <v>46137</v>
      </c>
      <c r="C366" s="74"/>
      <c r="D366" s="6"/>
      <c r="E366" s="6"/>
      <c r="F366" s="6"/>
      <c r="G366" s="6"/>
      <c r="H366" s="6"/>
      <c r="I366" s="6"/>
    </row>
    <row r="367" spans="1:9" hidden="1" x14ac:dyDescent="0.2">
      <c r="A367" s="8" t="s">
        <v>1</v>
      </c>
      <c r="B367" s="5"/>
      <c r="C367" s="74"/>
      <c r="D367" s="6"/>
      <c r="E367" s="6"/>
      <c r="F367" s="6"/>
      <c r="G367" s="6"/>
      <c r="H367" s="6"/>
      <c r="I367" s="6"/>
    </row>
    <row r="368" spans="1:9" hidden="1" x14ac:dyDescent="0.2">
      <c r="A368" s="8" t="s">
        <v>2</v>
      </c>
      <c r="B368" s="5"/>
      <c r="C368" s="74"/>
      <c r="D368" s="6"/>
      <c r="E368" s="6"/>
      <c r="F368" s="6"/>
      <c r="G368" s="6"/>
      <c r="H368" s="6"/>
      <c r="I368" s="6"/>
    </row>
    <row r="369" spans="1:9" hidden="1" x14ac:dyDescent="0.2">
      <c r="A369" s="8" t="s">
        <v>3</v>
      </c>
      <c r="B369" s="5"/>
      <c r="C369" s="75"/>
      <c r="D369" s="6"/>
      <c r="E369" s="6"/>
      <c r="F369" s="6"/>
      <c r="G369" s="6"/>
      <c r="H369" s="6"/>
      <c r="I369" s="6"/>
    </row>
    <row r="370" spans="1:9" hidden="1" x14ac:dyDescent="0.2">
      <c r="A370" s="8" t="s">
        <v>4</v>
      </c>
      <c r="B370" s="5"/>
      <c r="C370" s="74"/>
      <c r="D370" s="6"/>
      <c r="E370" s="6"/>
      <c r="F370" s="6"/>
      <c r="G370" s="6"/>
      <c r="H370" s="6"/>
      <c r="I370" s="6"/>
    </row>
    <row r="371" spans="1:9" hidden="1" x14ac:dyDescent="0.2">
      <c r="A371" s="8" t="s">
        <v>5</v>
      </c>
      <c r="B371" s="5"/>
      <c r="C371" s="74"/>
      <c r="D371" s="6"/>
      <c r="E371" s="6"/>
      <c r="F371" s="6"/>
      <c r="G371" s="6"/>
      <c r="H371" s="6"/>
      <c r="I371" s="6"/>
    </row>
    <row r="372" spans="1:9" hidden="1" x14ac:dyDescent="0.2">
      <c r="A372" s="8" t="s">
        <v>6</v>
      </c>
      <c r="B372" s="5"/>
      <c r="C372" s="74"/>
      <c r="D372" s="6"/>
      <c r="E372" s="6"/>
      <c r="F372" s="6"/>
      <c r="G372" s="6"/>
      <c r="H372" s="6"/>
      <c r="I372" s="6"/>
    </row>
    <row r="373" spans="1:9" hidden="1" x14ac:dyDescent="0.2">
      <c r="A373" s="8" t="s">
        <v>7</v>
      </c>
      <c r="B373" s="5"/>
      <c r="C373" s="74"/>
      <c r="D373" s="6"/>
      <c r="E373" s="6"/>
      <c r="F373" s="6"/>
      <c r="G373" s="6"/>
      <c r="H373" s="6"/>
      <c r="I373" s="6"/>
    </row>
    <row r="374" spans="1:9" hidden="1" x14ac:dyDescent="0.2">
      <c r="A374" s="8" t="s">
        <v>8</v>
      </c>
      <c r="B374" s="5"/>
      <c r="C374" s="74"/>
      <c r="D374" s="6"/>
      <c r="E374" s="6"/>
      <c r="F374" s="6"/>
      <c r="G374" s="6"/>
      <c r="H374" s="6"/>
      <c r="I374" s="6"/>
    </row>
    <row r="375" spans="1:9" hidden="1" x14ac:dyDescent="0.2">
      <c r="A375" s="8" t="s">
        <v>9</v>
      </c>
      <c r="B375" s="5"/>
      <c r="C375" s="74"/>
      <c r="D375" s="6"/>
      <c r="E375" s="6"/>
      <c r="F375" s="6"/>
      <c r="G375" s="6"/>
      <c r="H375" s="6"/>
      <c r="I375" s="6"/>
    </row>
    <row r="376" spans="1:9" hidden="1" x14ac:dyDescent="0.2">
      <c r="A376" s="312" t="s">
        <v>10</v>
      </c>
      <c r="B376" s="313"/>
      <c r="C376" s="313"/>
      <c r="D376" s="313"/>
      <c r="E376" s="314"/>
      <c r="F376" s="11">
        <f>SUM(F366:F375)</f>
        <v>0</v>
      </c>
      <c r="G376" s="11">
        <f>SUM(G366:G375)</f>
        <v>0</v>
      </c>
      <c r="H376" s="11">
        <f>SUM(H366:H375)</f>
        <v>0</v>
      </c>
      <c r="I376" s="11"/>
    </row>
    <row r="377" spans="1:9" hidden="1" x14ac:dyDescent="0.2">
      <c r="A377" s="8" t="s">
        <v>0</v>
      </c>
      <c r="B377" s="5">
        <f>B366+1</f>
        <v>46138</v>
      </c>
      <c r="C377" s="75"/>
      <c r="D377" s="6"/>
      <c r="E377" s="6"/>
      <c r="F377" s="6"/>
      <c r="G377" s="6"/>
      <c r="H377" s="6"/>
      <c r="I377" s="6"/>
    </row>
    <row r="378" spans="1:9" hidden="1" x14ac:dyDescent="0.2">
      <c r="A378" s="8" t="s">
        <v>1</v>
      </c>
      <c r="B378" s="5"/>
      <c r="C378" s="75"/>
      <c r="D378" s="6"/>
      <c r="E378" s="6"/>
      <c r="F378" s="6"/>
      <c r="G378" s="6"/>
      <c r="H378" s="6"/>
      <c r="I378" s="6"/>
    </row>
    <row r="379" spans="1:9" hidden="1" x14ac:dyDescent="0.2">
      <c r="A379" s="8" t="s">
        <v>2</v>
      </c>
      <c r="B379" s="5"/>
      <c r="C379" s="75"/>
      <c r="D379" s="6"/>
      <c r="E379" s="6"/>
      <c r="F379" s="6"/>
      <c r="G379" s="6"/>
      <c r="H379" s="6"/>
      <c r="I379" s="6"/>
    </row>
    <row r="380" spans="1:9" hidden="1" x14ac:dyDescent="0.2">
      <c r="A380" s="8" t="s">
        <v>3</v>
      </c>
      <c r="B380" s="5"/>
      <c r="C380" s="75"/>
      <c r="D380" s="6"/>
      <c r="E380" s="6"/>
      <c r="F380" s="6"/>
      <c r="G380" s="6"/>
      <c r="H380" s="6"/>
      <c r="I380" s="6"/>
    </row>
    <row r="381" spans="1:9" hidden="1" x14ac:dyDescent="0.2">
      <c r="A381" s="8" t="s">
        <v>4</v>
      </c>
      <c r="B381" s="5"/>
      <c r="C381" s="75"/>
      <c r="D381" s="6"/>
      <c r="E381" s="6"/>
      <c r="F381" s="6"/>
      <c r="G381" s="6"/>
      <c r="H381" s="6"/>
      <c r="I381" s="6"/>
    </row>
    <row r="382" spans="1:9" hidden="1" x14ac:dyDescent="0.2">
      <c r="A382" s="8" t="s">
        <v>5</v>
      </c>
      <c r="B382" s="5"/>
      <c r="C382" s="75"/>
      <c r="D382" s="6"/>
      <c r="E382" s="6"/>
      <c r="F382" s="6"/>
      <c r="G382" s="6"/>
      <c r="H382" s="6"/>
      <c r="I382" s="6"/>
    </row>
    <row r="383" spans="1:9" hidden="1" x14ac:dyDescent="0.2">
      <c r="A383" s="8" t="s">
        <v>6</v>
      </c>
      <c r="B383" s="5"/>
      <c r="C383" s="75"/>
      <c r="D383" s="6"/>
      <c r="E383" s="6"/>
      <c r="F383" s="6"/>
      <c r="G383" s="6"/>
      <c r="H383" s="6"/>
      <c r="I383" s="6"/>
    </row>
    <row r="384" spans="1:9" hidden="1" x14ac:dyDescent="0.2">
      <c r="A384" s="8" t="s">
        <v>7</v>
      </c>
      <c r="B384" s="5"/>
      <c r="C384" s="74"/>
      <c r="D384" s="6"/>
      <c r="E384" s="6"/>
      <c r="F384" s="6"/>
      <c r="G384" s="6"/>
      <c r="H384" s="6"/>
      <c r="I384" s="6"/>
    </row>
    <row r="385" spans="1:9" hidden="1" x14ac:dyDescent="0.2">
      <c r="A385" s="8" t="s">
        <v>8</v>
      </c>
      <c r="B385" s="5"/>
      <c r="C385" s="74"/>
      <c r="D385" s="6"/>
      <c r="E385" s="6"/>
      <c r="F385" s="6"/>
      <c r="G385" s="6"/>
      <c r="H385" s="6"/>
      <c r="I385" s="6"/>
    </row>
    <row r="386" spans="1:9" hidden="1" x14ac:dyDescent="0.2">
      <c r="A386" s="8" t="s">
        <v>9</v>
      </c>
      <c r="B386" s="5"/>
      <c r="C386" s="74"/>
      <c r="D386" s="6"/>
      <c r="E386" s="6"/>
      <c r="F386" s="6"/>
      <c r="G386" s="6"/>
      <c r="H386" s="6"/>
      <c r="I386" s="6"/>
    </row>
    <row r="387" spans="1:9" hidden="1" x14ac:dyDescent="0.2">
      <c r="A387" s="312" t="s">
        <v>10</v>
      </c>
      <c r="B387" s="313"/>
      <c r="C387" s="313"/>
      <c r="D387" s="313"/>
      <c r="E387" s="314"/>
      <c r="F387" s="11">
        <f>SUM(F377:F386)</f>
        <v>0</v>
      </c>
      <c r="G387" s="11">
        <f>SUM(G377:G386)</f>
        <v>0</v>
      </c>
      <c r="H387" s="11">
        <f>SUM(H377:H386)</f>
        <v>0</v>
      </c>
      <c r="I387" s="11"/>
    </row>
    <row r="388" spans="1:9" hidden="1" x14ac:dyDescent="0.2">
      <c r="A388" s="8" t="s">
        <v>0</v>
      </c>
      <c r="B388" s="5"/>
      <c r="C388" s="75"/>
      <c r="D388" s="6"/>
      <c r="E388" s="6"/>
      <c r="F388" s="6"/>
      <c r="G388" s="6"/>
      <c r="H388" s="6"/>
      <c r="I388" s="6"/>
    </row>
    <row r="389" spans="1:9" hidden="1" x14ac:dyDescent="0.2">
      <c r="A389" s="8" t="s">
        <v>1</v>
      </c>
      <c r="B389" s="5"/>
      <c r="C389" s="75"/>
      <c r="D389" s="6"/>
      <c r="E389" s="6"/>
      <c r="F389" s="6"/>
      <c r="G389" s="6"/>
      <c r="H389" s="6"/>
      <c r="I389" s="6"/>
    </row>
    <row r="390" spans="1:9" hidden="1" x14ac:dyDescent="0.2">
      <c r="A390" s="8" t="s">
        <v>2</v>
      </c>
      <c r="B390" s="5"/>
      <c r="C390" s="75"/>
      <c r="D390" s="6"/>
      <c r="E390" s="6"/>
      <c r="F390" s="6"/>
      <c r="G390" s="6"/>
      <c r="H390" s="6"/>
      <c r="I390" s="6"/>
    </row>
    <row r="391" spans="1:9" hidden="1" x14ac:dyDescent="0.2">
      <c r="A391" s="8" t="s">
        <v>3</v>
      </c>
      <c r="B391" s="5"/>
      <c r="C391" s="75"/>
      <c r="D391" s="6"/>
      <c r="E391" s="6"/>
      <c r="F391" s="6"/>
      <c r="G391" s="6"/>
      <c r="H391" s="6"/>
      <c r="I391" s="6"/>
    </row>
    <row r="392" spans="1:9" hidden="1" x14ac:dyDescent="0.2">
      <c r="A392" s="8" t="s">
        <v>4</v>
      </c>
      <c r="B392" s="5"/>
      <c r="C392" s="75"/>
      <c r="D392" s="6"/>
      <c r="E392" s="6"/>
      <c r="F392" s="6"/>
      <c r="G392" s="6"/>
      <c r="H392" s="6"/>
      <c r="I392" s="6"/>
    </row>
    <row r="393" spans="1:9" hidden="1" x14ac:dyDescent="0.2">
      <c r="A393" s="8" t="s">
        <v>5</v>
      </c>
      <c r="B393" s="5"/>
      <c r="C393" s="75"/>
      <c r="D393" s="6"/>
      <c r="E393" s="6"/>
      <c r="F393" s="6"/>
      <c r="G393" s="6"/>
      <c r="H393" s="6"/>
      <c r="I393" s="6"/>
    </row>
    <row r="394" spans="1:9" hidden="1" x14ac:dyDescent="0.2">
      <c r="A394" s="8" t="s">
        <v>6</v>
      </c>
      <c r="B394" s="5"/>
      <c r="C394" s="74"/>
      <c r="D394" s="6"/>
      <c r="E394" s="6"/>
      <c r="F394" s="6"/>
      <c r="G394" s="6"/>
      <c r="H394" s="6"/>
      <c r="I394" s="6"/>
    </row>
    <row r="395" spans="1:9" hidden="1" x14ac:dyDescent="0.2">
      <c r="A395" s="8" t="s">
        <v>7</v>
      </c>
      <c r="B395" s="5"/>
      <c r="C395" s="74"/>
      <c r="D395" s="6"/>
      <c r="E395" s="6"/>
      <c r="F395" s="6"/>
      <c r="G395" s="6"/>
      <c r="H395" s="6"/>
      <c r="I395" s="6"/>
    </row>
    <row r="396" spans="1:9" hidden="1" x14ac:dyDescent="0.2">
      <c r="A396" s="8" t="s">
        <v>8</v>
      </c>
      <c r="B396" s="5"/>
      <c r="C396" s="74"/>
      <c r="D396" s="6"/>
      <c r="E396" s="6"/>
      <c r="F396" s="6"/>
      <c r="G396" s="6"/>
      <c r="H396" s="6"/>
      <c r="I396" s="6"/>
    </row>
    <row r="397" spans="1:9" hidden="1" x14ac:dyDescent="0.2">
      <c r="A397" s="8" t="s">
        <v>9</v>
      </c>
      <c r="B397" s="5"/>
      <c r="C397" s="74"/>
      <c r="D397" s="6"/>
      <c r="E397" s="6"/>
      <c r="F397" s="6"/>
      <c r="G397" s="6"/>
      <c r="H397" s="6"/>
      <c r="I397" s="6"/>
    </row>
    <row r="398" spans="1:9" hidden="1" x14ac:dyDescent="0.2">
      <c r="A398" s="312" t="s">
        <v>10</v>
      </c>
      <c r="B398" s="313"/>
      <c r="C398" s="313"/>
      <c r="D398" s="313"/>
      <c r="E398" s="314"/>
      <c r="F398" s="11">
        <f>SUM(F388:F397)</f>
        <v>0</v>
      </c>
      <c r="G398" s="11">
        <f>SUM(G388:G397)</f>
        <v>0</v>
      </c>
      <c r="H398" s="11">
        <f>SUM(H388:H397)</f>
        <v>0</v>
      </c>
      <c r="I398" s="11"/>
    </row>
    <row r="399" spans="1:9" hidden="1" x14ac:dyDescent="0.2">
      <c r="A399" s="8" t="s">
        <v>0</v>
      </c>
      <c r="B399" s="5"/>
      <c r="C399" s="75"/>
      <c r="D399" s="6"/>
      <c r="E399" s="6"/>
      <c r="F399" s="6"/>
      <c r="G399" s="6"/>
      <c r="H399" s="6"/>
      <c r="I399" s="6"/>
    </row>
    <row r="400" spans="1:9" hidden="1" x14ac:dyDescent="0.2">
      <c r="A400" s="8" t="s">
        <v>1</v>
      </c>
      <c r="B400" s="5"/>
      <c r="C400" s="75"/>
      <c r="D400" s="6"/>
      <c r="E400" s="6"/>
      <c r="F400" s="6"/>
      <c r="G400" s="6"/>
      <c r="H400" s="6"/>
      <c r="I400" s="6"/>
    </row>
    <row r="401" spans="1:9" hidden="1" x14ac:dyDescent="0.2">
      <c r="A401" s="8" t="s">
        <v>2</v>
      </c>
      <c r="B401" s="5"/>
      <c r="C401" s="75"/>
      <c r="D401" s="6"/>
      <c r="E401" s="6"/>
      <c r="F401" s="6"/>
      <c r="G401" s="6"/>
      <c r="H401" s="6"/>
      <c r="I401" s="6"/>
    </row>
    <row r="402" spans="1:9" hidden="1" x14ac:dyDescent="0.2">
      <c r="A402" s="8" t="s">
        <v>3</v>
      </c>
      <c r="B402" s="5"/>
      <c r="C402" s="75"/>
      <c r="D402" s="6"/>
      <c r="E402" s="6"/>
      <c r="F402" s="6"/>
      <c r="G402" s="6"/>
      <c r="H402" s="6"/>
      <c r="I402" s="6"/>
    </row>
    <row r="403" spans="1:9" hidden="1" x14ac:dyDescent="0.2">
      <c r="A403" s="8" t="s">
        <v>4</v>
      </c>
      <c r="B403" s="5"/>
      <c r="C403" s="75"/>
      <c r="D403" s="6"/>
      <c r="E403" s="6"/>
      <c r="F403" s="6"/>
      <c r="G403" s="6"/>
      <c r="H403" s="6"/>
      <c r="I403" s="6"/>
    </row>
    <row r="404" spans="1:9" hidden="1" x14ac:dyDescent="0.2">
      <c r="A404" s="8" t="s">
        <v>5</v>
      </c>
      <c r="B404" s="5"/>
      <c r="C404" s="75"/>
      <c r="D404" s="6"/>
      <c r="E404" s="6"/>
      <c r="F404" s="6"/>
      <c r="G404" s="6"/>
      <c r="H404" s="6"/>
      <c r="I404" s="6"/>
    </row>
    <row r="405" spans="1:9" hidden="1" x14ac:dyDescent="0.2">
      <c r="A405" s="8" t="s">
        <v>6</v>
      </c>
      <c r="B405" s="5"/>
      <c r="C405" s="75"/>
      <c r="D405" s="6"/>
      <c r="E405" s="6"/>
      <c r="F405" s="6"/>
      <c r="G405" s="6"/>
      <c r="H405" s="6"/>
      <c r="I405" s="6"/>
    </row>
    <row r="406" spans="1:9" hidden="1" x14ac:dyDescent="0.2">
      <c r="A406" s="8" t="s">
        <v>7</v>
      </c>
      <c r="B406" s="5"/>
      <c r="C406" s="75"/>
      <c r="D406" s="6"/>
      <c r="E406" s="6"/>
      <c r="F406" s="6"/>
      <c r="G406" s="6"/>
      <c r="H406" s="6"/>
      <c r="I406" s="6"/>
    </row>
    <row r="407" spans="1:9" hidden="1" x14ac:dyDescent="0.2">
      <c r="A407" s="8" t="s">
        <v>8</v>
      </c>
      <c r="B407" s="5"/>
      <c r="C407" s="75"/>
      <c r="D407" s="6"/>
      <c r="E407" s="6"/>
      <c r="F407" s="6"/>
      <c r="G407" s="6"/>
      <c r="H407" s="6"/>
      <c r="I407" s="6"/>
    </row>
    <row r="408" spans="1:9" hidden="1" x14ac:dyDescent="0.2">
      <c r="A408" s="8" t="s">
        <v>9</v>
      </c>
      <c r="B408" s="5"/>
      <c r="C408" s="75"/>
      <c r="D408" s="6"/>
      <c r="E408" s="6"/>
      <c r="F408" s="6"/>
      <c r="G408" s="6"/>
      <c r="H408" s="6"/>
      <c r="I408" s="6"/>
    </row>
    <row r="409" spans="1:9" hidden="1" x14ac:dyDescent="0.2">
      <c r="A409" s="312" t="s">
        <v>10</v>
      </c>
      <c r="B409" s="313"/>
      <c r="C409" s="313"/>
      <c r="D409" s="313"/>
      <c r="E409" s="314"/>
      <c r="F409" s="11">
        <f>SUM(F399:F408)</f>
        <v>0</v>
      </c>
      <c r="G409" s="11">
        <f>SUM(G399:G408)</f>
        <v>0</v>
      </c>
      <c r="H409" s="11">
        <f>SUM(H399:H408)</f>
        <v>0</v>
      </c>
      <c r="I409" s="11"/>
    </row>
    <row r="410" spans="1:9" hidden="1" x14ac:dyDescent="0.2">
      <c r="A410" s="8" t="s">
        <v>0</v>
      </c>
      <c r="B410" s="5"/>
      <c r="C410" s="74"/>
      <c r="D410" s="6"/>
      <c r="E410" s="6"/>
      <c r="F410" s="6"/>
      <c r="G410" s="6"/>
      <c r="H410" s="6"/>
      <c r="I410" s="6"/>
    </row>
    <row r="411" spans="1:9" hidden="1" x14ac:dyDescent="0.2">
      <c r="A411" s="8" t="s">
        <v>1</v>
      </c>
      <c r="B411" s="5"/>
      <c r="C411" s="74"/>
      <c r="D411" s="6"/>
      <c r="E411" s="6"/>
      <c r="F411" s="6"/>
      <c r="G411" s="6"/>
      <c r="H411" s="6"/>
      <c r="I411" s="6"/>
    </row>
    <row r="412" spans="1:9" hidden="1" x14ac:dyDescent="0.2">
      <c r="A412" s="8" t="s">
        <v>2</v>
      </c>
      <c r="B412" s="5"/>
      <c r="C412" s="74"/>
      <c r="D412" s="6"/>
      <c r="E412" s="6"/>
      <c r="F412" s="6"/>
      <c r="G412" s="6"/>
      <c r="H412" s="6"/>
      <c r="I412" s="6"/>
    </row>
    <row r="413" spans="1:9" hidden="1" x14ac:dyDescent="0.2">
      <c r="A413" s="8" t="s">
        <v>3</v>
      </c>
      <c r="B413" s="5"/>
      <c r="C413" s="74"/>
      <c r="D413" s="6"/>
      <c r="E413" s="6"/>
      <c r="F413" s="6"/>
      <c r="G413" s="6"/>
      <c r="H413" s="6"/>
      <c r="I413" s="6"/>
    </row>
    <row r="414" spans="1:9" hidden="1" x14ac:dyDescent="0.2">
      <c r="A414" s="8" t="s">
        <v>4</v>
      </c>
      <c r="B414" s="5"/>
      <c r="C414" s="74"/>
      <c r="D414" s="6"/>
      <c r="E414" s="6"/>
      <c r="F414" s="6"/>
      <c r="G414" s="6"/>
      <c r="H414" s="6"/>
      <c r="I414" s="6"/>
    </row>
    <row r="415" spans="1:9" hidden="1" x14ac:dyDescent="0.2">
      <c r="A415" s="8" t="s">
        <v>5</v>
      </c>
      <c r="B415" s="5"/>
      <c r="C415" s="74"/>
      <c r="D415" s="6"/>
      <c r="E415" s="6"/>
      <c r="F415" s="6"/>
      <c r="G415" s="6"/>
      <c r="H415" s="6"/>
      <c r="I415" s="6"/>
    </row>
    <row r="416" spans="1:9" hidden="1" x14ac:dyDescent="0.2">
      <c r="A416" s="8" t="s">
        <v>6</v>
      </c>
      <c r="B416" s="5"/>
      <c r="C416" s="74"/>
      <c r="D416" s="6"/>
      <c r="E416" s="6"/>
      <c r="F416" s="6"/>
      <c r="G416" s="6"/>
      <c r="H416" s="6"/>
      <c r="I416" s="6"/>
    </row>
    <row r="417" spans="1:9" hidden="1" x14ac:dyDescent="0.2">
      <c r="A417" s="8" t="s">
        <v>7</v>
      </c>
      <c r="B417" s="5"/>
      <c r="C417" s="74"/>
      <c r="D417" s="6"/>
      <c r="E417" s="6"/>
      <c r="F417" s="6"/>
      <c r="G417" s="6"/>
      <c r="H417" s="6"/>
      <c r="I417" s="6"/>
    </row>
    <row r="418" spans="1:9" hidden="1" x14ac:dyDescent="0.2">
      <c r="A418" s="8" t="s">
        <v>8</v>
      </c>
      <c r="B418" s="5"/>
      <c r="C418" s="74"/>
      <c r="D418" s="6"/>
      <c r="E418" s="6"/>
      <c r="F418" s="6"/>
      <c r="G418" s="6"/>
      <c r="H418" s="6"/>
      <c r="I418" s="6"/>
    </row>
    <row r="419" spans="1:9" hidden="1" x14ac:dyDescent="0.2">
      <c r="A419" s="8" t="s">
        <v>9</v>
      </c>
      <c r="B419" s="5"/>
      <c r="C419" s="74"/>
      <c r="D419" s="6"/>
      <c r="E419" s="6"/>
      <c r="F419" s="6"/>
      <c r="G419" s="6"/>
      <c r="H419" s="6"/>
      <c r="I419" s="6"/>
    </row>
    <row r="420" spans="1:9" hidden="1" x14ac:dyDescent="0.2">
      <c r="A420" s="312" t="s">
        <v>10</v>
      </c>
      <c r="B420" s="313"/>
      <c r="C420" s="313"/>
      <c r="D420" s="313"/>
      <c r="E420" s="314"/>
      <c r="F420" s="11">
        <f>SUM(F410:F419)</f>
        <v>0</v>
      </c>
      <c r="G420" s="11">
        <f>SUM(G410:G419)</f>
        <v>0</v>
      </c>
      <c r="H420" s="11">
        <f>SUM(H410:H419)</f>
        <v>0</v>
      </c>
      <c r="I420" s="11"/>
    </row>
    <row r="421" spans="1:9" s="25" customFormat="1" ht="18" x14ac:dyDescent="0.2">
      <c r="A421" s="315" t="s">
        <v>39</v>
      </c>
      <c r="B421" s="316"/>
      <c r="C421" s="316"/>
      <c r="D421" s="316"/>
      <c r="E421" s="317"/>
      <c r="F421" s="22">
        <f>F354+F365+F376+F387+F398+F409+F420+F336</f>
        <v>97</v>
      </c>
      <c r="G421" s="22">
        <f>G354+G365+G376+G387+G398+G409+G420+G336</f>
        <v>21</v>
      </c>
      <c r="H421" s="22">
        <f>H354+H365+H376+H387+H398+H409+H420+H336</f>
        <v>634.75</v>
      </c>
      <c r="I421" s="22"/>
    </row>
  </sheetData>
  <mergeCells count="70">
    <mergeCell ref="A251:E251"/>
    <mergeCell ref="A253:I253"/>
    <mergeCell ref="A255:C255"/>
    <mergeCell ref="A256:C256"/>
    <mergeCell ref="A302:E302"/>
    <mergeCell ref="F257:H257"/>
    <mergeCell ref="A269:E269"/>
    <mergeCell ref="A280:E280"/>
    <mergeCell ref="F341:H341"/>
    <mergeCell ref="A354:E354"/>
    <mergeCell ref="A335:E335"/>
    <mergeCell ref="A313:E313"/>
    <mergeCell ref="A337:I337"/>
    <mergeCell ref="A339:C339"/>
    <mergeCell ref="A340:C340"/>
    <mergeCell ref="F340:G340"/>
    <mergeCell ref="A240:E240"/>
    <mergeCell ref="A156:E156"/>
    <mergeCell ref="A167:E167"/>
    <mergeCell ref="A169:I169"/>
    <mergeCell ref="A171:C171"/>
    <mergeCell ref="A172:C172"/>
    <mergeCell ref="F173:H173"/>
    <mergeCell ref="A185:E185"/>
    <mergeCell ref="A196:E196"/>
    <mergeCell ref="A207:E207"/>
    <mergeCell ref="A218:E218"/>
    <mergeCell ref="A145:E145"/>
    <mergeCell ref="A87:C87"/>
    <mergeCell ref="F89:H89"/>
    <mergeCell ref="A101:E101"/>
    <mergeCell ref="A112:E112"/>
    <mergeCell ref="A123:E123"/>
    <mergeCell ref="A1:I1"/>
    <mergeCell ref="A3:C3"/>
    <mergeCell ref="A4:C4"/>
    <mergeCell ref="F5:H5"/>
    <mergeCell ref="A2:E2"/>
    <mergeCell ref="A421:E421"/>
    <mergeCell ref="A420:E420"/>
    <mergeCell ref="A84:E84"/>
    <mergeCell ref="A168:E168"/>
    <mergeCell ref="A252:E252"/>
    <mergeCell ref="A336:E336"/>
    <mergeCell ref="A365:E365"/>
    <mergeCell ref="A376:E376"/>
    <mergeCell ref="A387:E387"/>
    <mergeCell ref="A398:E398"/>
    <mergeCell ref="A409:E409"/>
    <mergeCell ref="A88:C88"/>
    <mergeCell ref="A229:E229"/>
    <mergeCell ref="A134:E134"/>
    <mergeCell ref="A324:E324"/>
    <mergeCell ref="A85:I85"/>
    <mergeCell ref="A86:E86"/>
    <mergeCell ref="A170:E170"/>
    <mergeCell ref="A254:E254"/>
    <mergeCell ref="A338:E338"/>
    <mergeCell ref="F4:G4"/>
    <mergeCell ref="F88:G88"/>
    <mergeCell ref="F172:G172"/>
    <mergeCell ref="F256:G256"/>
    <mergeCell ref="A17:E17"/>
    <mergeCell ref="A28:E28"/>
    <mergeCell ref="A39:E39"/>
    <mergeCell ref="A50:E50"/>
    <mergeCell ref="A61:E61"/>
    <mergeCell ref="A83:E83"/>
    <mergeCell ref="A72:E72"/>
    <mergeCell ref="A291:E291"/>
  </mergeCells>
  <phoneticPr fontId="1" type="noConversion"/>
  <pageMargins left="0.59055118110236227" right="0.39370078740157483" top="0.59055118110236227" bottom="0.39370078740157483" header="0.31496062992125984" footer="0.31496062992125984"/>
  <pageSetup paperSize="9" scale="99" fitToHeight="5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1"/>
  <sheetViews>
    <sheetView topLeftCell="A348" zoomScale="150" zoomScaleNormal="150" workbookViewId="0">
      <selection activeCell="A366" sqref="A366:XFD420"/>
    </sheetView>
  </sheetViews>
  <sheetFormatPr defaultColWidth="9" defaultRowHeight="17.25" x14ac:dyDescent="0.2"/>
  <cols>
    <col min="1" max="1" width="4" style="1" bestFit="1" customWidth="1"/>
    <col min="2" max="2" width="10.625" style="7" customWidth="1"/>
    <col min="3" max="3" width="11.25" style="76" customWidth="1"/>
    <col min="4" max="4" width="15.625" style="1" customWidth="1"/>
    <col min="5" max="5" width="10.625" style="1" customWidth="1"/>
    <col min="6" max="8" width="7.625" style="1" customWidth="1"/>
    <col min="9" max="9" width="18" style="1" customWidth="1"/>
    <col min="10" max="16384" width="9" style="1"/>
  </cols>
  <sheetData>
    <row r="1" spans="1:9" ht="21.95" customHeight="1" x14ac:dyDescent="0.2">
      <c r="A1" s="319" t="s">
        <v>14</v>
      </c>
      <c r="B1" s="319"/>
      <c r="C1" s="319"/>
      <c r="D1" s="319"/>
      <c r="E1" s="319"/>
      <c r="F1" s="319"/>
      <c r="G1" s="319"/>
      <c r="H1" s="319"/>
      <c r="I1" s="319"/>
    </row>
    <row r="2" spans="1:9" s="53" customFormat="1" ht="20.100000000000001" customHeight="1" x14ac:dyDescent="0.2">
      <c r="A2" s="323" t="s">
        <v>86</v>
      </c>
      <c r="B2" s="323"/>
      <c r="C2" s="323"/>
      <c r="D2" s="323"/>
      <c r="E2" s="323"/>
      <c r="F2" s="104" t="str">
        <f>'1'!$F$2</f>
        <v>เมษายน</v>
      </c>
      <c r="G2" s="50" t="s">
        <v>87</v>
      </c>
      <c r="H2" s="51">
        <f>'1'!$H$2</f>
        <v>2569</v>
      </c>
      <c r="I2" s="52"/>
    </row>
    <row r="3" spans="1:9" s="3" customFormat="1" ht="20.100000000000001" customHeight="1" x14ac:dyDescent="0.4">
      <c r="A3" s="318" t="s">
        <v>38</v>
      </c>
      <c r="B3" s="318"/>
      <c r="C3" s="318"/>
      <c r="D3" s="2"/>
      <c r="F3" s="4"/>
      <c r="G3" s="4"/>
      <c r="H3" s="4" t="s">
        <v>21</v>
      </c>
      <c r="I3" s="41">
        <v>1</v>
      </c>
    </row>
    <row r="4" spans="1:9" s="49" customFormat="1" ht="20.100000000000001" customHeight="1" x14ac:dyDescent="0.35">
      <c r="A4" s="327" t="s">
        <v>68</v>
      </c>
      <c r="B4" s="327"/>
      <c r="C4" s="327"/>
      <c r="D4" s="46"/>
      <c r="E4" s="47" t="s">
        <v>81</v>
      </c>
      <c r="F4" s="328">
        <f>'1'!$F$4</f>
        <v>46107</v>
      </c>
      <c r="G4" s="328"/>
      <c r="H4" s="47" t="s">
        <v>82</v>
      </c>
      <c r="I4" s="48">
        <f>'1'!$I$4</f>
        <v>46136</v>
      </c>
    </row>
    <row r="5" spans="1:9" x14ac:dyDescent="0.2">
      <c r="A5" s="12" t="s">
        <v>23</v>
      </c>
      <c r="B5" s="13" t="s">
        <v>11</v>
      </c>
      <c r="C5" s="72" t="s">
        <v>26</v>
      </c>
      <c r="D5" s="12" t="s">
        <v>16</v>
      </c>
      <c r="E5" s="12" t="s">
        <v>17</v>
      </c>
      <c r="F5" s="310" t="s">
        <v>46</v>
      </c>
      <c r="G5" s="310"/>
      <c r="H5" s="310"/>
      <c r="I5" s="12" t="s">
        <v>19</v>
      </c>
    </row>
    <row r="6" spans="1:9" x14ac:dyDescent="0.2">
      <c r="A6" s="15"/>
      <c r="B6" s="16"/>
      <c r="C6" s="73"/>
      <c r="D6" s="15"/>
      <c r="E6" s="15"/>
      <c r="F6" s="21" t="s">
        <v>113</v>
      </c>
      <c r="G6" s="21" t="s">
        <v>114</v>
      </c>
      <c r="H6" s="21" t="s">
        <v>20</v>
      </c>
      <c r="I6" s="15"/>
    </row>
    <row r="7" spans="1:9" x14ac:dyDescent="0.2">
      <c r="A7" s="8" t="s">
        <v>0</v>
      </c>
      <c r="B7" s="5">
        <f>'9'!B7</f>
        <v>46107</v>
      </c>
      <c r="C7" s="74" t="s">
        <v>226</v>
      </c>
      <c r="D7" s="6" t="s">
        <v>178</v>
      </c>
      <c r="E7" s="6" t="s">
        <v>165</v>
      </c>
      <c r="F7" s="6">
        <v>1</v>
      </c>
      <c r="G7" s="6"/>
      <c r="H7" s="6">
        <v>6</v>
      </c>
      <c r="I7" s="6"/>
    </row>
    <row r="8" spans="1:9" x14ac:dyDescent="0.2">
      <c r="A8" s="8" t="s">
        <v>1</v>
      </c>
      <c r="B8" s="5"/>
      <c r="C8" s="74" t="s">
        <v>227</v>
      </c>
      <c r="D8" s="6" t="s">
        <v>173</v>
      </c>
      <c r="E8" s="6" t="s">
        <v>174</v>
      </c>
      <c r="F8" s="6">
        <v>1</v>
      </c>
      <c r="G8" s="6"/>
      <c r="H8" s="6">
        <v>5</v>
      </c>
      <c r="I8" s="6"/>
    </row>
    <row r="9" spans="1:9" x14ac:dyDescent="0.2">
      <c r="A9" s="8" t="s">
        <v>2</v>
      </c>
      <c r="B9" s="5"/>
      <c r="C9" s="74" t="s">
        <v>228</v>
      </c>
      <c r="D9" s="6" t="s">
        <v>170</v>
      </c>
      <c r="E9" s="6" t="s">
        <v>171</v>
      </c>
      <c r="F9" s="54">
        <v>1</v>
      </c>
      <c r="G9" s="6"/>
      <c r="H9" s="6">
        <v>6</v>
      </c>
      <c r="I9" s="6"/>
    </row>
    <row r="10" spans="1:9" x14ac:dyDescent="0.2">
      <c r="A10" s="8" t="s">
        <v>3</v>
      </c>
      <c r="B10" s="5"/>
      <c r="C10" s="74" t="s">
        <v>229</v>
      </c>
      <c r="D10" s="6" t="s">
        <v>170</v>
      </c>
      <c r="E10" s="6" t="s">
        <v>171</v>
      </c>
      <c r="F10" s="6">
        <v>1</v>
      </c>
      <c r="G10" s="6"/>
      <c r="H10" s="6">
        <v>6</v>
      </c>
      <c r="I10" s="6"/>
    </row>
    <row r="11" spans="1:9" x14ac:dyDescent="0.2">
      <c r="A11" s="8" t="s">
        <v>4</v>
      </c>
      <c r="B11" s="5"/>
      <c r="C11" s="74" t="s">
        <v>230</v>
      </c>
      <c r="D11" s="6" t="s">
        <v>170</v>
      </c>
      <c r="E11" s="6" t="s">
        <v>171</v>
      </c>
      <c r="F11" s="6">
        <v>1</v>
      </c>
      <c r="G11" s="6"/>
      <c r="H11" s="6">
        <v>6</v>
      </c>
      <c r="I11" s="6"/>
    </row>
    <row r="12" spans="1:9" hidden="1" x14ac:dyDescent="0.2">
      <c r="A12" s="8" t="s">
        <v>5</v>
      </c>
      <c r="B12" s="5"/>
      <c r="C12" s="74"/>
      <c r="D12" s="6"/>
      <c r="E12" s="6"/>
      <c r="F12" s="6"/>
      <c r="G12" s="6"/>
      <c r="H12" s="6"/>
      <c r="I12" s="6"/>
    </row>
    <row r="13" spans="1:9" hidden="1" x14ac:dyDescent="0.2">
      <c r="A13" s="8" t="s">
        <v>6</v>
      </c>
      <c r="B13" s="5"/>
      <c r="C13" s="74"/>
      <c r="D13" s="6"/>
      <c r="E13" s="6"/>
      <c r="F13" s="6"/>
      <c r="G13" s="6"/>
      <c r="H13" s="6"/>
      <c r="I13" s="6"/>
    </row>
    <row r="14" spans="1:9" hidden="1" x14ac:dyDescent="0.2">
      <c r="A14" s="8" t="s">
        <v>7</v>
      </c>
      <c r="B14" s="5"/>
      <c r="C14" s="74"/>
      <c r="D14" s="6"/>
      <c r="E14" s="6"/>
      <c r="F14" s="6"/>
      <c r="G14" s="6"/>
      <c r="H14" s="6"/>
      <c r="I14" s="6"/>
    </row>
    <row r="15" spans="1:9" hidden="1" x14ac:dyDescent="0.2">
      <c r="A15" s="8" t="s">
        <v>8</v>
      </c>
      <c r="B15" s="5"/>
      <c r="C15" s="74"/>
      <c r="D15" s="6"/>
      <c r="E15" s="6"/>
      <c r="F15" s="6"/>
      <c r="G15" s="6"/>
      <c r="H15" s="6"/>
      <c r="I15" s="6"/>
    </row>
    <row r="16" spans="1:9" hidden="1" x14ac:dyDescent="0.2">
      <c r="A16" s="8" t="s">
        <v>9</v>
      </c>
      <c r="B16" s="5"/>
      <c r="C16" s="74"/>
      <c r="D16" s="6"/>
      <c r="E16" s="6"/>
      <c r="F16" s="6"/>
      <c r="G16" s="6"/>
      <c r="H16" s="6"/>
      <c r="I16" s="6"/>
    </row>
    <row r="17" spans="1:9" x14ac:dyDescent="0.2">
      <c r="A17" s="312" t="s">
        <v>10</v>
      </c>
      <c r="B17" s="313"/>
      <c r="C17" s="313"/>
      <c r="D17" s="313"/>
      <c r="E17" s="314"/>
      <c r="F17" s="11">
        <f>SUM(F7:F16)</f>
        <v>5</v>
      </c>
      <c r="G17" s="11">
        <f>SUM(G7:G16)</f>
        <v>0</v>
      </c>
      <c r="H17" s="11">
        <f>SUM(H7:H16)</f>
        <v>29</v>
      </c>
      <c r="I17" s="11"/>
    </row>
    <row r="18" spans="1:9" x14ac:dyDescent="0.2">
      <c r="A18" s="8" t="s">
        <v>0</v>
      </c>
      <c r="B18" s="5">
        <f>B7+1</f>
        <v>46108</v>
      </c>
      <c r="C18" s="75" t="s">
        <v>312</v>
      </c>
      <c r="D18" s="6" t="s">
        <v>188</v>
      </c>
      <c r="E18" s="6" t="s">
        <v>165</v>
      </c>
      <c r="F18" s="6">
        <v>1</v>
      </c>
      <c r="G18" s="6"/>
      <c r="H18" s="6">
        <v>5</v>
      </c>
      <c r="I18" s="6"/>
    </row>
    <row r="19" spans="1:9" x14ac:dyDescent="0.2">
      <c r="A19" s="8" t="s">
        <v>1</v>
      </c>
      <c r="B19" s="5"/>
      <c r="C19" s="75" t="s">
        <v>313</v>
      </c>
      <c r="D19" s="6" t="s">
        <v>242</v>
      </c>
      <c r="E19" s="6" t="s">
        <v>171</v>
      </c>
      <c r="F19" s="6">
        <v>1</v>
      </c>
      <c r="G19" s="6"/>
      <c r="H19" s="6">
        <v>5</v>
      </c>
      <c r="I19" s="6"/>
    </row>
    <row r="20" spans="1:9" x14ac:dyDescent="0.2">
      <c r="A20" s="8" t="s">
        <v>2</v>
      </c>
      <c r="B20" s="5"/>
      <c r="C20" s="75" t="s">
        <v>314</v>
      </c>
      <c r="D20" s="6" t="s">
        <v>170</v>
      </c>
      <c r="E20" s="6" t="s">
        <v>171</v>
      </c>
      <c r="F20" s="6">
        <v>1</v>
      </c>
      <c r="G20" s="6"/>
      <c r="H20" s="6">
        <v>6</v>
      </c>
      <c r="I20" s="6"/>
    </row>
    <row r="21" spans="1:9" x14ac:dyDescent="0.2">
      <c r="A21" s="8" t="s">
        <v>3</v>
      </c>
      <c r="B21" s="5"/>
      <c r="C21" s="75" t="s">
        <v>315</v>
      </c>
      <c r="D21" s="6" t="s">
        <v>170</v>
      </c>
      <c r="E21" s="6" t="s">
        <v>171</v>
      </c>
      <c r="F21" s="6">
        <v>1</v>
      </c>
      <c r="G21" s="6"/>
      <c r="H21" s="6">
        <v>6</v>
      </c>
      <c r="I21" s="6"/>
    </row>
    <row r="22" spans="1:9" x14ac:dyDescent="0.2">
      <c r="A22" s="8" t="s">
        <v>4</v>
      </c>
      <c r="B22" s="5"/>
      <c r="C22" s="75" t="s">
        <v>316</v>
      </c>
      <c r="D22" s="6" t="s">
        <v>276</v>
      </c>
      <c r="E22" s="6" t="s">
        <v>168</v>
      </c>
      <c r="F22" s="6">
        <v>1</v>
      </c>
      <c r="G22" s="6"/>
      <c r="H22" s="6">
        <v>5</v>
      </c>
      <c r="I22" s="6"/>
    </row>
    <row r="23" spans="1:9" x14ac:dyDescent="0.2">
      <c r="A23" s="8" t="s">
        <v>5</v>
      </c>
      <c r="B23" s="5"/>
      <c r="C23" s="75" t="s">
        <v>317</v>
      </c>
      <c r="D23" s="6" t="s">
        <v>170</v>
      </c>
      <c r="E23" s="6" t="s">
        <v>171</v>
      </c>
      <c r="F23" s="6"/>
      <c r="G23" s="6">
        <v>1</v>
      </c>
      <c r="H23" s="6">
        <v>6</v>
      </c>
      <c r="I23" s="6"/>
    </row>
    <row r="24" spans="1:9" x14ac:dyDescent="0.2">
      <c r="A24" s="8" t="s">
        <v>6</v>
      </c>
      <c r="B24" s="5"/>
      <c r="C24" s="75" t="s">
        <v>318</v>
      </c>
      <c r="D24" s="6" t="s">
        <v>170</v>
      </c>
      <c r="E24" s="6" t="s">
        <v>171</v>
      </c>
      <c r="F24" s="6"/>
      <c r="G24" s="6">
        <v>1</v>
      </c>
      <c r="H24" s="6">
        <v>6</v>
      </c>
      <c r="I24" s="6"/>
    </row>
    <row r="25" spans="1:9" hidden="1" x14ac:dyDescent="0.2">
      <c r="A25" s="8" t="s">
        <v>7</v>
      </c>
      <c r="B25" s="5"/>
      <c r="C25" s="75"/>
      <c r="D25" s="6"/>
      <c r="E25" s="6"/>
      <c r="F25" s="6"/>
      <c r="G25" s="6"/>
      <c r="H25" s="6"/>
      <c r="I25" s="6"/>
    </row>
    <row r="26" spans="1:9" hidden="1" x14ac:dyDescent="0.2">
      <c r="A26" s="8" t="s">
        <v>8</v>
      </c>
      <c r="B26" s="5"/>
      <c r="C26" s="74"/>
      <c r="D26" s="6"/>
      <c r="E26" s="6"/>
      <c r="F26" s="6"/>
      <c r="G26" s="6"/>
      <c r="H26" s="6"/>
      <c r="I26" s="6"/>
    </row>
    <row r="27" spans="1:9" hidden="1" x14ac:dyDescent="0.2">
      <c r="A27" s="8" t="s">
        <v>9</v>
      </c>
      <c r="B27" s="5"/>
      <c r="C27" s="74"/>
      <c r="D27" s="6"/>
      <c r="E27" s="6"/>
      <c r="F27" s="6"/>
      <c r="G27" s="6"/>
      <c r="H27" s="6"/>
      <c r="I27" s="6"/>
    </row>
    <row r="28" spans="1:9" x14ac:dyDescent="0.2">
      <c r="A28" s="312" t="s">
        <v>10</v>
      </c>
      <c r="B28" s="313"/>
      <c r="C28" s="313"/>
      <c r="D28" s="313"/>
      <c r="E28" s="314"/>
      <c r="F28" s="11">
        <f>SUM(F18:F27)</f>
        <v>5</v>
      </c>
      <c r="G28" s="11">
        <f>SUM(G18:G27)</f>
        <v>2</v>
      </c>
      <c r="H28" s="11">
        <f>SUM(H18:H27)</f>
        <v>39</v>
      </c>
      <c r="I28" s="11"/>
    </row>
    <row r="29" spans="1:9" x14ac:dyDescent="0.2">
      <c r="A29" s="8" t="s">
        <v>0</v>
      </c>
      <c r="B29" s="5">
        <f>B18+1</f>
        <v>46109</v>
      </c>
      <c r="C29" s="74" t="s">
        <v>365</v>
      </c>
      <c r="D29" s="6" t="s">
        <v>364</v>
      </c>
      <c r="E29" s="6" t="s">
        <v>165</v>
      </c>
      <c r="F29" s="6">
        <v>1</v>
      </c>
      <c r="G29" s="6"/>
      <c r="H29" s="6">
        <v>6</v>
      </c>
      <c r="I29" s="6"/>
    </row>
    <row r="30" spans="1:9" x14ac:dyDescent="0.2">
      <c r="A30" s="8" t="s">
        <v>1</v>
      </c>
      <c r="B30" s="5"/>
      <c r="C30" s="74" t="s">
        <v>366</v>
      </c>
      <c r="D30" s="6" t="s">
        <v>364</v>
      </c>
      <c r="E30" s="6" t="s">
        <v>165</v>
      </c>
      <c r="F30" s="6">
        <v>1</v>
      </c>
      <c r="G30" s="6"/>
      <c r="H30" s="6">
        <v>6</v>
      </c>
      <c r="I30" s="6"/>
    </row>
    <row r="31" spans="1:9" x14ac:dyDescent="0.2">
      <c r="A31" s="8" t="s">
        <v>2</v>
      </c>
      <c r="B31" s="5"/>
      <c r="C31" s="74" t="s">
        <v>368</v>
      </c>
      <c r="D31" s="6" t="s">
        <v>170</v>
      </c>
      <c r="E31" s="6" t="s">
        <v>174</v>
      </c>
      <c r="F31" s="6">
        <v>1</v>
      </c>
      <c r="G31" s="6"/>
      <c r="H31" s="6">
        <v>6</v>
      </c>
      <c r="I31" s="6"/>
    </row>
    <row r="32" spans="1:9" hidden="1" x14ac:dyDescent="0.2">
      <c r="A32" s="8" t="s">
        <v>3</v>
      </c>
      <c r="B32" s="5"/>
      <c r="C32" s="74"/>
      <c r="D32" s="6"/>
      <c r="E32" s="6"/>
      <c r="F32" s="6"/>
      <c r="G32" s="6"/>
      <c r="H32" s="6"/>
      <c r="I32" s="6"/>
    </row>
    <row r="33" spans="1:9" hidden="1" x14ac:dyDescent="0.2">
      <c r="A33" s="8" t="s">
        <v>4</v>
      </c>
      <c r="B33" s="5"/>
      <c r="C33" s="74"/>
      <c r="D33" s="6"/>
      <c r="E33" s="6"/>
      <c r="F33" s="6"/>
      <c r="G33" s="6"/>
      <c r="H33" s="6"/>
      <c r="I33" s="6"/>
    </row>
    <row r="34" spans="1:9" hidden="1" x14ac:dyDescent="0.2">
      <c r="A34" s="8" t="s">
        <v>5</v>
      </c>
      <c r="B34" s="5"/>
      <c r="C34" s="74"/>
      <c r="D34" s="6"/>
      <c r="E34" s="6"/>
      <c r="F34" s="6"/>
      <c r="G34" s="6"/>
      <c r="H34" s="6"/>
      <c r="I34" s="6"/>
    </row>
    <row r="35" spans="1:9" hidden="1" x14ac:dyDescent="0.2">
      <c r="A35" s="8" t="s">
        <v>6</v>
      </c>
      <c r="B35" s="5"/>
      <c r="C35" s="74"/>
      <c r="D35" s="6"/>
      <c r="E35" s="6"/>
      <c r="F35" s="6"/>
      <c r="G35" s="6"/>
      <c r="H35" s="6"/>
      <c r="I35" s="6"/>
    </row>
    <row r="36" spans="1:9" hidden="1" x14ac:dyDescent="0.2">
      <c r="A36" s="8" t="s">
        <v>7</v>
      </c>
      <c r="B36" s="5"/>
      <c r="C36" s="74"/>
      <c r="D36" s="6"/>
      <c r="E36" s="6"/>
      <c r="F36" s="6"/>
      <c r="G36" s="6"/>
      <c r="H36" s="6"/>
      <c r="I36" s="6"/>
    </row>
    <row r="37" spans="1:9" hidden="1" x14ac:dyDescent="0.2">
      <c r="A37" s="8" t="s">
        <v>8</v>
      </c>
      <c r="B37" s="5"/>
      <c r="C37" s="74"/>
      <c r="D37" s="6"/>
      <c r="E37" s="6"/>
      <c r="F37" s="6"/>
      <c r="G37" s="6"/>
      <c r="H37" s="6"/>
      <c r="I37" s="6"/>
    </row>
    <row r="38" spans="1:9" hidden="1" x14ac:dyDescent="0.2">
      <c r="A38" s="8" t="s">
        <v>9</v>
      </c>
      <c r="B38" s="5"/>
      <c r="C38" s="74"/>
      <c r="D38" s="6"/>
      <c r="E38" s="6"/>
      <c r="F38" s="6"/>
      <c r="G38" s="6"/>
      <c r="H38" s="6"/>
      <c r="I38" s="6"/>
    </row>
    <row r="39" spans="1:9" x14ac:dyDescent="0.2">
      <c r="A39" s="312" t="s">
        <v>10</v>
      </c>
      <c r="B39" s="313"/>
      <c r="C39" s="313"/>
      <c r="D39" s="313"/>
      <c r="E39" s="314"/>
      <c r="F39" s="11">
        <f>SUM(F29:F38)</f>
        <v>3</v>
      </c>
      <c r="G39" s="11">
        <f>SUM(G29:G38)</f>
        <v>0</v>
      </c>
      <c r="H39" s="11">
        <f>SUM(H29:H38)</f>
        <v>18</v>
      </c>
      <c r="I39" s="11"/>
    </row>
    <row r="40" spans="1:9" x14ac:dyDescent="0.2">
      <c r="A40" s="8" t="s">
        <v>0</v>
      </c>
      <c r="B40" s="5">
        <f>B29+1</f>
        <v>46110</v>
      </c>
      <c r="C40" s="75" t="s">
        <v>422</v>
      </c>
      <c r="D40" s="6" t="s">
        <v>242</v>
      </c>
      <c r="E40" s="6" t="s">
        <v>184</v>
      </c>
      <c r="F40" s="6">
        <v>1</v>
      </c>
      <c r="G40" s="6"/>
      <c r="H40" s="6">
        <v>1</v>
      </c>
      <c r="I40" s="6"/>
    </row>
    <row r="41" spans="1:9" x14ac:dyDescent="0.2">
      <c r="A41" s="8" t="s">
        <v>1</v>
      </c>
      <c r="B41" s="5"/>
      <c r="C41" s="75" t="s">
        <v>423</v>
      </c>
      <c r="D41" s="6" t="s">
        <v>242</v>
      </c>
      <c r="E41" s="6" t="s">
        <v>171</v>
      </c>
      <c r="F41" s="6">
        <v>1</v>
      </c>
      <c r="G41" s="6"/>
      <c r="H41" s="6">
        <v>5.5</v>
      </c>
      <c r="I41" s="6"/>
    </row>
    <row r="42" spans="1:9" x14ac:dyDescent="0.2">
      <c r="A42" s="8" t="s">
        <v>2</v>
      </c>
      <c r="B42" s="5"/>
      <c r="C42" s="75" t="s">
        <v>424</v>
      </c>
      <c r="D42" s="6" t="s">
        <v>371</v>
      </c>
      <c r="E42" s="6" t="s">
        <v>165</v>
      </c>
      <c r="F42" s="6">
        <v>1</v>
      </c>
      <c r="G42" s="6"/>
      <c r="H42" s="6">
        <v>2</v>
      </c>
      <c r="I42" s="6"/>
    </row>
    <row r="43" spans="1:9" x14ac:dyDescent="0.2">
      <c r="A43" s="8" t="s">
        <v>3</v>
      </c>
      <c r="B43" s="5"/>
      <c r="C43" s="75" t="s">
        <v>425</v>
      </c>
      <c r="D43" s="6" t="s">
        <v>242</v>
      </c>
      <c r="E43" s="6" t="s">
        <v>171</v>
      </c>
      <c r="F43" s="6">
        <v>1</v>
      </c>
      <c r="G43" s="6"/>
      <c r="H43" s="6">
        <v>5.5</v>
      </c>
      <c r="I43" s="6"/>
    </row>
    <row r="44" spans="1:9" x14ac:dyDescent="0.2">
      <c r="A44" s="8" t="s">
        <v>4</v>
      </c>
      <c r="B44" s="5"/>
      <c r="C44" s="75" t="s">
        <v>426</v>
      </c>
      <c r="D44" s="6" t="s">
        <v>202</v>
      </c>
      <c r="E44" s="6" t="s">
        <v>222</v>
      </c>
      <c r="F44" s="6">
        <v>1</v>
      </c>
      <c r="G44" s="6"/>
      <c r="H44" s="6">
        <v>5</v>
      </c>
      <c r="I44" s="6"/>
    </row>
    <row r="45" spans="1:9" x14ac:dyDescent="0.2">
      <c r="A45" s="8" t="s">
        <v>5</v>
      </c>
      <c r="B45" s="5"/>
      <c r="C45" s="75" t="s">
        <v>427</v>
      </c>
      <c r="D45" s="6" t="s">
        <v>428</v>
      </c>
      <c r="E45" s="6" t="s">
        <v>168</v>
      </c>
      <c r="F45" s="6"/>
      <c r="G45" s="6">
        <v>1</v>
      </c>
      <c r="H45" s="6">
        <v>3</v>
      </c>
      <c r="I45" s="6"/>
    </row>
    <row r="46" spans="1:9" hidden="1" x14ac:dyDescent="0.2">
      <c r="A46" s="8" t="s">
        <v>6</v>
      </c>
      <c r="B46" s="5"/>
      <c r="C46" s="75"/>
      <c r="D46" s="6"/>
      <c r="E46" s="6"/>
      <c r="F46" s="6"/>
      <c r="G46" s="6"/>
      <c r="H46" s="6"/>
      <c r="I46" s="6"/>
    </row>
    <row r="47" spans="1:9" hidden="1" x14ac:dyDescent="0.2">
      <c r="A47" s="8" t="s">
        <v>7</v>
      </c>
      <c r="B47" s="5"/>
      <c r="C47" s="74"/>
      <c r="D47" s="6"/>
      <c r="E47" s="6"/>
      <c r="F47" s="6"/>
      <c r="G47" s="6"/>
      <c r="H47" s="6"/>
      <c r="I47" s="6"/>
    </row>
    <row r="48" spans="1:9" hidden="1" x14ac:dyDescent="0.2">
      <c r="A48" s="8" t="s">
        <v>8</v>
      </c>
      <c r="B48" s="5"/>
      <c r="C48" s="74"/>
      <c r="D48" s="6"/>
      <c r="E48" s="6"/>
      <c r="F48" s="6"/>
      <c r="G48" s="6"/>
      <c r="H48" s="6"/>
      <c r="I48" s="6"/>
    </row>
    <row r="49" spans="1:9" hidden="1" x14ac:dyDescent="0.2">
      <c r="A49" s="8" t="s">
        <v>9</v>
      </c>
      <c r="B49" s="5"/>
      <c r="C49" s="74"/>
      <c r="D49" s="6"/>
      <c r="E49" s="6"/>
      <c r="F49" s="6"/>
      <c r="G49" s="6"/>
      <c r="H49" s="6"/>
      <c r="I49" s="6"/>
    </row>
    <row r="50" spans="1:9" x14ac:dyDescent="0.2">
      <c r="A50" s="312" t="s">
        <v>10</v>
      </c>
      <c r="B50" s="313"/>
      <c r="C50" s="313"/>
      <c r="D50" s="313"/>
      <c r="E50" s="314"/>
      <c r="F50" s="11">
        <f>SUM(F40:F49)</f>
        <v>5</v>
      </c>
      <c r="G50" s="11">
        <f>SUM(G40:G49)</f>
        <v>1</v>
      </c>
      <c r="H50" s="11">
        <f>SUM(H40:H49)</f>
        <v>22</v>
      </c>
      <c r="I50" s="11"/>
    </row>
    <row r="51" spans="1:9" x14ac:dyDescent="0.2">
      <c r="A51" s="8" t="s">
        <v>0</v>
      </c>
      <c r="B51" s="5">
        <f>B40+1</f>
        <v>46111</v>
      </c>
      <c r="C51" s="75" t="s">
        <v>501</v>
      </c>
      <c r="D51" s="6" t="s">
        <v>347</v>
      </c>
      <c r="E51" s="6" t="s">
        <v>441</v>
      </c>
      <c r="F51" s="6">
        <v>1</v>
      </c>
      <c r="G51" s="6"/>
      <c r="H51" s="6">
        <v>6</v>
      </c>
      <c r="I51" s="6"/>
    </row>
    <row r="52" spans="1:9" x14ac:dyDescent="0.2">
      <c r="A52" s="8" t="s">
        <v>1</v>
      </c>
      <c r="B52" s="5"/>
      <c r="C52" s="75" t="s">
        <v>479</v>
      </c>
      <c r="D52" s="6" t="s">
        <v>170</v>
      </c>
      <c r="E52" s="6" t="s">
        <v>171</v>
      </c>
      <c r="F52" s="6">
        <v>1</v>
      </c>
      <c r="G52" s="6"/>
      <c r="H52" s="6">
        <v>6</v>
      </c>
      <c r="I52" s="6"/>
    </row>
    <row r="53" spans="1:9" x14ac:dyDescent="0.2">
      <c r="A53" s="8" t="s">
        <v>2</v>
      </c>
      <c r="B53" s="5"/>
      <c r="C53" s="75" t="s">
        <v>502</v>
      </c>
      <c r="D53" s="6" t="s">
        <v>170</v>
      </c>
      <c r="E53" s="6" t="s">
        <v>171</v>
      </c>
      <c r="F53" s="6">
        <v>1</v>
      </c>
      <c r="G53" s="6"/>
      <c r="H53" s="6">
        <v>6</v>
      </c>
      <c r="I53" s="6"/>
    </row>
    <row r="54" spans="1:9" x14ac:dyDescent="0.2">
      <c r="A54" s="8" t="s">
        <v>3</v>
      </c>
      <c r="B54" s="5"/>
      <c r="C54" s="75" t="s">
        <v>503</v>
      </c>
      <c r="D54" s="6" t="s">
        <v>170</v>
      </c>
      <c r="E54" s="6" t="s">
        <v>171</v>
      </c>
      <c r="F54" s="6">
        <v>1</v>
      </c>
      <c r="G54" s="6"/>
      <c r="H54" s="6">
        <v>6</v>
      </c>
      <c r="I54" s="6"/>
    </row>
    <row r="55" spans="1:9" x14ac:dyDescent="0.2">
      <c r="A55" s="8" t="s">
        <v>4</v>
      </c>
      <c r="B55" s="5"/>
      <c r="C55" s="75" t="s">
        <v>504</v>
      </c>
      <c r="D55" s="6" t="s">
        <v>253</v>
      </c>
      <c r="E55" s="6" t="s">
        <v>351</v>
      </c>
      <c r="F55" s="6">
        <v>1</v>
      </c>
      <c r="G55" s="6"/>
      <c r="H55" s="6">
        <v>4</v>
      </c>
      <c r="I55" s="6"/>
    </row>
    <row r="56" spans="1:9" x14ac:dyDescent="0.2">
      <c r="A56" s="8" t="s">
        <v>5</v>
      </c>
      <c r="B56" s="5"/>
      <c r="C56" s="75" t="s">
        <v>505</v>
      </c>
      <c r="D56" s="6" t="s">
        <v>448</v>
      </c>
      <c r="E56" s="6" t="s">
        <v>165</v>
      </c>
      <c r="F56" s="6"/>
      <c r="G56" s="6">
        <v>1</v>
      </c>
      <c r="H56" s="6">
        <v>6</v>
      </c>
      <c r="I56" s="6"/>
    </row>
    <row r="57" spans="1:9" x14ac:dyDescent="0.2">
      <c r="A57" s="8" t="s">
        <v>6</v>
      </c>
      <c r="B57" s="5"/>
      <c r="C57" s="74" t="s">
        <v>506</v>
      </c>
      <c r="D57" s="6" t="s">
        <v>448</v>
      </c>
      <c r="E57" s="6" t="s">
        <v>165</v>
      </c>
      <c r="F57" s="6"/>
      <c r="G57" s="6">
        <v>1</v>
      </c>
      <c r="H57" s="6">
        <v>6</v>
      </c>
      <c r="I57" s="6"/>
    </row>
    <row r="58" spans="1:9" hidden="1" x14ac:dyDescent="0.2">
      <c r="A58" s="8" t="s">
        <v>7</v>
      </c>
      <c r="B58" s="5"/>
      <c r="C58" s="74"/>
      <c r="D58" s="6"/>
      <c r="E58" s="6"/>
      <c r="F58" s="6"/>
      <c r="G58" s="6"/>
      <c r="H58" s="6"/>
      <c r="I58" s="6"/>
    </row>
    <row r="59" spans="1:9" hidden="1" x14ac:dyDescent="0.2">
      <c r="A59" s="8" t="s">
        <v>8</v>
      </c>
      <c r="B59" s="5"/>
      <c r="C59" s="74"/>
      <c r="D59" s="6"/>
      <c r="E59" s="6"/>
      <c r="F59" s="6"/>
      <c r="G59" s="6"/>
      <c r="H59" s="6"/>
      <c r="I59" s="6"/>
    </row>
    <row r="60" spans="1:9" hidden="1" x14ac:dyDescent="0.2">
      <c r="A60" s="8" t="s">
        <v>9</v>
      </c>
      <c r="B60" s="5"/>
      <c r="C60" s="74"/>
      <c r="D60" s="6"/>
      <c r="E60" s="6"/>
      <c r="F60" s="6"/>
      <c r="G60" s="6"/>
      <c r="H60" s="6"/>
      <c r="I60" s="6"/>
    </row>
    <row r="61" spans="1:9" x14ac:dyDescent="0.2">
      <c r="A61" s="312" t="s">
        <v>10</v>
      </c>
      <c r="B61" s="313"/>
      <c r="C61" s="313"/>
      <c r="D61" s="313"/>
      <c r="E61" s="314"/>
      <c r="F61" s="11">
        <f>SUM(F51:F60)</f>
        <v>5</v>
      </c>
      <c r="G61" s="11">
        <f>SUM(G51:G60)</f>
        <v>2</v>
      </c>
      <c r="H61" s="11">
        <f>SUM(H51:H60)</f>
        <v>40</v>
      </c>
      <c r="I61" s="11"/>
    </row>
    <row r="62" spans="1:9" x14ac:dyDescent="0.2">
      <c r="A62" s="8" t="s">
        <v>0</v>
      </c>
      <c r="B62" s="5">
        <f>B51+1</f>
        <v>46112</v>
      </c>
      <c r="C62" s="74" t="s">
        <v>571</v>
      </c>
      <c r="D62" s="6" t="s">
        <v>342</v>
      </c>
      <c r="E62" s="6" t="s">
        <v>165</v>
      </c>
      <c r="F62" s="6">
        <v>1</v>
      </c>
      <c r="G62" s="6"/>
      <c r="H62" s="6">
        <v>6</v>
      </c>
      <c r="I62" s="6"/>
    </row>
    <row r="63" spans="1:9" x14ac:dyDescent="0.2">
      <c r="A63" s="8" t="s">
        <v>1</v>
      </c>
      <c r="B63" s="5"/>
      <c r="C63" s="74" t="s">
        <v>572</v>
      </c>
      <c r="D63" s="6" t="s">
        <v>342</v>
      </c>
      <c r="E63" s="6" t="s">
        <v>165</v>
      </c>
      <c r="F63" s="6">
        <v>1</v>
      </c>
      <c r="G63" s="6"/>
      <c r="H63" s="6">
        <v>6</v>
      </c>
      <c r="I63" s="6"/>
    </row>
    <row r="64" spans="1:9" x14ac:dyDescent="0.2">
      <c r="A64" s="8" t="s">
        <v>2</v>
      </c>
      <c r="B64" s="5"/>
      <c r="C64" s="74" t="s">
        <v>573</v>
      </c>
      <c r="D64" s="6" t="s">
        <v>342</v>
      </c>
      <c r="E64" s="6" t="s">
        <v>165</v>
      </c>
      <c r="F64" s="6">
        <v>1</v>
      </c>
      <c r="G64" s="6"/>
      <c r="H64" s="6">
        <v>6</v>
      </c>
      <c r="I64" s="6"/>
    </row>
    <row r="65" spans="1:9" x14ac:dyDescent="0.2">
      <c r="A65" s="8" t="s">
        <v>3</v>
      </c>
      <c r="B65" s="5"/>
      <c r="C65" s="74" t="s">
        <v>574</v>
      </c>
      <c r="D65" s="6" t="s">
        <v>170</v>
      </c>
      <c r="E65" s="6" t="s">
        <v>171</v>
      </c>
      <c r="F65" s="6">
        <v>1</v>
      </c>
      <c r="G65" s="6"/>
      <c r="H65" s="6">
        <v>6</v>
      </c>
      <c r="I65" s="6"/>
    </row>
    <row r="66" spans="1:9" x14ac:dyDescent="0.2">
      <c r="A66" s="8" t="s">
        <v>4</v>
      </c>
      <c r="B66" s="5"/>
      <c r="C66" s="74" t="s">
        <v>575</v>
      </c>
      <c r="D66" s="6" t="s">
        <v>170</v>
      </c>
      <c r="E66" s="6" t="s">
        <v>171</v>
      </c>
      <c r="F66" s="6">
        <v>1</v>
      </c>
      <c r="G66" s="6"/>
      <c r="H66" s="6">
        <v>6</v>
      </c>
      <c r="I66" s="6"/>
    </row>
    <row r="67" spans="1:9" x14ac:dyDescent="0.2">
      <c r="A67" s="8" t="s">
        <v>5</v>
      </c>
      <c r="B67" s="5"/>
      <c r="C67" s="74" t="s">
        <v>576</v>
      </c>
      <c r="D67" s="6" t="s">
        <v>170</v>
      </c>
      <c r="E67" s="6" t="s">
        <v>171</v>
      </c>
      <c r="F67" s="6">
        <v>1</v>
      </c>
      <c r="G67" s="6"/>
      <c r="H67" s="6">
        <v>6</v>
      </c>
      <c r="I67" s="6"/>
    </row>
    <row r="68" spans="1:9" x14ac:dyDescent="0.2">
      <c r="A68" s="8" t="s">
        <v>6</v>
      </c>
      <c r="B68" s="5"/>
      <c r="C68" s="74" t="s">
        <v>577</v>
      </c>
      <c r="D68" s="6" t="s">
        <v>253</v>
      </c>
      <c r="E68" s="6" t="s">
        <v>165</v>
      </c>
      <c r="F68" s="6">
        <v>1</v>
      </c>
      <c r="G68" s="6"/>
      <c r="H68" s="6">
        <v>6</v>
      </c>
      <c r="I68" s="6"/>
    </row>
    <row r="69" spans="1:9" x14ac:dyDescent="0.2">
      <c r="A69" s="8" t="s">
        <v>7</v>
      </c>
      <c r="B69" s="5"/>
      <c r="C69" s="74" t="s">
        <v>578</v>
      </c>
      <c r="D69" s="6" t="s">
        <v>579</v>
      </c>
      <c r="E69" s="6" t="s">
        <v>168</v>
      </c>
      <c r="F69" s="6"/>
      <c r="G69" s="6">
        <v>1</v>
      </c>
      <c r="H69" s="6">
        <v>5</v>
      </c>
      <c r="I69" s="6"/>
    </row>
    <row r="70" spans="1:9" x14ac:dyDescent="0.2">
      <c r="A70" s="8" t="s">
        <v>8</v>
      </c>
      <c r="B70" s="5"/>
      <c r="C70" s="74" t="s">
        <v>580</v>
      </c>
      <c r="D70" s="6" t="s">
        <v>170</v>
      </c>
      <c r="E70" s="6" t="s">
        <v>171</v>
      </c>
      <c r="F70" s="6"/>
      <c r="G70" s="6">
        <v>1</v>
      </c>
      <c r="H70" s="6">
        <v>6</v>
      </c>
      <c r="I70" s="6"/>
    </row>
    <row r="71" spans="1:9" hidden="1" x14ac:dyDescent="0.2">
      <c r="A71" s="8" t="s">
        <v>9</v>
      </c>
      <c r="B71" s="5"/>
      <c r="C71" s="75"/>
      <c r="D71" s="6"/>
      <c r="E71" s="6"/>
      <c r="F71" s="6"/>
      <c r="G71" s="6"/>
      <c r="H71" s="6"/>
      <c r="I71" s="6"/>
    </row>
    <row r="72" spans="1:9" x14ac:dyDescent="0.2">
      <c r="A72" s="312" t="s">
        <v>10</v>
      </c>
      <c r="B72" s="313"/>
      <c r="C72" s="313"/>
      <c r="D72" s="313"/>
      <c r="E72" s="314"/>
      <c r="F72" s="11">
        <f>SUM(F62:F71)</f>
        <v>7</v>
      </c>
      <c r="G72" s="11">
        <f>SUM(G62:G71)</f>
        <v>2</v>
      </c>
      <c r="H72" s="11">
        <f>SUM(H62:H71)</f>
        <v>53</v>
      </c>
      <c r="I72" s="11"/>
    </row>
    <row r="73" spans="1:9" hidden="1" x14ac:dyDescent="0.2">
      <c r="A73" s="8" t="s">
        <v>0</v>
      </c>
      <c r="B73" s="5">
        <f>B62+1</f>
        <v>46113</v>
      </c>
      <c r="C73" s="74"/>
      <c r="D73" s="6"/>
      <c r="E73" s="6"/>
      <c r="F73" s="6"/>
      <c r="G73" s="6"/>
      <c r="H73" s="6"/>
      <c r="I73" s="6"/>
    </row>
    <row r="74" spans="1:9" hidden="1" x14ac:dyDescent="0.2">
      <c r="A74" s="8" t="s">
        <v>1</v>
      </c>
      <c r="B74" s="5"/>
      <c r="C74" s="74"/>
      <c r="D74" s="6"/>
      <c r="E74" s="6"/>
      <c r="F74" s="6"/>
      <c r="G74" s="6"/>
      <c r="H74" s="6"/>
      <c r="I74" s="6"/>
    </row>
    <row r="75" spans="1:9" hidden="1" x14ac:dyDescent="0.2">
      <c r="A75" s="8" t="s">
        <v>2</v>
      </c>
      <c r="B75" s="5"/>
      <c r="C75" s="74"/>
      <c r="D75" s="6"/>
      <c r="E75" s="6"/>
      <c r="F75" s="6"/>
      <c r="G75" s="6"/>
      <c r="H75" s="6"/>
      <c r="I75" s="6"/>
    </row>
    <row r="76" spans="1:9" hidden="1" x14ac:dyDescent="0.2">
      <c r="A76" s="8" t="s">
        <v>3</v>
      </c>
      <c r="B76" s="5"/>
      <c r="C76" s="74"/>
      <c r="D76" s="6"/>
      <c r="E76" s="6"/>
      <c r="F76" s="6"/>
      <c r="G76" s="6"/>
      <c r="H76" s="6"/>
      <c r="I76" s="6"/>
    </row>
    <row r="77" spans="1:9" hidden="1" x14ac:dyDescent="0.2">
      <c r="A77" s="8" t="s">
        <v>4</v>
      </c>
      <c r="B77" s="5"/>
      <c r="C77" s="74"/>
      <c r="D77" s="6"/>
      <c r="E77" s="6"/>
      <c r="F77" s="6"/>
      <c r="G77" s="6"/>
      <c r="H77" s="6"/>
      <c r="I77" s="6"/>
    </row>
    <row r="78" spans="1:9" hidden="1" x14ac:dyDescent="0.2">
      <c r="A78" s="8" t="s">
        <v>5</v>
      </c>
      <c r="B78" s="5"/>
      <c r="C78" s="74"/>
      <c r="D78" s="6"/>
      <c r="E78" s="6"/>
      <c r="F78" s="6"/>
      <c r="G78" s="6"/>
      <c r="H78" s="6"/>
      <c r="I78" s="6"/>
    </row>
    <row r="79" spans="1:9" hidden="1" x14ac:dyDescent="0.2">
      <c r="A79" s="8" t="s">
        <v>6</v>
      </c>
      <c r="B79" s="5"/>
      <c r="C79" s="74"/>
      <c r="D79" s="6"/>
      <c r="E79" s="6"/>
      <c r="F79" s="6"/>
      <c r="G79" s="6"/>
      <c r="H79" s="6"/>
      <c r="I79" s="6"/>
    </row>
    <row r="80" spans="1:9" hidden="1" x14ac:dyDescent="0.2">
      <c r="A80" s="8" t="s">
        <v>7</v>
      </c>
      <c r="B80" s="5"/>
      <c r="C80" s="74"/>
      <c r="D80" s="6"/>
      <c r="E80" s="6"/>
      <c r="F80" s="6"/>
      <c r="G80" s="6"/>
      <c r="H80" s="6"/>
      <c r="I80" s="6"/>
    </row>
    <row r="81" spans="1:9" hidden="1" x14ac:dyDescent="0.2">
      <c r="A81" s="8" t="s">
        <v>8</v>
      </c>
      <c r="B81" s="5"/>
      <c r="C81" s="74"/>
      <c r="D81" s="6"/>
      <c r="E81" s="6"/>
      <c r="F81" s="6"/>
      <c r="G81" s="6"/>
      <c r="H81" s="6"/>
      <c r="I81" s="6"/>
    </row>
    <row r="82" spans="1:9" hidden="1" x14ac:dyDescent="0.2">
      <c r="A82" s="8" t="s">
        <v>9</v>
      </c>
      <c r="B82" s="5"/>
      <c r="C82" s="74"/>
      <c r="D82" s="6"/>
      <c r="E82" s="6"/>
      <c r="F82" s="6"/>
      <c r="G82" s="6"/>
      <c r="H82" s="6"/>
      <c r="I82" s="6"/>
    </row>
    <row r="83" spans="1:9" hidden="1" x14ac:dyDescent="0.2">
      <c r="A83" s="312" t="s">
        <v>10</v>
      </c>
      <c r="B83" s="313"/>
      <c r="C83" s="313"/>
      <c r="D83" s="313"/>
      <c r="E83" s="314"/>
      <c r="F83" s="11">
        <f>SUM(F73:F82)</f>
        <v>0</v>
      </c>
      <c r="G83" s="11">
        <f>SUM(G73:G82)</f>
        <v>0</v>
      </c>
      <c r="H83" s="11">
        <f>SUM(H73:H82)</f>
        <v>0</v>
      </c>
      <c r="I83" s="11"/>
    </row>
    <row r="84" spans="1:9" s="25" customFormat="1" ht="18" x14ac:dyDescent="0.2">
      <c r="A84" s="324" t="s">
        <v>39</v>
      </c>
      <c r="B84" s="325"/>
      <c r="C84" s="325"/>
      <c r="D84" s="325"/>
      <c r="E84" s="326"/>
      <c r="F84" s="24">
        <f>F17+F28+F39+F50+F61+F72+F83</f>
        <v>30</v>
      </c>
      <c r="G84" s="24">
        <f>G17+G28+G39+G50+G61+G72+G83</f>
        <v>7</v>
      </c>
      <c r="H84" s="24">
        <f>H17+H28+H39+H50+H61+H72+H83</f>
        <v>201</v>
      </c>
      <c r="I84" s="24"/>
    </row>
    <row r="85" spans="1:9" ht="21.95" customHeight="1" x14ac:dyDescent="0.2">
      <c r="A85" s="319" t="s">
        <v>14</v>
      </c>
      <c r="B85" s="319"/>
      <c r="C85" s="319"/>
      <c r="D85" s="319"/>
      <c r="E85" s="319"/>
      <c r="F85" s="319"/>
      <c r="G85" s="319"/>
      <c r="H85" s="319"/>
      <c r="I85" s="319"/>
    </row>
    <row r="86" spans="1:9" s="53" customFormat="1" ht="20.100000000000001" customHeight="1" x14ac:dyDescent="0.2">
      <c r="A86" s="323" t="s">
        <v>86</v>
      </c>
      <c r="B86" s="323"/>
      <c r="C86" s="323"/>
      <c r="D86" s="323"/>
      <c r="E86" s="323"/>
      <c r="F86" s="50" t="str">
        <f>F2</f>
        <v>เมษายน</v>
      </c>
      <c r="G86" s="50" t="s">
        <v>87</v>
      </c>
      <c r="H86" s="51">
        <f>H2</f>
        <v>2569</v>
      </c>
      <c r="I86" s="52"/>
    </row>
    <row r="87" spans="1:9" s="3" customFormat="1" ht="20.100000000000001" customHeight="1" x14ac:dyDescent="0.35">
      <c r="A87" s="318" t="s">
        <v>38</v>
      </c>
      <c r="B87" s="318"/>
      <c r="C87" s="318"/>
      <c r="D87" s="2"/>
      <c r="F87" s="4"/>
      <c r="G87" s="4"/>
      <c r="H87" s="4" t="s">
        <v>21</v>
      </c>
      <c r="I87" s="40">
        <f>I3+1</f>
        <v>2</v>
      </c>
    </row>
    <row r="88" spans="1:9" s="3" customFormat="1" ht="20.100000000000001" customHeight="1" x14ac:dyDescent="0.35">
      <c r="A88" s="311" t="s">
        <v>68</v>
      </c>
      <c r="B88" s="311"/>
      <c r="C88" s="311"/>
      <c r="D88" s="2"/>
      <c r="E88" s="39" t="s">
        <v>81</v>
      </c>
      <c r="F88" s="308">
        <f>F4</f>
        <v>46107</v>
      </c>
      <c r="G88" s="308"/>
      <c r="H88" s="39" t="s">
        <v>82</v>
      </c>
      <c r="I88" s="34">
        <f>I4</f>
        <v>46136</v>
      </c>
    </row>
    <row r="89" spans="1:9" x14ac:dyDescent="0.2">
      <c r="A89" s="12" t="s">
        <v>23</v>
      </c>
      <c r="B89" s="13" t="s">
        <v>11</v>
      </c>
      <c r="C89" s="72" t="s">
        <v>26</v>
      </c>
      <c r="D89" s="12" t="s">
        <v>16</v>
      </c>
      <c r="E89" s="12" t="s">
        <v>17</v>
      </c>
      <c r="F89" s="310" t="s">
        <v>46</v>
      </c>
      <c r="G89" s="310"/>
      <c r="H89" s="310"/>
      <c r="I89" s="12" t="s">
        <v>19</v>
      </c>
    </row>
    <row r="90" spans="1:9" x14ac:dyDescent="0.2">
      <c r="A90" s="15"/>
      <c r="B90" s="16"/>
      <c r="C90" s="73"/>
      <c r="D90" s="15"/>
      <c r="E90" s="15"/>
      <c r="F90" s="21" t="s">
        <v>113</v>
      </c>
      <c r="G90" s="21" t="s">
        <v>114</v>
      </c>
      <c r="H90" s="21" t="s">
        <v>20</v>
      </c>
      <c r="I90" s="15"/>
    </row>
    <row r="91" spans="1:9" x14ac:dyDescent="0.2">
      <c r="A91" s="8" t="s">
        <v>0</v>
      </c>
      <c r="B91" s="5">
        <f>B73+1</f>
        <v>46114</v>
      </c>
      <c r="C91" s="74" t="s">
        <v>700</v>
      </c>
      <c r="D91" s="6" t="s">
        <v>170</v>
      </c>
      <c r="E91" s="6" t="s">
        <v>171</v>
      </c>
      <c r="F91" s="6">
        <v>1</v>
      </c>
      <c r="G91" s="6"/>
      <c r="H91" s="6">
        <v>6</v>
      </c>
      <c r="I91" s="6"/>
    </row>
    <row r="92" spans="1:9" x14ac:dyDescent="0.2">
      <c r="A92" s="8" t="s">
        <v>1</v>
      </c>
      <c r="B92" s="5"/>
      <c r="C92" s="74" t="s">
        <v>701</v>
      </c>
      <c r="D92" s="6" t="s">
        <v>170</v>
      </c>
      <c r="E92" s="6" t="s">
        <v>171</v>
      </c>
      <c r="F92" s="6">
        <v>1</v>
      </c>
      <c r="G92" s="6"/>
      <c r="H92" s="6">
        <v>6</v>
      </c>
      <c r="I92" s="6"/>
    </row>
    <row r="93" spans="1:9" hidden="1" x14ac:dyDescent="0.2">
      <c r="A93" s="8" t="s">
        <v>2</v>
      </c>
      <c r="B93" s="5"/>
      <c r="C93" s="74"/>
      <c r="D93" s="6"/>
      <c r="E93" s="6"/>
      <c r="F93" s="6"/>
      <c r="G93" s="6"/>
      <c r="H93" s="6"/>
      <c r="I93" s="6"/>
    </row>
    <row r="94" spans="1:9" hidden="1" x14ac:dyDescent="0.2">
      <c r="A94" s="8" t="s">
        <v>3</v>
      </c>
      <c r="B94" s="5"/>
      <c r="C94" s="74"/>
      <c r="D94" s="6"/>
      <c r="E94" s="6"/>
      <c r="F94" s="6"/>
      <c r="G94" s="6"/>
      <c r="H94" s="6"/>
      <c r="I94" s="6"/>
    </row>
    <row r="95" spans="1:9" hidden="1" x14ac:dyDescent="0.2">
      <c r="A95" s="8" t="s">
        <v>4</v>
      </c>
      <c r="B95" s="5"/>
      <c r="C95" s="74"/>
      <c r="D95" s="6"/>
      <c r="E95" s="6"/>
      <c r="F95" s="6"/>
      <c r="G95" s="6"/>
      <c r="H95" s="6"/>
      <c r="I95" s="6"/>
    </row>
    <row r="96" spans="1:9" hidden="1" x14ac:dyDescent="0.2">
      <c r="A96" s="8" t="s">
        <v>5</v>
      </c>
      <c r="B96" s="5"/>
      <c r="C96" s="74"/>
      <c r="D96" s="6"/>
      <c r="E96" s="6"/>
      <c r="F96" s="6"/>
      <c r="G96" s="6"/>
      <c r="H96" s="6"/>
      <c r="I96" s="6"/>
    </row>
    <row r="97" spans="1:9" hidden="1" x14ac:dyDescent="0.2">
      <c r="A97" s="8" t="s">
        <v>6</v>
      </c>
      <c r="B97" s="5"/>
      <c r="C97" s="74"/>
      <c r="D97" s="6"/>
      <c r="E97" s="6"/>
      <c r="F97" s="6"/>
      <c r="G97" s="6"/>
      <c r="H97" s="6"/>
      <c r="I97" s="6"/>
    </row>
    <row r="98" spans="1:9" hidden="1" x14ac:dyDescent="0.2">
      <c r="A98" s="8" t="s">
        <v>7</v>
      </c>
      <c r="B98" s="5"/>
      <c r="C98" s="74"/>
      <c r="D98" s="6"/>
      <c r="E98" s="6"/>
      <c r="F98" s="6"/>
      <c r="G98" s="6"/>
      <c r="H98" s="6"/>
      <c r="I98" s="6"/>
    </row>
    <row r="99" spans="1:9" hidden="1" x14ac:dyDescent="0.2">
      <c r="A99" s="8" t="s">
        <v>8</v>
      </c>
      <c r="B99" s="5"/>
      <c r="C99" s="74"/>
      <c r="D99" s="6"/>
      <c r="E99" s="6"/>
      <c r="F99" s="6"/>
      <c r="G99" s="6"/>
      <c r="H99" s="6"/>
      <c r="I99" s="6"/>
    </row>
    <row r="100" spans="1:9" hidden="1" x14ac:dyDescent="0.2">
      <c r="A100" s="8" t="s">
        <v>9</v>
      </c>
      <c r="B100" s="5"/>
      <c r="C100" s="74"/>
      <c r="D100" s="6"/>
      <c r="E100" s="6"/>
      <c r="F100" s="6"/>
      <c r="G100" s="6"/>
      <c r="H100" s="6"/>
      <c r="I100" s="6"/>
    </row>
    <row r="101" spans="1:9" x14ac:dyDescent="0.2">
      <c r="A101" s="312" t="s">
        <v>10</v>
      </c>
      <c r="B101" s="313"/>
      <c r="C101" s="313"/>
      <c r="D101" s="313"/>
      <c r="E101" s="314"/>
      <c r="F101" s="11">
        <f>SUM(F91:F100)</f>
        <v>2</v>
      </c>
      <c r="G101" s="11">
        <f>SUM(G91:G100)</f>
        <v>0</v>
      </c>
      <c r="H101" s="11">
        <f>SUM(H91:H100)</f>
        <v>12</v>
      </c>
      <c r="I101" s="11"/>
    </row>
    <row r="102" spans="1:9" x14ac:dyDescent="0.2">
      <c r="A102" s="8" t="s">
        <v>0</v>
      </c>
      <c r="B102" s="5">
        <f>B91+1</f>
        <v>46115</v>
      </c>
      <c r="C102" s="74" t="s">
        <v>789</v>
      </c>
      <c r="D102" s="6" t="s">
        <v>347</v>
      </c>
      <c r="E102" s="6" t="s">
        <v>165</v>
      </c>
      <c r="F102" s="6"/>
      <c r="G102" s="6">
        <v>1</v>
      </c>
      <c r="H102" s="6">
        <v>1.5</v>
      </c>
      <c r="I102" s="6"/>
    </row>
    <row r="103" spans="1:9" hidden="1" x14ac:dyDescent="0.2">
      <c r="A103" s="8" t="s">
        <v>1</v>
      </c>
      <c r="B103" s="5"/>
      <c r="C103" s="74"/>
      <c r="D103" s="6"/>
      <c r="E103" s="6"/>
      <c r="F103" s="6"/>
      <c r="G103" s="6"/>
      <c r="H103" s="6"/>
      <c r="I103" s="6"/>
    </row>
    <row r="104" spans="1:9" hidden="1" x14ac:dyDescent="0.2">
      <c r="A104" s="8" t="s">
        <v>2</v>
      </c>
      <c r="B104" s="5"/>
      <c r="C104" s="74"/>
      <c r="D104" s="6"/>
      <c r="E104" s="6"/>
      <c r="F104" s="6"/>
      <c r="G104" s="6"/>
      <c r="H104" s="6"/>
      <c r="I104" s="6"/>
    </row>
    <row r="105" spans="1:9" hidden="1" x14ac:dyDescent="0.2">
      <c r="A105" s="8" t="s">
        <v>3</v>
      </c>
      <c r="B105" s="5"/>
      <c r="C105" s="74"/>
      <c r="D105" s="6"/>
      <c r="E105" s="6"/>
      <c r="F105" s="6"/>
      <c r="G105" s="6"/>
      <c r="H105" s="6"/>
      <c r="I105" s="6"/>
    </row>
    <row r="106" spans="1:9" hidden="1" x14ac:dyDescent="0.2">
      <c r="A106" s="8" t="s">
        <v>4</v>
      </c>
      <c r="B106" s="5"/>
      <c r="C106" s="74"/>
      <c r="D106" s="6"/>
      <c r="E106" s="6"/>
      <c r="F106" s="6"/>
      <c r="G106" s="6"/>
      <c r="H106" s="6"/>
      <c r="I106" s="6"/>
    </row>
    <row r="107" spans="1:9" hidden="1" x14ac:dyDescent="0.2">
      <c r="A107" s="8" t="s">
        <v>5</v>
      </c>
      <c r="B107" s="5"/>
      <c r="C107" s="74"/>
      <c r="D107" s="6"/>
      <c r="E107" s="6"/>
      <c r="F107" s="6"/>
      <c r="G107" s="6"/>
      <c r="H107" s="6"/>
      <c r="I107" s="6"/>
    </row>
    <row r="108" spans="1:9" hidden="1" x14ac:dyDescent="0.2">
      <c r="A108" s="8" t="s">
        <v>6</v>
      </c>
      <c r="B108" s="5"/>
      <c r="C108" s="74"/>
      <c r="D108" s="6"/>
      <c r="E108" s="6"/>
      <c r="F108" s="6"/>
      <c r="G108" s="6"/>
      <c r="H108" s="6"/>
      <c r="I108" s="6"/>
    </row>
    <row r="109" spans="1:9" hidden="1" x14ac:dyDescent="0.2">
      <c r="A109" s="8" t="s">
        <v>7</v>
      </c>
      <c r="B109" s="5"/>
      <c r="C109" s="74"/>
      <c r="D109" s="6"/>
      <c r="E109" s="6"/>
      <c r="F109" s="6"/>
      <c r="G109" s="6"/>
      <c r="H109" s="6"/>
      <c r="I109" s="6"/>
    </row>
    <row r="110" spans="1:9" hidden="1" x14ac:dyDescent="0.2">
      <c r="A110" s="8" t="s">
        <v>8</v>
      </c>
      <c r="B110" s="5"/>
      <c r="C110" s="74"/>
      <c r="D110" s="6"/>
      <c r="E110" s="6"/>
      <c r="F110" s="6"/>
      <c r="G110" s="6"/>
      <c r="H110" s="6"/>
      <c r="I110" s="6"/>
    </row>
    <row r="111" spans="1:9" hidden="1" x14ac:dyDescent="0.2">
      <c r="A111" s="8" t="s">
        <v>9</v>
      </c>
      <c r="B111" s="5"/>
      <c r="C111" s="74"/>
      <c r="D111" s="6"/>
      <c r="E111" s="6"/>
      <c r="F111" s="6"/>
      <c r="G111" s="6"/>
      <c r="H111" s="6"/>
      <c r="I111" s="6"/>
    </row>
    <row r="112" spans="1:9" x14ac:dyDescent="0.2">
      <c r="A112" s="312" t="s">
        <v>10</v>
      </c>
      <c r="B112" s="313"/>
      <c r="C112" s="313"/>
      <c r="D112" s="313"/>
      <c r="E112" s="314"/>
      <c r="F112" s="11">
        <f>SUM(F102:F111)</f>
        <v>0</v>
      </c>
      <c r="G112" s="11">
        <f>SUM(G102:G111)</f>
        <v>1</v>
      </c>
      <c r="H112" s="11">
        <f>SUM(H102:H111)</f>
        <v>1.5</v>
      </c>
      <c r="I112" s="11"/>
    </row>
    <row r="113" spans="1:9" hidden="1" x14ac:dyDescent="0.2">
      <c r="A113" s="8" t="s">
        <v>0</v>
      </c>
      <c r="B113" s="5">
        <f>B102+1</f>
        <v>46116</v>
      </c>
      <c r="C113" s="74"/>
      <c r="D113" s="6"/>
      <c r="E113" s="6"/>
      <c r="F113" s="6"/>
      <c r="G113" s="6"/>
      <c r="H113" s="6"/>
      <c r="I113" s="6"/>
    </row>
    <row r="114" spans="1:9" hidden="1" x14ac:dyDescent="0.2">
      <c r="A114" s="8" t="s">
        <v>1</v>
      </c>
      <c r="B114" s="5"/>
      <c r="C114" s="74"/>
      <c r="D114" s="6"/>
      <c r="E114" s="6"/>
      <c r="F114" s="6"/>
      <c r="G114" s="6"/>
      <c r="H114" s="6"/>
      <c r="I114" s="6"/>
    </row>
    <row r="115" spans="1:9" hidden="1" x14ac:dyDescent="0.2">
      <c r="A115" s="8" t="s">
        <v>2</v>
      </c>
      <c r="B115" s="5"/>
      <c r="C115" s="74"/>
      <c r="D115" s="6"/>
      <c r="E115" s="6"/>
      <c r="F115" s="6"/>
      <c r="G115" s="6"/>
      <c r="H115" s="6"/>
      <c r="I115" s="6"/>
    </row>
    <row r="116" spans="1:9" hidden="1" x14ac:dyDescent="0.2">
      <c r="A116" s="8" t="s">
        <v>3</v>
      </c>
      <c r="B116" s="5"/>
      <c r="C116" s="74"/>
      <c r="D116" s="6"/>
      <c r="E116" s="6"/>
      <c r="F116" s="6"/>
      <c r="G116" s="6"/>
      <c r="H116" s="6"/>
      <c r="I116" s="6"/>
    </row>
    <row r="117" spans="1:9" hidden="1" x14ac:dyDescent="0.2">
      <c r="A117" s="8" t="s">
        <v>4</v>
      </c>
      <c r="B117" s="5"/>
      <c r="C117" s="74"/>
      <c r="D117" s="6"/>
      <c r="E117" s="6"/>
      <c r="F117" s="6"/>
      <c r="G117" s="6"/>
      <c r="H117" s="6"/>
      <c r="I117" s="6"/>
    </row>
    <row r="118" spans="1:9" hidden="1" x14ac:dyDescent="0.2">
      <c r="A118" s="8" t="s">
        <v>5</v>
      </c>
      <c r="B118" s="5"/>
      <c r="C118" s="74"/>
      <c r="D118" s="6"/>
      <c r="E118" s="6"/>
      <c r="F118" s="6"/>
      <c r="G118" s="6"/>
      <c r="H118" s="6"/>
      <c r="I118" s="6"/>
    </row>
    <row r="119" spans="1:9" hidden="1" x14ac:dyDescent="0.2">
      <c r="A119" s="8" t="s">
        <v>6</v>
      </c>
      <c r="B119" s="5"/>
      <c r="C119" s="74"/>
      <c r="D119" s="6"/>
      <c r="E119" s="6"/>
      <c r="F119" s="6"/>
      <c r="G119" s="6"/>
      <c r="H119" s="6"/>
      <c r="I119" s="6"/>
    </row>
    <row r="120" spans="1:9" hidden="1" x14ac:dyDescent="0.2">
      <c r="A120" s="8" t="s">
        <v>7</v>
      </c>
      <c r="B120" s="5"/>
      <c r="C120" s="74"/>
      <c r="D120" s="6"/>
      <c r="E120" s="6"/>
      <c r="F120" s="6"/>
      <c r="G120" s="6"/>
      <c r="H120" s="6"/>
      <c r="I120" s="6"/>
    </row>
    <row r="121" spans="1:9" hidden="1" x14ac:dyDescent="0.2">
      <c r="A121" s="8" t="s">
        <v>8</v>
      </c>
      <c r="B121" s="5"/>
      <c r="C121" s="74"/>
      <c r="D121" s="6"/>
      <c r="E121" s="6"/>
      <c r="F121" s="6"/>
      <c r="G121" s="6"/>
      <c r="H121" s="6"/>
      <c r="I121" s="6"/>
    </row>
    <row r="122" spans="1:9" hidden="1" x14ac:dyDescent="0.2">
      <c r="A122" s="8" t="s">
        <v>9</v>
      </c>
      <c r="B122" s="5"/>
      <c r="C122" s="74"/>
      <c r="D122" s="6"/>
      <c r="E122" s="6"/>
      <c r="F122" s="6"/>
      <c r="G122" s="6"/>
      <c r="H122" s="6"/>
      <c r="I122" s="6"/>
    </row>
    <row r="123" spans="1:9" hidden="1" x14ac:dyDescent="0.2">
      <c r="A123" s="312" t="s">
        <v>10</v>
      </c>
      <c r="B123" s="313"/>
      <c r="C123" s="313"/>
      <c r="D123" s="313"/>
      <c r="E123" s="314"/>
      <c r="F123" s="11">
        <f>SUM(F113:F122)</f>
        <v>0</v>
      </c>
      <c r="G123" s="11">
        <f>SUM(G113:G122)</f>
        <v>0</v>
      </c>
      <c r="H123" s="11">
        <f>SUM(H113:H122)</f>
        <v>0</v>
      </c>
      <c r="I123" s="11"/>
    </row>
    <row r="124" spans="1:9" hidden="1" x14ac:dyDescent="0.2">
      <c r="A124" s="8" t="s">
        <v>0</v>
      </c>
      <c r="B124" s="5">
        <f>B113+1</f>
        <v>46117</v>
      </c>
      <c r="C124" s="75"/>
      <c r="D124" s="6"/>
      <c r="E124" s="6"/>
      <c r="F124" s="6"/>
      <c r="G124" s="6"/>
      <c r="H124" s="6"/>
      <c r="I124" s="6"/>
    </row>
    <row r="125" spans="1:9" hidden="1" x14ac:dyDescent="0.2">
      <c r="A125" s="8" t="s">
        <v>1</v>
      </c>
      <c r="B125" s="5"/>
      <c r="C125" s="75"/>
      <c r="D125" s="6"/>
      <c r="E125" s="6"/>
      <c r="F125" s="6"/>
      <c r="G125" s="6"/>
      <c r="H125" s="6"/>
      <c r="I125" s="6"/>
    </row>
    <row r="126" spans="1:9" hidden="1" x14ac:dyDescent="0.2">
      <c r="A126" s="8" t="s">
        <v>2</v>
      </c>
      <c r="B126" s="5"/>
      <c r="C126" s="75"/>
      <c r="D126" s="6"/>
      <c r="E126" s="6"/>
      <c r="F126" s="6"/>
      <c r="G126" s="6"/>
      <c r="H126" s="6"/>
      <c r="I126" s="6"/>
    </row>
    <row r="127" spans="1:9" hidden="1" x14ac:dyDescent="0.2">
      <c r="A127" s="8" t="s">
        <v>3</v>
      </c>
      <c r="B127" s="5"/>
      <c r="C127" s="75"/>
      <c r="D127" s="6"/>
      <c r="E127" s="6"/>
      <c r="F127" s="6"/>
      <c r="G127" s="6"/>
      <c r="H127" s="6"/>
      <c r="I127" s="6"/>
    </row>
    <row r="128" spans="1:9" hidden="1" x14ac:dyDescent="0.2">
      <c r="A128" s="8" t="s">
        <v>4</v>
      </c>
      <c r="B128" s="5"/>
      <c r="C128" s="75"/>
      <c r="D128" s="6"/>
      <c r="E128" s="6"/>
      <c r="F128" s="6"/>
      <c r="G128" s="6"/>
      <c r="H128" s="6"/>
      <c r="I128" s="6"/>
    </row>
    <row r="129" spans="1:9" hidden="1" x14ac:dyDescent="0.2">
      <c r="A129" s="8" t="s">
        <v>5</v>
      </c>
      <c r="B129" s="5"/>
      <c r="C129" s="74"/>
      <c r="D129" s="6"/>
      <c r="E129" s="6"/>
      <c r="F129" s="6"/>
      <c r="G129" s="6"/>
      <c r="H129" s="6"/>
      <c r="I129" s="6"/>
    </row>
    <row r="130" spans="1:9" hidden="1" x14ac:dyDescent="0.2">
      <c r="A130" s="8" t="s">
        <v>6</v>
      </c>
      <c r="B130" s="5"/>
      <c r="C130" s="74"/>
      <c r="D130" s="6"/>
      <c r="E130" s="6"/>
      <c r="F130" s="6"/>
      <c r="G130" s="6"/>
      <c r="H130" s="6"/>
      <c r="I130" s="6"/>
    </row>
    <row r="131" spans="1:9" hidden="1" x14ac:dyDescent="0.2">
      <c r="A131" s="8" t="s">
        <v>7</v>
      </c>
      <c r="B131" s="5"/>
      <c r="C131" s="74"/>
      <c r="D131" s="6"/>
      <c r="E131" s="6"/>
      <c r="F131" s="6"/>
      <c r="G131" s="6"/>
      <c r="H131" s="6"/>
      <c r="I131" s="6"/>
    </row>
    <row r="132" spans="1:9" hidden="1" x14ac:dyDescent="0.2">
      <c r="A132" s="8" t="s">
        <v>8</v>
      </c>
      <c r="B132" s="5"/>
      <c r="C132" s="74"/>
      <c r="D132" s="6"/>
      <c r="E132" s="6"/>
      <c r="F132" s="6"/>
      <c r="G132" s="6"/>
      <c r="H132" s="6"/>
      <c r="I132" s="6"/>
    </row>
    <row r="133" spans="1:9" hidden="1" x14ac:dyDescent="0.2">
      <c r="A133" s="8" t="s">
        <v>9</v>
      </c>
      <c r="B133" s="5"/>
      <c r="C133" s="74"/>
      <c r="D133" s="6"/>
      <c r="E133" s="6"/>
      <c r="F133" s="6"/>
      <c r="G133" s="6"/>
      <c r="H133" s="6"/>
      <c r="I133" s="6"/>
    </row>
    <row r="134" spans="1:9" hidden="1" x14ac:dyDescent="0.2">
      <c r="A134" s="312" t="s">
        <v>10</v>
      </c>
      <c r="B134" s="313"/>
      <c r="C134" s="313"/>
      <c r="D134" s="313"/>
      <c r="E134" s="314"/>
      <c r="F134" s="11">
        <f>SUM(F124:F133)</f>
        <v>0</v>
      </c>
      <c r="G134" s="11">
        <f>SUM(G124:G133)</f>
        <v>0</v>
      </c>
      <c r="H134" s="11">
        <f>SUM(H124:H133)</f>
        <v>0</v>
      </c>
      <c r="I134" s="11"/>
    </row>
    <row r="135" spans="1:9" hidden="1" x14ac:dyDescent="0.2">
      <c r="A135" s="8" t="s">
        <v>0</v>
      </c>
      <c r="B135" s="5">
        <f>B124+1</f>
        <v>46118</v>
      </c>
      <c r="C135" s="75"/>
      <c r="D135" s="6"/>
      <c r="E135" s="6"/>
      <c r="F135" s="6"/>
      <c r="G135" s="6"/>
      <c r="H135" s="6"/>
      <c r="I135" s="6"/>
    </row>
    <row r="136" spans="1:9" hidden="1" x14ac:dyDescent="0.2">
      <c r="A136" s="8" t="s">
        <v>1</v>
      </c>
      <c r="B136" s="5"/>
      <c r="C136" s="75"/>
      <c r="D136" s="6"/>
      <c r="E136" s="6"/>
      <c r="F136" s="6"/>
      <c r="G136" s="6"/>
      <c r="H136" s="6"/>
      <c r="I136" s="6"/>
    </row>
    <row r="137" spans="1:9" hidden="1" x14ac:dyDescent="0.2">
      <c r="A137" s="8" t="s">
        <v>2</v>
      </c>
      <c r="B137" s="5"/>
      <c r="C137" s="75"/>
      <c r="D137" s="6"/>
      <c r="E137" s="6"/>
      <c r="F137" s="6"/>
      <c r="G137" s="6"/>
      <c r="H137" s="6"/>
      <c r="I137" s="6"/>
    </row>
    <row r="138" spans="1:9" hidden="1" x14ac:dyDescent="0.2">
      <c r="A138" s="8" t="s">
        <v>3</v>
      </c>
      <c r="B138" s="5"/>
      <c r="C138" s="75"/>
      <c r="D138" s="6"/>
      <c r="E138" s="6"/>
      <c r="F138" s="6"/>
      <c r="G138" s="6"/>
      <c r="H138" s="6"/>
      <c r="I138" s="6"/>
    </row>
    <row r="139" spans="1:9" hidden="1" x14ac:dyDescent="0.2">
      <c r="A139" s="8" t="s">
        <v>4</v>
      </c>
      <c r="B139" s="5"/>
      <c r="C139" s="75"/>
      <c r="D139" s="6"/>
      <c r="E139" s="6"/>
      <c r="F139" s="6"/>
      <c r="G139" s="6"/>
      <c r="H139" s="6"/>
      <c r="I139" s="6"/>
    </row>
    <row r="140" spans="1:9" hidden="1" x14ac:dyDescent="0.2">
      <c r="A140" s="8" t="s">
        <v>5</v>
      </c>
      <c r="B140" s="5"/>
      <c r="C140" s="75"/>
      <c r="D140" s="6"/>
      <c r="E140" s="6"/>
      <c r="F140" s="6"/>
      <c r="G140" s="6"/>
      <c r="H140" s="6"/>
      <c r="I140" s="6"/>
    </row>
    <row r="141" spans="1:9" hidden="1" x14ac:dyDescent="0.2">
      <c r="A141" s="8" t="s">
        <v>6</v>
      </c>
      <c r="B141" s="5"/>
      <c r="C141" s="74"/>
      <c r="D141" s="6"/>
      <c r="E141" s="6"/>
      <c r="F141" s="6"/>
      <c r="G141" s="6"/>
      <c r="H141" s="6"/>
      <c r="I141" s="6"/>
    </row>
    <row r="142" spans="1:9" hidden="1" x14ac:dyDescent="0.2">
      <c r="A142" s="8" t="s">
        <v>7</v>
      </c>
      <c r="B142" s="5"/>
      <c r="C142" s="74"/>
      <c r="D142" s="6"/>
      <c r="E142" s="6"/>
      <c r="F142" s="6"/>
      <c r="G142" s="6"/>
      <c r="H142" s="6"/>
      <c r="I142" s="6"/>
    </row>
    <row r="143" spans="1:9" hidden="1" x14ac:dyDescent="0.2">
      <c r="A143" s="8" t="s">
        <v>8</v>
      </c>
      <c r="B143" s="5"/>
      <c r="C143" s="74"/>
      <c r="D143" s="6"/>
      <c r="E143" s="6"/>
      <c r="F143" s="6"/>
      <c r="G143" s="6"/>
      <c r="H143" s="6"/>
      <c r="I143" s="6"/>
    </row>
    <row r="144" spans="1:9" hidden="1" x14ac:dyDescent="0.2">
      <c r="A144" s="8" t="s">
        <v>9</v>
      </c>
      <c r="B144" s="5"/>
      <c r="C144" s="74"/>
      <c r="D144" s="6"/>
      <c r="E144" s="6"/>
      <c r="F144" s="6"/>
      <c r="G144" s="6"/>
      <c r="H144" s="6"/>
      <c r="I144" s="6"/>
    </row>
    <row r="145" spans="1:9" hidden="1" x14ac:dyDescent="0.2">
      <c r="A145" s="312" t="s">
        <v>10</v>
      </c>
      <c r="B145" s="313"/>
      <c r="C145" s="313"/>
      <c r="D145" s="313"/>
      <c r="E145" s="314"/>
      <c r="F145" s="11">
        <f>SUM(F135:F144)</f>
        <v>0</v>
      </c>
      <c r="G145" s="11">
        <f>SUM(G135:G144)</f>
        <v>0</v>
      </c>
      <c r="H145" s="11">
        <f>SUM(H135:H144)</f>
        <v>0</v>
      </c>
      <c r="I145" s="11"/>
    </row>
    <row r="146" spans="1:9" hidden="1" x14ac:dyDescent="0.2">
      <c r="A146" s="8" t="s">
        <v>0</v>
      </c>
      <c r="B146" s="5">
        <f>B135+1</f>
        <v>46119</v>
      </c>
      <c r="C146" s="74"/>
      <c r="D146" s="6"/>
      <c r="E146" s="6"/>
      <c r="F146" s="6"/>
      <c r="G146" s="6"/>
      <c r="H146" s="6"/>
      <c r="I146" s="6"/>
    </row>
    <row r="147" spans="1:9" hidden="1" x14ac:dyDescent="0.2">
      <c r="A147" s="8" t="s">
        <v>1</v>
      </c>
      <c r="B147" s="5"/>
      <c r="C147" s="74"/>
      <c r="D147" s="6"/>
      <c r="E147" s="6"/>
      <c r="F147" s="6"/>
      <c r="G147" s="6"/>
      <c r="H147" s="6"/>
      <c r="I147" s="6"/>
    </row>
    <row r="148" spans="1:9" hidden="1" x14ac:dyDescent="0.2">
      <c r="A148" s="8" t="s">
        <v>2</v>
      </c>
      <c r="B148" s="5"/>
      <c r="C148" s="74"/>
      <c r="D148" s="6"/>
      <c r="E148" s="6"/>
      <c r="F148" s="6"/>
      <c r="G148" s="6"/>
      <c r="H148" s="6"/>
      <c r="I148" s="6"/>
    </row>
    <row r="149" spans="1:9" hidden="1" x14ac:dyDescent="0.2">
      <c r="A149" s="8" t="s">
        <v>3</v>
      </c>
      <c r="B149" s="5"/>
      <c r="C149" s="74"/>
      <c r="D149" s="6"/>
      <c r="E149" s="6"/>
      <c r="F149" s="6"/>
      <c r="G149" s="6"/>
      <c r="H149" s="6"/>
      <c r="I149" s="6"/>
    </row>
    <row r="150" spans="1:9" hidden="1" x14ac:dyDescent="0.2">
      <c r="A150" s="8" t="s">
        <v>4</v>
      </c>
      <c r="B150" s="5"/>
      <c r="C150" s="74"/>
      <c r="D150" s="6"/>
      <c r="E150" s="6"/>
      <c r="F150" s="6"/>
      <c r="G150" s="6"/>
      <c r="H150" s="6"/>
      <c r="I150" s="6"/>
    </row>
    <row r="151" spans="1:9" hidden="1" x14ac:dyDescent="0.2">
      <c r="A151" s="8" t="s">
        <v>5</v>
      </c>
      <c r="B151" s="5"/>
      <c r="C151" s="74"/>
      <c r="D151" s="6"/>
      <c r="E151" s="6"/>
      <c r="F151" s="6"/>
      <c r="G151" s="6"/>
      <c r="H151" s="6"/>
      <c r="I151" s="6"/>
    </row>
    <row r="152" spans="1:9" hidden="1" x14ac:dyDescent="0.2">
      <c r="A152" s="8" t="s">
        <v>6</v>
      </c>
      <c r="B152" s="5"/>
      <c r="C152" s="74"/>
      <c r="D152" s="6"/>
      <c r="E152" s="6"/>
      <c r="F152" s="6"/>
      <c r="G152" s="6"/>
      <c r="H152" s="6"/>
      <c r="I152" s="6"/>
    </row>
    <row r="153" spans="1:9" hidden="1" x14ac:dyDescent="0.2">
      <c r="A153" s="8" t="s">
        <v>7</v>
      </c>
      <c r="B153" s="5"/>
      <c r="C153" s="74"/>
      <c r="D153" s="6"/>
      <c r="E153" s="6"/>
      <c r="F153" s="6"/>
      <c r="G153" s="6"/>
      <c r="H153" s="6"/>
      <c r="I153" s="6"/>
    </row>
    <row r="154" spans="1:9" hidden="1" x14ac:dyDescent="0.2">
      <c r="A154" s="8" t="s">
        <v>8</v>
      </c>
      <c r="B154" s="5"/>
      <c r="C154" s="74"/>
      <c r="D154" s="6"/>
      <c r="E154" s="6"/>
      <c r="F154" s="6"/>
      <c r="G154" s="6"/>
      <c r="H154" s="6"/>
      <c r="I154" s="6"/>
    </row>
    <row r="155" spans="1:9" hidden="1" x14ac:dyDescent="0.2">
      <c r="A155" s="8" t="s">
        <v>9</v>
      </c>
      <c r="B155" s="5"/>
      <c r="C155" s="75"/>
      <c r="D155" s="6"/>
      <c r="E155" s="6"/>
      <c r="F155" s="6"/>
      <c r="G155" s="6"/>
      <c r="H155" s="6"/>
      <c r="I155" s="6"/>
    </row>
    <row r="156" spans="1:9" hidden="1" x14ac:dyDescent="0.2">
      <c r="A156" s="312" t="s">
        <v>10</v>
      </c>
      <c r="B156" s="313"/>
      <c r="C156" s="313"/>
      <c r="D156" s="313"/>
      <c r="E156" s="314"/>
      <c r="F156" s="11">
        <f>SUM(F146:F155)</f>
        <v>0</v>
      </c>
      <c r="G156" s="11">
        <f>SUM(G146:G155)</f>
        <v>0</v>
      </c>
      <c r="H156" s="11">
        <f>SUM(H146:H155)</f>
        <v>0</v>
      </c>
      <c r="I156" s="11"/>
    </row>
    <row r="157" spans="1:9" x14ac:dyDescent="0.2">
      <c r="A157" s="8" t="s">
        <v>0</v>
      </c>
      <c r="B157" s="5">
        <f>B146+1</f>
        <v>46120</v>
      </c>
      <c r="C157" s="74" t="s">
        <v>1106</v>
      </c>
      <c r="D157" s="6" t="s">
        <v>170</v>
      </c>
      <c r="E157" s="6" t="s">
        <v>165</v>
      </c>
      <c r="F157" s="6">
        <v>1</v>
      </c>
      <c r="G157" s="6"/>
      <c r="H157" s="6">
        <v>6</v>
      </c>
      <c r="I157" s="6"/>
    </row>
    <row r="158" spans="1:9" x14ac:dyDescent="0.2">
      <c r="A158" s="8" t="s">
        <v>1</v>
      </c>
      <c r="B158" s="5"/>
      <c r="C158" s="74" t="s">
        <v>1107</v>
      </c>
      <c r="D158" s="6" t="s">
        <v>839</v>
      </c>
      <c r="E158" s="6" t="s">
        <v>190</v>
      </c>
      <c r="F158" s="6">
        <v>1</v>
      </c>
      <c r="G158" s="6"/>
      <c r="H158" s="6">
        <v>5</v>
      </c>
      <c r="I158" s="6"/>
    </row>
    <row r="159" spans="1:9" x14ac:dyDescent="0.2">
      <c r="A159" s="8" t="s">
        <v>2</v>
      </c>
      <c r="B159" s="5"/>
      <c r="C159" s="74" t="s">
        <v>1108</v>
      </c>
      <c r="D159" s="6" t="s">
        <v>211</v>
      </c>
      <c r="E159" s="6" t="s">
        <v>165</v>
      </c>
      <c r="F159" s="6">
        <v>1</v>
      </c>
      <c r="G159" s="6"/>
      <c r="H159" s="6">
        <v>6</v>
      </c>
      <c r="I159" s="6"/>
    </row>
    <row r="160" spans="1:9" x14ac:dyDescent="0.2">
      <c r="A160" s="8" t="s">
        <v>3</v>
      </c>
      <c r="B160" s="5"/>
      <c r="C160" s="74" t="s">
        <v>1109</v>
      </c>
      <c r="D160" s="6" t="s">
        <v>211</v>
      </c>
      <c r="E160" s="6" t="s">
        <v>165</v>
      </c>
      <c r="F160" s="6">
        <v>1</v>
      </c>
      <c r="G160" s="6"/>
      <c r="H160" s="6">
        <v>6</v>
      </c>
      <c r="I160" s="6"/>
    </row>
    <row r="161" spans="1:9" x14ac:dyDescent="0.2">
      <c r="A161" s="8" t="s">
        <v>4</v>
      </c>
      <c r="B161" s="5"/>
      <c r="C161" s="74" t="s">
        <v>1110</v>
      </c>
      <c r="D161" s="6" t="s">
        <v>202</v>
      </c>
      <c r="E161" s="6" t="s">
        <v>165</v>
      </c>
      <c r="F161" s="6">
        <v>1</v>
      </c>
      <c r="G161" s="6"/>
      <c r="H161" s="6">
        <v>5</v>
      </c>
      <c r="I161" s="6"/>
    </row>
    <row r="162" spans="1:9" hidden="1" x14ac:dyDescent="0.2">
      <c r="A162" s="8" t="s">
        <v>5</v>
      </c>
      <c r="B162" s="5"/>
      <c r="C162" s="74"/>
      <c r="D162" s="6"/>
      <c r="E162" s="6"/>
      <c r="F162" s="6"/>
      <c r="G162" s="6"/>
      <c r="H162" s="6"/>
      <c r="I162" s="6"/>
    </row>
    <row r="163" spans="1:9" hidden="1" x14ac:dyDescent="0.2">
      <c r="A163" s="8" t="s">
        <v>6</v>
      </c>
      <c r="B163" s="5"/>
      <c r="C163" s="74"/>
      <c r="D163" s="6"/>
      <c r="E163" s="6"/>
      <c r="F163" s="6"/>
      <c r="G163" s="6"/>
      <c r="H163" s="6"/>
      <c r="I163" s="6"/>
    </row>
    <row r="164" spans="1:9" hidden="1" x14ac:dyDescent="0.2">
      <c r="A164" s="8" t="s">
        <v>7</v>
      </c>
      <c r="B164" s="5"/>
      <c r="C164" s="74"/>
      <c r="D164" s="6"/>
      <c r="E164" s="6"/>
      <c r="F164" s="6"/>
      <c r="G164" s="6"/>
      <c r="H164" s="6"/>
      <c r="I164" s="6"/>
    </row>
    <row r="165" spans="1:9" hidden="1" x14ac:dyDescent="0.2">
      <c r="A165" s="8" t="s">
        <v>8</v>
      </c>
      <c r="B165" s="5"/>
      <c r="C165" s="74"/>
      <c r="D165" s="6"/>
      <c r="E165" s="6"/>
      <c r="F165" s="6"/>
      <c r="G165" s="6"/>
      <c r="H165" s="6"/>
      <c r="I165" s="6"/>
    </row>
    <row r="166" spans="1:9" hidden="1" x14ac:dyDescent="0.2">
      <c r="A166" s="8" t="s">
        <v>9</v>
      </c>
      <c r="B166" s="5"/>
      <c r="C166" s="74"/>
      <c r="D166" s="6"/>
      <c r="E166" s="6"/>
      <c r="F166" s="6"/>
      <c r="G166" s="6"/>
      <c r="H166" s="6"/>
      <c r="I166" s="6"/>
    </row>
    <row r="167" spans="1:9" x14ac:dyDescent="0.2">
      <c r="A167" s="312" t="s">
        <v>10</v>
      </c>
      <c r="B167" s="313"/>
      <c r="C167" s="313"/>
      <c r="D167" s="313"/>
      <c r="E167" s="314"/>
      <c r="F167" s="11">
        <f>SUM(F157:F166)</f>
        <v>5</v>
      </c>
      <c r="G167" s="11">
        <f>SUM(G157:G166)</f>
        <v>0</v>
      </c>
      <c r="H167" s="11">
        <f>SUM(H157:H166)</f>
        <v>28</v>
      </c>
      <c r="I167" s="11"/>
    </row>
    <row r="168" spans="1:9" s="25" customFormat="1" ht="18" x14ac:dyDescent="0.2">
      <c r="A168" s="315" t="s">
        <v>39</v>
      </c>
      <c r="B168" s="316"/>
      <c r="C168" s="316"/>
      <c r="D168" s="316"/>
      <c r="E168" s="317"/>
      <c r="F168" s="22">
        <f>F101+F112+F123+F134+F145+F156+F167+F84</f>
        <v>37</v>
      </c>
      <c r="G168" s="22">
        <f>G101+G112+G123+G134+G145+G156+G167+G84</f>
        <v>8</v>
      </c>
      <c r="H168" s="22">
        <f>H101+H112+H123+H134+H145+H156+H167+H84</f>
        <v>242.5</v>
      </c>
      <c r="I168" s="22"/>
    </row>
    <row r="169" spans="1:9" ht="21.95" customHeight="1" x14ac:dyDescent="0.2">
      <c r="A169" s="319" t="s">
        <v>14</v>
      </c>
      <c r="B169" s="319"/>
      <c r="C169" s="319"/>
      <c r="D169" s="319"/>
      <c r="E169" s="319"/>
      <c r="F169" s="319"/>
      <c r="G169" s="319"/>
      <c r="H169" s="319"/>
      <c r="I169" s="319"/>
    </row>
    <row r="170" spans="1:9" s="53" customFormat="1" ht="20.100000000000001" customHeight="1" x14ac:dyDescent="0.2">
      <c r="A170" s="323" t="s">
        <v>86</v>
      </c>
      <c r="B170" s="323"/>
      <c r="C170" s="323"/>
      <c r="D170" s="323"/>
      <c r="E170" s="323"/>
      <c r="F170" s="50" t="str">
        <f>F86</f>
        <v>เมษายน</v>
      </c>
      <c r="G170" s="50" t="s">
        <v>87</v>
      </c>
      <c r="H170" s="51">
        <f>H86</f>
        <v>2569</v>
      </c>
      <c r="I170" s="52"/>
    </row>
    <row r="171" spans="1:9" s="3" customFormat="1" ht="20.100000000000001" customHeight="1" x14ac:dyDescent="0.35">
      <c r="A171" s="318" t="s">
        <v>38</v>
      </c>
      <c r="B171" s="318"/>
      <c r="C171" s="318"/>
      <c r="D171" s="2"/>
      <c r="F171" s="4"/>
      <c r="G171" s="4"/>
      <c r="H171" s="4" t="s">
        <v>21</v>
      </c>
      <c r="I171" s="40">
        <f>I87+1</f>
        <v>3</v>
      </c>
    </row>
    <row r="172" spans="1:9" s="3" customFormat="1" ht="20.100000000000001" customHeight="1" x14ac:dyDescent="0.35">
      <c r="A172" s="311" t="s">
        <v>68</v>
      </c>
      <c r="B172" s="311"/>
      <c r="C172" s="311"/>
      <c r="D172" s="2"/>
      <c r="E172" s="39" t="s">
        <v>81</v>
      </c>
      <c r="F172" s="308">
        <f>F88</f>
        <v>46107</v>
      </c>
      <c r="G172" s="308"/>
      <c r="H172" s="39" t="s">
        <v>82</v>
      </c>
      <c r="I172" s="34">
        <f>I88</f>
        <v>46136</v>
      </c>
    </row>
    <row r="173" spans="1:9" x14ac:dyDescent="0.2">
      <c r="A173" s="12" t="s">
        <v>23</v>
      </c>
      <c r="B173" s="13" t="s">
        <v>11</v>
      </c>
      <c r="C173" s="72" t="s">
        <v>26</v>
      </c>
      <c r="D173" s="12" t="s">
        <v>16</v>
      </c>
      <c r="E173" s="12" t="s">
        <v>17</v>
      </c>
      <c r="F173" s="310" t="s">
        <v>46</v>
      </c>
      <c r="G173" s="310"/>
      <c r="H173" s="310"/>
      <c r="I173" s="12" t="s">
        <v>19</v>
      </c>
    </row>
    <row r="174" spans="1:9" x14ac:dyDescent="0.2">
      <c r="A174" s="15"/>
      <c r="B174" s="16"/>
      <c r="C174" s="73"/>
      <c r="D174" s="15"/>
      <c r="E174" s="15"/>
      <c r="F174" s="21" t="s">
        <v>113</v>
      </c>
      <c r="G174" s="21" t="s">
        <v>114</v>
      </c>
      <c r="H174" s="21" t="s">
        <v>20</v>
      </c>
      <c r="I174" s="15"/>
    </row>
    <row r="175" spans="1:9" x14ac:dyDescent="0.2">
      <c r="A175" s="8" t="s">
        <v>0</v>
      </c>
      <c r="B175" s="5">
        <f>B157+1</f>
        <v>46121</v>
      </c>
      <c r="C175" s="74" t="s">
        <v>1163</v>
      </c>
      <c r="D175" s="6" t="s">
        <v>342</v>
      </c>
      <c r="E175" s="6" t="s">
        <v>165</v>
      </c>
      <c r="F175" s="6">
        <v>1</v>
      </c>
      <c r="G175" s="6"/>
      <c r="H175" s="6">
        <v>6</v>
      </c>
      <c r="I175" s="6"/>
    </row>
    <row r="176" spans="1:9" x14ac:dyDescent="0.2">
      <c r="A176" s="8" t="s">
        <v>1</v>
      </c>
      <c r="B176" s="5"/>
      <c r="C176" s="74" t="s">
        <v>1164</v>
      </c>
      <c r="D176" s="6" t="s">
        <v>379</v>
      </c>
      <c r="E176" s="6" t="s">
        <v>165</v>
      </c>
      <c r="F176" s="6">
        <v>1</v>
      </c>
      <c r="G176" s="6"/>
      <c r="H176" s="6">
        <v>5</v>
      </c>
      <c r="I176" s="6"/>
    </row>
    <row r="177" spans="1:9" x14ac:dyDescent="0.2">
      <c r="A177" s="8" t="s">
        <v>2</v>
      </c>
      <c r="B177" s="5"/>
      <c r="C177" s="74" t="s">
        <v>1165</v>
      </c>
      <c r="D177" s="6" t="s">
        <v>347</v>
      </c>
      <c r="E177" s="6" t="s">
        <v>441</v>
      </c>
      <c r="F177" s="6">
        <v>1</v>
      </c>
      <c r="G177" s="6"/>
      <c r="H177" s="6">
        <v>5.5</v>
      </c>
      <c r="I177" s="6"/>
    </row>
    <row r="178" spans="1:9" x14ac:dyDescent="0.2">
      <c r="A178" s="8" t="s">
        <v>3</v>
      </c>
      <c r="B178" s="5"/>
      <c r="C178" s="74" t="s">
        <v>1140</v>
      </c>
      <c r="D178" s="6" t="s">
        <v>206</v>
      </c>
      <c r="E178" s="6" t="s">
        <v>632</v>
      </c>
      <c r="F178" s="6">
        <v>1</v>
      </c>
      <c r="G178" s="6"/>
      <c r="H178" s="6">
        <v>6</v>
      </c>
      <c r="I178" s="6"/>
    </row>
    <row r="179" spans="1:9" x14ac:dyDescent="0.2">
      <c r="A179" s="8" t="s">
        <v>4</v>
      </c>
      <c r="B179" s="5"/>
      <c r="C179" s="74" t="s">
        <v>1166</v>
      </c>
      <c r="D179" s="6" t="s">
        <v>188</v>
      </c>
      <c r="E179" s="6" t="s">
        <v>190</v>
      </c>
      <c r="F179" s="6">
        <v>1</v>
      </c>
      <c r="G179" s="6"/>
      <c r="H179" s="6">
        <v>6</v>
      </c>
      <c r="I179" s="6"/>
    </row>
    <row r="180" spans="1:9" hidden="1" x14ac:dyDescent="0.2">
      <c r="A180" s="8" t="s">
        <v>5</v>
      </c>
      <c r="B180" s="5"/>
      <c r="C180" s="74"/>
      <c r="D180" s="6"/>
      <c r="E180" s="6"/>
      <c r="F180" s="6"/>
      <c r="G180" s="6"/>
      <c r="H180" s="6"/>
      <c r="I180" s="6"/>
    </row>
    <row r="181" spans="1:9" hidden="1" x14ac:dyDescent="0.2">
      <c r="A181" s="8" t="s">
        <v>6</v>
      </c>
      <c r="B181" s="5"/>
      <c r="C181" s="74"/>
      <c r="D181" s="6"/>
      <c r="E181" s="6"/>
      <c r="F181" s="6"/>
      <c r="G181" s="6"/>
      <c r="H181" s="6"/>
      <c r="I181" s="6"/>
    </row>
    <row r="182" spans="1:9" hidden="1" x14ac:dyDescent="0.2">
      <c r="A182" s="8" t="s">
        <v>7</v>
      </c>
      <c r="B182" s="5"/>
      <c r="C182" s="74"/>
      <c r="D182" s="6"/>
      <c r="E182" s="6"/>
      <c r="F182" s="6"/>
      <c r="G182" s="6"/>
      <c r="H182" s="6"/>
      <c r="I182" s="6"/>
    </row>
    <row r="183" spans="1:9" hidden="1" x14ac:dyDescent="0.2">
      <c r="A183" s="8" t="s">
        <v>8</v>
      </c>
      <c r="B183" s="5"/>
      <c r="C183" s="74"/>
      <c r="D183" s="6"/>
      <c r="E183" s="6"/>
      <c r="F183" s="6"/>
      <c r="G183" s="6"/>
      <c r="H183" s="6"/>
      <c r="I183" s="6"/>
    </row>
    <row r="184" spans="1:9" hidden="1" x14ac:dyDescent="0.2">
      <c r="A184" s="8" t="s">
        <v>9</v>
      </c>
      <c r="B184" s="5"/>
      <c r="C184" s="74"/>
      <c r="D184" s="6"/>
      <c r="E184" s="6"/>
      <c r="F184" s="6"/>
      <c r="G184" s="6"/>
      <c r="H184" s="6"/>
      <c r="I184" s="6"/>
    </row>
    <row r="185" spans="1:9" x14ac:dyDescent="0.2">
      <c r="A185" s="312" t="s">
        <v>10</v>
      </c>
      <c r="B185" s="313"/>
      <c r="C185" s="313"/>
      <c r="D185" s="313"/>
      <c r="E185" s="314"/>
      <c r="F185" s="11">
        <f>SUM(F175:F184)</f>
        <v>5</v>
      </c>
      <c r="G185" s="11">
        <f>SUM(G175:G184)</f>
        <v>0</v>
      </c>
      <c r="H185" s="11">
        <f>SUM(H175:H184)</f>
        <v>28.5</v>
      </c>
      <c r="I185" s="11"/>
    </row>
    <row r="186" spans="1:9" x14ac:dyDescent="0.2">
      <c r="A186" s="8" t="s">
        <v>0</v>
      </c>
      <c r="B186" s="5">
        <f>B175+1</f>
        <v>46122</v>
      </c>
      <c r="C186" s="74" t="s">
        <v>1221</v>
      </c>
      <c r="D186" s="6" t="s">
        <v>759</v>
      </c>
      <c r="E186" s="6" t="s">
        <v>190</v>
      </c>
      <c r="F186" s="6">
        <v>1</v>
      </c>
      <c r="G186" s="6"/>
      <c r="H186" s="6">
        <v>5</v>
      </c>
      <c r="I186" s="6"/>
    </row>
    <row r="187" spans="1:9" x14ac:dyDescent="0.2">
      <c r="A187" s="8" t="s">
        <v>1</v>
      </c>
      <c r="B187" s="5"/>
      <c r="C187" s="74" t="s">
        <v>1223</v>
      </c>
      <c r="D187" s="6" t="s">
        <v>347</v>
      </c>
      <c r="E187" s="6" t="s">
        <v>441</v>
      </c>
      <c r="F187" s="6">
        <v>1</v>
      </c>
      <c r="G187" s="6"/>
      <c r="H187" s="6">
        <v>4</v>
      </c>
      <c r="I187" s="6"/>
    </row>
    <row r="188" spans="1:9" x14ac:dyDescent="0.2">
      <c r="A188" s="8" t="s">
        <v>2</v>
      </c>
      <c r="B188" s="5"/>
      <c r="C188" s="74" t="s">
        <v>1224</v>
      </c>
      <c r="D188" s="6" t="s">
        <v>188</v>
      </c>
      <c r="E188" s="6" t="s">
        <v>165</v>
      </c>
      <c r="F188" s="6">
        <v>1</v>
      </c>
      <c r="G188" s="6"/>
      <c r="H188" s="6">
        <v>6</v>
      </c>
      <c r="I188" s="6"/>
    </row>
    <row r="189" spans="1:9" x14ac:dyDescent="0.2">
      <c r="A189" s="8" t="s">
        <v>3</v>
      </c>
      <c r="B189" s="5"/>
      <c r="C189" s="74" t="s">
        <v>1225</v>
      </c>
      <c r="D189" s="6" t="s">
        <v>253</v>
      </c>
      <c r="E189" s="6" t="s">
        <v>165</v>
      </c>
      <c r="F189" s="6"/>
      <c r="G189" s="6">
        <v>1</v>
      </c>
      <c r="H189" s="6">
        <v>6</v>
      </c>
      <c r="I189" s="6"/>
    </row>
    <row r="190" spans="1:9" x14ac:dyDescent="0.2">
      <c r="A190" s="8" t="s">
        <v>4</v>
      </c>
      <c r="B190" s="5"/>
      <c r="C190" s="74" t="s">
        <v>1226</v>
      </c>
      <c r="D190" s="6" t="s">
        <v>188</v>
      </c>
      <c r="E190" s="6" t="s">
        <v>165</v>
      </c>
      <c r="F190" s="6"/>
      <c r="G190" s="6">
        <v>1</v>
      </c>
      <c r="H190" s="6">
        <v>6</v>
      </c>
      <c r="I190" s="6"/>
    </row>
    <row r="191" spans="1:9" hidden="1" x14ac:dyDescent="0.2">
      <c r="A191" s="8" t="s">
        <v>5</v>
      </c>
      <c r="B191" s="5"/>
      <c r="C191" s="74"/>
      <c r="D191" s="6"/>
      <c r="E191" s="6"/>
      <c r="F191" s="6"/>
      <c r="G191" s="6"/>
      <c r="H191" s="6"/>
      <c r="I191" s="6"/>
    </row>
    <row r="192" spans="1:9" hidden="1" x14ac:dyDescent="0.2">
      <c r="A192" s="8" t="s">
        <v>6</v>
      </c>
      <c r="B192" s="5"/>
      <c r="C192" s="74"/>
      <c r="D192" s="6"/>
      <c r="E192" s="6"/>
      <c r="F192" s="6"/>
      <c r="G192" s="6"/>
      <c r="H192" s="6"/>
      <c r="I192" s="6"/>
    </row>
    <row r="193" spans="1:9" hidden="1" x14ac:dyDescent="0.2">
      <c r="A193" s="8" t="s">
        <v>7</v>
      </c>
      <c r="B193" s="5"/>
      <c r="C193" s="74"/>
      <c r="D193" s="6"/>
      <c r="E193" s="6"/>
      <c r="F193" s="6"/>
      <c r="G193" s="6"/>
      <c r="H193" s="6"/>
      <c r="I193" s="6"/>
    </row>
    <row r="194" spans="1:9" hidden="1" x14ac:dyDescent="0.2">
      <c r="A194" s="8" t="s">
        <v>8</v>
      </c>
      <c r="B194" s="5"/>
      <c r="C194" s="74"/>
      <c r="D194" s="6"/>
      <c r="E194" s="6"/>
      <c r="F194" s="6"/>
      <c r="G194" s="6"/>
      <c r="H194" s="6"/>
      <c r="I194" s="6"/>
    </row>
    <row r="195" spans="1:9" hidden="1" x14ac:dyDescent="0.2">
      <c r="A195" s="8" t="s">
        <v>9</v>
      </c>
      <c r="B195" s="5"/>
      <c r="C195" s="74"/>
      <c r="D195" s="6"/>
      <c r="E195" s="6"/>
      <c r="F195" s="6"/>
      <c r="G195" s="6"/>
      <c r="H195" s="6"/>
      <c r="I195" s="6"/>
    </row>
    <row r="196" spans="1:9" x14ac:dyDescent="0.2">
      <c r="A196" s="312" t="s">
        <v>10</v>
      </c>
      <c r="B196" s="313"/>
      <c r="C196" s="313"/>
      <c r="D196" s="313"/>
      <c r="E196" s="314"/>
      <c r="F196" s="11">
        <f>SUM(F186:F195)</f>
        <v>3</v>
      </c>
      <c r="G196" s="11">
        <f>SUM(G186:G195)</f>
        <v>2</v>
      </c>
      <c r="H196" s="11">
        <f>SUM(H186:H195)</f>
        <v>27</v>
      </c>
      <c r="I196" s="11"/>
    </row>
    <row r="197" spans="1:9" x14ac:dyDescent="0.2">
      <c r="A197" s="8" t="s">
        <v>0</v>
      </c>
      <c r="B197" s="5">
        <f>B186+1</f>
        <v>46123</v>
      </c>
      <c r="C197" s="74" t="s">
        <v>1261</v>
      </c>
      <c r="D197" s="6" t="s">
        <v>342</v>
      </c>
      <c r="E197" s="6" t="s">
        <v>165</v>
      </c>
      <c r="F197" s="6">
        <v>1</v>
      </c>
      <c r="G197" s="6"/>
      <c r="H197" s="6">
        <v>6</v>
      </c>
      <c r="I197" s="6"/>
    </row>
    <row r="198" spans="1:9" x14ac:dyDescent="0.2">
      <c r="A198" s="8" t="s">
        <v>1</v>
      </c>
      <c r="B198" s="5"/>
      <c r="C198" s="74" t="s">
        <v>1268</v>
      </c>
      <c r="D198" s="6" t="s">
        <v>342</v>
      </c>
      <c r="E198" s="6" t="s">
        <v>165</v>
      </c>
      <c r="F198" s="6">
        <v>1</v>
      </c>
      <c r="G198" s="6"/>
      <c r="H198" s="6">
        <v>6</v>
      </c>
      <c r="I198" s="6"/>
    </row>
    <row r="199" spans="1:9" x14ac:dyDescent="0.2">
      <c r="A199" s="8" t="s">
        <v>2</v>
      </c>
      <c r="B199" s="5"/>
      <c r="C199" s="74" t="s">
        <v>1269</v>
      </c>
      <c r="D199" s="6" t="s">
        <v>347</v>
      </c>
      <c r="E199" s="6" t="s">
        <v>441</v>
      </c>
      <c r="F199" s="6">
        <v>1</v>
      </c>
      <c r="G199" s="6"/>
      <c r="H199" s="6">
        <v>6</v>
      </c>
      <c r="I199" s="6"/>
    </row>
    <row r="200" spans="1:9" x14ac:dyDescent="0.2">
      <c r="A200" s="8" t="s">
        <v>3</v>
      </c>
      <c r="B200" s="5"/>
      <c r="C200" s="74" t="s">
        <v>1250</v>
      </c>
      <c r="D200" s="6" t="s">
        <v>342</v>
      </c>
      <c r="E200" s="6" t="s">
        <v>165</v>
      </c>
      <c r="F200" s="6">
        <v>1</v>
      </c>
      <c r="G200" s="6"/>
      <c r="H200" s="6">
        <v>4</v>
      </c>
      <c r="I200" s="6"/>
    </row>
    <row r="201" spans="1:9" hidden="1" x14ac:dyDescent="0.2">
      <c r="A201" s="8" t="s">
        <v>4</v>
      </c>
      <c r="B201" s="5"/>
      <c r="C201" s="74"/>
      <c r="D201" s="6"/>
      <c r="E201" s="6"/>
      <c r="F201" s="6"/>
      <c r="G201" s="6"/>
      <c r="H201" s="6"/>
      <c r="I201" s="6"/>
    </row>
    <row r="202" spans="1:9" hidden="1" x14ac:dyDescent="0.2">
      <c r="A202" s="8" t="s">
        <v>5</v>
      </c>
      <c r="B202" s="5"/>
      <c r="C202" s="74"/>
      <c r="D202" s="6"/>
      <c r="E202" s="6"/>
      <c r="F202" s="6"/>
      <c r="G202" s="6"/>
      <c r="H202" s="6"/>
      <c r="I202" s="6"/>
    </row>
    <row r="203" spans="1:9" hidden="1" x14ac:dyDescent="0.2">
      <c r="A203" s="8" t="s">
        <v>6</v>
      </c>
      <c r="B203" s="5"/>
      <c r="C203" s="74"/>
      <c r="D203" s="6"/>
      <c r="E203" s="6"/>
      <c r="F203" s="6"/>
      <c r="G203" s="6"/>
      <c r="H203" s="6"/>
      <c r="I203" s="6"/>
    </row>
    <row r="204" spans="1:9" hidden="1" x14ac:dyDescent="0.2">
      <c r="A204" s="8" t="s">
        <v>7</v>
      </c>
      <c r="B204" s="5"/>
      <c r="C204" s="74"/>
      <c r="D204" s="6"/>
      <c r="E204" s="6"/>
      <c r="F204" s="6"/>
      <c r="G204" s="6"/>
      <c r="H204" s="6"/>
      <c r="I204" s="6"/>
    </row>
    <row r="205" spans="1:9" hidden="1" x14ac:dyDescent="0.2">
      <c r="A205" s="8" t="s">
        <v>8</v>
      </c>
      <c r="B205" s="5"/>
      <c r="C205" s="74"/>
      <c r="D205" s="6"/>
      <c r="E205" s="6"/>
      <c r="F205" s="6"/>
      <c r="G205" s="6"/>
      <c r="H205" s="6"/>
      <c r="I205" s="6"/>
    </row>
    <row r="206" spans="1:9" hidden="1" x14ac:dyDescent="0.2">
      <c r="A206" s="8" t="s">
        <v>9</v>
      </c>
      <c r="B206" s="5"/>
      <c r="C206" s="74"/>
      <c r="D206" s="6"/>
      <c r="E206" s="6"/>
      <c r="F206" s="6"/>
      <c r="G206" s="6"/>
      <c r="H206" s="6"/>
      <c r="I206" s="6"/>
    </row>
    <row r="207" spans="1:9" x14ac:dyDescent="0.2">
      <c r="A207" s="312" t="s">
        <v>10</v>
      </c>
      <c r="B207" s="313"/>
      <c r="C207" s="313"/>
      <c r="D207" s="313"/>
      <c r="E207" s="314"/>
      <c r="F207" s="11">
        <f>SUM(F197:F206)</f>
        <v>4</v>
      </c>
      <c r="G207" s="11">
        <f>SUM(G197:G206)</f>
        <v>0</v>
      </c>
      <c r="H207" s="11">
        <f>SUM(H197:H206)</f>
        <v>22</v>
      </c>
      <c r="I207" s="11"/>
    </row>
    <row r="208" spans="1:9" hidden="1" x14ac:dyDescent="0.2">
      <c r="A208" s="8" t="s">
        <v>0</v>
      </c>
      <c r="B208" s="5">
        <f>B197+1</f>
        <v>46124</v>
      </c>
      <c r="C208" s="75"/>
      <c r="D208" s="6"/>
      <c r="E208" s="6"/>
      <c r="F208" s="6"/>
      <c r="G208" s="6"/>
      <c r="H208" s="6"/>
      <c r="I208" s="6"/>
    </row>
    <row r="209" spans="1:9" hidden="1" x14ac:dyDescent="0.2">
      <c r="A209" s="8" t="s">
        <v>1</v>
      </c>
      <c r="B209" s="5"/>
      <c r="C209" s="75"/>
      <c r="D209" s="6"/>
      <c r="E209" s="6"/>
      <c r="F209" s="6"/>
      <c r="G209" s="6"/>
      <c r="H209" s="6"/>
      <c r="I209" s="6"/>
    </row>
    <row r="210" spans="1:9" hidden="1" x14ac:dyDescent="0.2">
      <c r="A210" s="8" t="s">
        <v>2</v>
      </c>
      <c r="B210" s="5"/>
      <c r="C210" s="75"/>
      <c r="D210" s="6"/>
      <c r="E210" s="6"/>
      <c r="F210" s="6"/>
      <c r="G210" s="6"/>
      <c r="H210" s="6"/>
      <c r="I210" s="6"/>
    </row>
    <row r="211" spans="1:9" hidden="1" x14ac:dyDescent="0.2">
      <c r="A211" s="8" t="s">
        <v>3</v>
      </c>
      <c r="B211" s="5"/>
      <c r="C211" s="75"/>
      <c r="D211" s="6"/>
      <c r="E211" s="6"/>
      <c r="F211" s="6"/>
      <c r="G211" s="6"/>
      <c r="H211" s="6"/>
      <c r="I211" s="6"/>
    </row>
    <row r="212" spans="1:9" hidden="1" x14ac:dyDescent="0.2">
      <c r="A212" s="8" t="s">
        <v>4</v>
      </c>
      <c r="B212" s="5"/>
      <c r="C212" s="75"/>
      <c r="D212" s="6"/>
      <c r="E212" s="6"/>
      <c r="F212" s="6"/>
      <c r="G212" s="6"/>
      <c r="H212" s="6"/>
      <c r="I212" s="6"/>
    </row>
    <row r="213" spans="1:9" hidden="1" x14ac:dyDescent="0.2">
      <c r="A213" s="8" t="s">
        <v>5</v>
      </c>
      <c r="B213" s="5"/>
      <c r="C213" s="75"/>
      <c r="D213" s="6"/>
      <c r="E213" s="6"/>
      <c r="F213" s="6"/>
      <c r="G213" s="6"/>
      <c r="H213" s="6"/>
      <c r="I213" s="6"/>
    </row>
    <row r="214" spans="1:9" hidden="1" x14ac:dyDescent="0.2">
      <c r="A214" s="8" t="s">
        <v>6</v>
      </c>
      <c r="B214" s="5"/>
      <c r="C214" s="75"/>
      <c r="D214" s="6"/>
      <c r="E214" s="6"/>
      <c r="F214" s="6"/>
      <c r="G214" s="6"/>
      <c r="H214" s="6"/>
      <c r="I214" s="6"/>
    </row>
    <row r="215" spans="1:9" hidden="1" x14ac:dyDescent="0.2">
      <c r="A215" s="8" t="s">
        <v>7</v>
      </c>
      <c r="B215" s="5"/>
      <c r="C215" s="74"/>
      <c r="D215" s="6"/>
      <c r="E215" s="6"/>
      <c r="F215" s="6"/>
      <c r="G215" s="6"/>
      <c r="H215" s="6"/>
      <c r="I215" s="6"/>
    </row>
    <row r="216" spans="1:9" hidden="1" x14ac:dyDescent="0.2">
      <c r="A216" s="8" t="s">
        <v>8</v>
      </c>
      <c r="B216" s="5"/>
      <c r="C216" s="74"/>
      <c r="D216" s="6"/>
      <c r="E216" s="6"/>
      <c r="F216" s="6"/>
      <c r="G216" s="6"/>
      <c r="H216" s="6"/>
      <c r="I216" s="6"/>
    </row>
    <row r="217" spans="1:9" hidden="1" x14ac:dyDescent="0.2">
      <c r="A217" s="8" t="s">
        <v>9</v>
      </c>
      <c r="B217" s="5"/>
      <c r="C217" s="74"/>
      <c r="D217" s="6"/>
      <c r="E217" s="6"/>
      <c r="F217" s="6"/>
      <c r="G217" s="6"/>
      <c r="H217" s="6"/>
      <c r="I217" s="6"/>
    </row>
    <row r="218" spans="1:9" hidden="1" x14ac:dyDescent="0.2">
      <c r="A218" s="312" t="s">
        <v>10</v>
      </c>
      <c r="B218" s="313"/>
      <c r="C218" s="313"/>
      <c r="D218" s="313"/>
      <c r="E218" s="314"/>
      <c r="F218" s="11">
        <f>SUM(F208:F217)</f>
        <v>0</v>
      </c>
      <c r="G218" s="11">
        <f>SUM(G208:G217)</f>
        <v>0</v>
      </c>
      <c r="H218" s="11">
        <f>SUM(H208:H217)</f>
        <v>0</v>
      </c>
      <c r="I218" s="11"/>
    </row>
    <row r="219" spans="1:9" hidden="1" x14ac:dyDescent="0.2">
      <c r="A219" s="8" t="s">
        <v>0</v>
      </c>
      <c r="B219" s="5">
        <f>B208+1</f>
        <v>46125</v>
      </c>
      <c r="C219" s="75"/>
      <c r="D219" s="6"/>
      <c r="E219" s="6"/>
      <c r="F219" s="6"/>
      <c r="G219" s="6"/>
      <c r="H219" s="6"/>
      <c r="I219" s="6"/>
    </row>
    <row r="220" spans="1:9" hidden="1" x14ac:dyDescent="0.2">
      <c r="A220" s="8" t="s">
        <v>1</v>
      </c>
      <c r="B220" s="5"/>
      <c r="C220" s="75"/>
      <c r="D220" s="6"/>
      <c r="E220" s="6"/>
      <c r="F220" s="6"/>
      <c r="G220" s="6"/>
      <c r="H220" s="6"/>
      <c r="I220" s="6"/>
    </row>
    <row r="221" spans="1:9" hidden="1" x14ac:dyDescent="0.2">
      <c r="A221" s="8" t="s">
        <v>2</v>
      </c>
      <c r="B221" s="5"/>
      <c r="C221" s="75"/>
      <c r="D221" s="6"/>
      <c r="E221" s="6"/>
      <c r="F221" s="6"/>
      <c r="G221" s="6"/>
      <c r="H221" s="6"/>
      <c r="I221" s="6"/>
    </row>
    <row r="222" spans="1:9" hidden="1" x14ac:dyDescent="0.2">
      <c r="A222" s="8" t="s">
        <v>3</v>
      </c>
      <c r="B222" s="5"/>
      <c r="C222" s="75"/>
      <c r="D222" s="6"/>
      <c r="E222" s="6"/>
      <c r="F222" s="6"/>
      <c r="G222" s="6"/>
      <c r="H222" s="6"/>
      <c r="I222" s="6"/>
    </row>
    <row r="223" spans="1:9" hidden="1" x14ac:dyDescent="0.2">
      <c r="A223" s="8" t="s">
        <v>4</v>
      </c>
      <c r="B223" s="5"/>
      <c r="C223" s="75"/>
      <c r="D223" s="6"/>
      <c r="E223" s="6"/>
      <c r="F223" s="6"/>
      <c r="G223" s="6"/>
      <c r="H223" s="6"/>
      <c r="I223" s="6"/>
    </row>
    <row r="224" spans="1:9" hidden="1" x14ac:dyDescent="0.2">
      <c r="A224" s="8" t="s">
        <v>5</v>
      </c>
      <c r="B224" s="5"/>
      <c r="C224" s="75"/>
      <c r="D224" s="6"/>
      <c r="E224" s="6"/>
      <c r="F224" s="6"/>
      <c r="G224" s="6"/>
      <c r="H224" s="6"/>
      <c r="I224" s="6"/>
    </row>
    <row r="225" spans="1:9" hidden="1" x14ac:dyDescent="0.2">
      <c r="A225" s="8" t="s">
        <v>6</v>
      </c>
      <c r="B225" s="5"/>
      <c r="C225" s="74"/>
      <c r="D225" s="6"/>
      <c r="E225" s="6"/>
      <c r="F225" s="6"/>
      <c r="G225" s="6"/>
      <c r="H225" s="6"/>
      <c r="I225" s="6"/>
    </row>
    <row r="226" spans="1:9" hidden="1" x14ac:dyDescent="0.2">
      <c r="A226" s="8" t="s">
        <v>7</v>
      </c>
      <c r="B226" s="5"/>
      <c r="C226" s="74"/>
      <c r="D226" s="6"/>
      <c r="E226" s="6"/>
      <c r="F226" s="6"/>
      <c r="G226" s="6"/>
      <c r="H226" s="6"/>
      <c r="I226" s="6"/>
    </row>
    <row r="227" spans="1:9" hidden="1" x14ac:dyDescent="0.2">
      <c r="A227" s="8" t="s">
        <v>8</v>
      </c>
      <c r="B227" s="5"/>
      <c r="C227" s="74"/>
      <c r="D227" s="6"/>
      <c r="E227" s="6"/>
      <c r="F227" s="6"/>
      <c r="G227" s="6"/>
      <c r="H227" s="6"/>
      <c r="I227" s="6"/>
    </row>
    <row r="228" spans="1:9" hidden="1" x14ac:dyDescent="0.2">
      <c r="A228" s="8" t="s">
        <v>9</v>
      </c>
      <c r="B228" s="5"/>
      <c r="C228" s="74"/>
      <c r="D228" s="6"/>
      <c r="E228" s="6"/>
      <c r="F228" s="6"/>
      <c r="G228" s="6"/>
      <c r="H228" s="6"/>
      <c r="I228" s="6"/>
    </row>
    <row r="229" spans="1:9" hidden="1" x14ac:dyDescent="0.2">
      <c r="A229" s="312" t="s">
        <v>10</v>
      </c>
      <c r="B229" s="313"/>
      <c r="C229" s="313"/>
      <c r="D229" s="313"/>
      <c r="E229" s="314"/>
      <c r="F229" s="11">
        <f>SUM(F219:F228)</f>
        <v>0</v>
      </c>
      <c r="G229" s="11">
        <f>SUM(G219:G228)</f>
        <v>0</v>
      </c>
      <c r="H229" s="11">
        <f>SUM(H219:H228)</f>
        <v>0</v>
      </c>
      <c r="I229" s="11"/>
    </row>
    <row r="230" spans="1:9" hidden="1" x14ac:dyDescent="0.2">
      <c r="A230" s="8" t="s">
        <v>0</v>
      </c>
      <c r="B230" s="5">
        <f>B219+1</f>
        <v>46126</v>
      </c>
      <c r="C230" s="75"/>
      <c r="D230" s="6"/>
      <c r="E230" s="6"/>
      <c r="F230" s="6"/>
      <c r="G230" s="6"/>
      <c r="H230" s="6"/>
      <c r="I230" s="6"/>
    </row>
    <row r="231" spans="1:9" hidden="1" x14ac:dyDescent="0.2">
      <c r="A231" s="8" t="s">
        <v>1</v>
      </c>
      <c r="B231" s="5"/>
      <c r="C231" s="75"/>
      <c r="D231" s="6"/>
      <c r="E231" s="6"/>
      <c r="F231" s="6"/>
      <c r="G231" s="6"/>
      <c r="H231" s="6"/>
      <c r="I231" s="6"/>
    </row>
    <row r="232" spans="1:9" hidden="1" x14ac:dyDescent="0.2">
      <c r="A232" s="8" t="s">
        <v>2</v>
      </c>
      <c r="B232" s="5"/>
      <c r="C232" s="75"/>
      <c r="D232" s="6"/>
      <c r="E232" s="6"/>
      <c r="F232" s="6"/>
      <c r="G232" s="6"/>
      <c r="H232" s="6"/>
      <c r="I232" s="6"/>
    </row>
    <row r="233" spans="1:9" hidden="1" x14ac:dyDescent="0.2">
      <c r="A233" s="8" t="s">
        <v>3</v>
      </c>
      <c r="B233" s="5"/>
      <c r="C233" s="75"/>
      <c r="D233" s="6"/>
      <c r="E233" s="6"/>
      <c r="F233" s="6"/>
      <c r="G233" s="6"/>
      <c r="H233" s="6"/>
      <c r="I233" s="6"/>
    </row>
    <row r="234" spans="1:9" hidden="1" x14ac:dyDescent="0.2">
      <c r="A234" s="8" t="s">
        <v>4</v>
      </c>
      <c r="B234" s="5"/>
      <c r="C234" s="75"/>
      <c r="D234" s="6"/>
      <c r="E234" s="6"/>
      <c r="F234" s="6"/>
      <c r="G234" s="6"/>
      <c r="H234" s="6"/>
      <c r="I234" s="6"/>
    </row>
    <row r="235" spans="1:9" hidden="1" x14ac:dyDescent="0.2">
      <c r="A235" s="8" t="s">
        <v>5</v>
      </c>
      <c r="B235" s="5"/>
      <c r="C235" s="75"/>
      <c r="D235" s="6"/>
      <c r="E235" s="6"/>
      <c r="F235" s="6"/>
      <c r="G235" s="6"/>
      <c r="H235" s="6"/>
      <c r="I235" s="6"/>
    </row>
    <row r="236" spans="1:9" hidden="1" x14ac:dyDescent="0.2">
      <c r="A236" s="8" t="s">
        <v>6</v>
      </c>
      <c r="B236" s="5"/>
      <c r="C236" s="75"/>
      <c r="D236" s="6"/>
      <c r="E236" s="6"/>
      <c r="F236" s="6"/>
      <c r="G236" s="6"/>
      <c r="H236" s="6"/>
      <c r="I236" s="6"/>
    </row>
    <row r="237" spans="1:9" hidden="1" x14ac:dyDescent="0.2">
      <c r="A237" s="8" t="s">
        <v>7</v>
      </c>
      <c r="B237" s="5"/>
      <c r="C237" s="75"/>
      <c r="D237" s="6"/>
      <c r="E237" s="6"/>
      <c r="F237" s="6"/>
      <c r="G237" s="6"/>
      <c r="H237" s="6"/>
      <c r="I237" s="6"/>
    </row>
    <row r="238" spans="1:9" hidden="1" x14ac:dyDescent="0.2">
      <c r="A238" s="8" t="s">
        <v>8</v>
      </c>
      <c r="B238" s="5"/>
      <c r="C238" s="75"/>
      <c r="D238" s="6"/>
      <c r="E238" s="6"/>
      <c r="F238" s="6"/>
      <c r="G238" s="6"/>
      <c r="H238" s="6"/>
      <c r="I238" s="6"/>
    </row>
    <row r="239" spans="1:9" hidden="1" x14ac:dyDescent="0.2">
      <c r="A239" s="8" t="s">
        <v>9</v>
      </c>
      <c r="B239" s="5"/>
      <c r="C239" s="75"/>
      <c r="D239" s="6"/>
      <c r="E239" s="6"/>
      <c r="F239" s="6"/>
      <c r="G239" s="6"/>
      <c r="H239" s="6"/>
      <c r="I239" s="6"/>
    </row>
    <row r="240" spans="1:9" hidden="1" x14ac:dyDescent="0.2">
      <c r="A240" s="312" t="s">
        <v>10</v>
      </c>
      <c r="B240" s="313"/>
      <c r="C240" s="313"/>
      <c r="D240" s="313"/>
      <c r="E240" s="314"/>
      <c r="F240" s="11">
        <f>SUM(F230:F239)</f>
        <v>0</v>
      </c>
      <c r="G240" s="11">
        <f>SUM(G230:G239)</f>
        <v>0</v>
      </c>
      <c r="H240" s="11">
        <f>SUM(H230:H239)</f>
        <v>0</v>
      </c>
      <c r="I240" s="11"/>
    </row>
    <row r="241" spans="1:9" hidden="1" x14ac:dyDescent="0.2">
      <c r="A241" s="8" t="s">
        <v>0</v>
      </c>
      <c r="B241" s="5">
        <f>B230+1</f>
        <v>46127</v>
      </c>
      <c r="C241" s="74"/>
      <c r="D241" s="6"/>
      <c r="E241" s="6"/>
      <c r="F241" s="6"/>
      <c r="G241" s="6"/>
      <c r="H241" s="6"/>
      <c r="I241" s="6"/>
    </row>
    <row r="242" spans="1:9" hidden="1" x14ac:dyDescent="0.2">
      <c r="A242" s="8" t="s">
        <v>1</v>
      </c>
      <c r="B242" s="5"/>
      <c r="C242" s="74"/>
      <c r="D242" s="6"/>
      <c r="E242" s="6"/>
      <c r="F242" s="6"/>
      <c r="G242" s="6"/>
      <c r="H242" s="6"/>
      <c r="I242" s="6"/>
    </row>
    <row r="243" spans="1:9" hidden="1" x14ac:dyDescent="0.2">
      <c r="A243" s="8" t="s">
        <v>2</v>
      </c>
      <c r="B243" s="5"/>
      <c r="C243" s="74"/>
      <c r="D243" s="6"/>
      <c r="E243" s="6"/>
      <c r="F243" s="6"/>
      <c r="G243" s="6"/>
      <c r="H243" s="6"/>
      <c r="I243" s="6"/>
    </row>
    <row r="244" spans="1:9" hidden="1" x14ac:dyDescent="0.2">
      <c r="A244" s="8" t="s">
        <v>3</v>
      </c>
      <c r="B244" s="5"/>
      <c r="C244" s="74"/>
      <c r="D244" s="6"/>
      <c r="E244" s="6"/>
      <c r="F244" s="6"/>
      <c r="G244" s="6"/>
      <c r="H244" s="6"/>
      <c r="I244" s="6"/>
    </row>
    <row r="245" spans="1:9" hidden="1" x14ac:dyDescent="0.2">
      <c r="A245" s="8" t="s">
        <v>4</v>
      </c>
      <c r="B245" s="5"/>
      <c r="C245" s="74"/>
      <c r="D245" s="6"/>
      <c r="E245" s="6"/>
      <c r="F245" s="6"/>
      <c r="G245" s="6"/>
      <c r="H245" s="6"/>
      <c r="I245" s="6"/>
    </row>
    <row r="246" spans="1:9" hidden="1" x14ac:dyDescent="0.2">
      <c r="A246" s="8" t="s">
        <v>5</v>
      </c>
      <c r="B246" s="5"/>
      <c r="C246" s="74"/>
      <c r="D246" s="6"/>
      <c r="E246" s="6"/>
      <c r="F246" s="6"/>
      <c r="G246" s="6"/>
      <c r="H246" s="6"/>
      <c r="I246" s="6"/>
    </row>
    <row r="247" spans="1:9" hidden="1" x14ac:dyDescent="0.2">
      <c r="A247" s="8" t="s">
        <v>6</v>
      </c>
      <c r="B247" s="5"/>
      <c r="C247" s="74"/>
      <c r="D247" s="6"/>
      <c r="E247" s="6"/>
      <c r="F247" s="6"/>
      <c r="G247" s="6"/>
      <c r="H247" s="6"/>
      <c r="I247" s="6"/>
    </row>
    <row r="248" spans="1:9" hidden="1" x14ac:dyDescent="0.2">
      <c r="A248" s="8" t="s">
        <v>7</v>
      </c>
      <c r="B248" s="5"/>
      <c r="C248" s="74"/>
      <c r="D248" s="6"/>
      <c r="E248" s="6"/>
      <c r="F248" s="6"/>
      <c r="G248" s="6"/>
      <c r="H248" s="6"/>
      <c r="I248" s="6"/>
    </row>
    <row r="249" spans="1:9" hidden="1" x14ac:dyDescent="0.2">
      <c r="A249" s="8" t="s">
        <v>8</v>
      </c>
      <c r="B249" s="5"/>
      <c r="C249" s="74"/>
      <c r="D249" s="6"/>
      <c r="E249" s="6"/>
      <c r="F249" s="6"/>
      <c r="G249" s="6"/>
      <c r="H249" s="6"/>
      <c r="I249" s="6"/>
    </row>
    <row r="250" spans="1:9" hidden="1" x14ac:dyDescent="0.2">
      <c r="A250" s="8" t="s">
        <v>9</v>
      </c>
      <c r="B250" s="5"/>
      <c r="C250" s="74"/>
      <c r="D250" s="6"/>
      <c r="E250" s="6"/>
      <c r="F250" s="6"/>
      <c r="G250" s="6"/>
      <c r="H250" s="6"/>
      <c r="I250" s="6"/>
    </row>
    <row r="251" spans="1:9" hidden="1" x14ac:dyDescent="0.2">
      <c r="A251" s="312" t="s">
        <v>10</v>
      </c>
      <c r="B251" s="313"/>
      <c r="C251" s="313"/>
      <c r="D251" s="313"/>
      <c r="E251" s="314"/>
      <c r="F251" s="11">
        <f>SUM(F241:F250)</f>
        <v>0</v>
      </c>
      <c r="G251" s="11">
        <f>SUM(G241:G250)</f>
        <v>0</v>
      </c>
      <c r="H251" s="11">
        <f>SUM(H241:H250)</f>
        <v>0</v>
      </c>
      <c r="I251" s="11"/>
    </row>
    <row r="252" spans="1:9" s="25" customFormat="1" ht="18" x14ac:dyDescent="0.2">
      <c r="A252" s="315" t="s">
        <v>39</v>
      </c>
      <c r="B252" s="316"/>
      <c r="C252" s="316"/>
      <c r="D252" s="316"/>
      <c r="E252" s="317"/>
      <c r="F252" s="22">
        <f>F185+F196+F207+F218+F229+F240+F251+F168</f>
        <v>49</v>
      </c>
      <c r="G252" s="22">
        <f>G185+G196+G207+G218+G229+G240+G251+G168</f>
        <v>10</v>
      </c>
      <c r="H252" s="22">
        <f>H185+H196+H207+H218+H229+H240+H251+H168</f>
        <v>320</v>
      </c>
      <c r="I252" s="22"/>
    </row>
    <row r="253" spans="1:9" ht="21.95" customHeight="1" x14ac:dyDescent="0.2">
      <c r="A253" s="319" t="s">
        <v>14</v>
      </c>
      <c r="B253" s="319"/>
      <c r="C253" s="319"/>
      <c r="D253" s="319"/>
      <c r="E253" s="319"/>
      <c r="F253" s="319"/>
      <c r="G253" s="319"/>
      <c r="H253" s="319"/>
      <c r="I253" s="319"/>
    </row>
    <row r="254" spans="1:9" s="53" customFormat="1" ht="20.100000000000001" customHeight="1" x14ac:dyDescent="0.2">
      <c r="A254" s="323" t="s">
        <v>86</v>
      </c>
      <c r="B254" s="323"/>
      <c r="C254" s="323"/>
      <c r="D254" s="323"/>
      <c r="E254" s="323"/>
      <c r="F254" s="50" t="str">
        <f>F170</f>
        <v>เมษายน</v>
      </c>
      <c r="G254" s="50" t="s">
        <v>87</v>
      </c>
      <c r="H254" s="51">
        <f>H170</f>
        <v>2569</v>
      </c>
      <c r="I254" s="52"/>
    </row>
    <row r="255" spans="1:9" s="3" customFormat="1" ht="20.100000000000001" customHeight="1" x14ac:dyDescent="0.35">
      <c r="A255" s="318" t="s">
        <v>38</v>
      </c>
      <c r="B255" s="318"/>
      <c r="C255" s="318"/>
      <c r="D255" s="2"/>
      <c r="F255" s="4"/>
      <c r="G255" s="4"/>
      <c r="H255" s="4" t="s">
        <v>21</v>
      </c>
      <c r="I255" s="40">
        <f>I171+1</f>
        <v>4</v>
      </c>
    </row>
    <row r="256" spans="1:9" s="3" customFormat="1" ht="20.100000000000001" customHeight="1" x14ac:dyDescent="0.35">
      <c r="A256" s="311" t="s">
        <v>68</v>
      </c>
      <c r="B256" s="311"/>
      <c r="C256" s="311"/>
      <c r="D256" s="2"/>
      <c r="E256" s="39" t="s">
        <v>81</v>
      </c>
      <c r="F256" s="308">
        <f>F172</f>
        <v>46107</v>
      </c>
      <c r="G256" s="308"/>
      <c r="H256" s="39" t="s">
        <v>82</v>
      </c>
      <c r="I256" s="34">
        <f>I172</f>
        <v>46136</v>
      </c>
    </row>
    <row r="257" spans="1:9" x14ac:dyDescent="0.2">
      <c r="A257" s="12" t="s">
        <v>23</v>
      </c>
      <c r="B257" s="13" t="s">
        <v>11</v>
      </c>
      <c r="C257" s="72" t="s">
        <v>26</v>
      </c>
      <c r="D257" s="12" t="s">
        <v>16</v>
      </c>
      <c r="E257" s="12" t="s">
        <v>17</v>
      </c>
      <c r="F257" s="310" t="s">
        <v>46</v>
      </c>
      <c r="G257" s="310"/>
      <c r="H257" s="310"/>
      <c r="I257" s="12" t="s">
        <v>19</v>
      </c>
    </row>
    <row r="258" spans="1:9" x14ac:dyDescent="0.2">
      <c r="A258" s="15"/>
      <c r="B258" s="16"/>
      <c r="C258" s="73"/>
      <c r="D258" s="15"/>
      <c r="E258" s="15"/>
      <c r="F258" s="21" t="s">
        <v>113</v>
      </c>
      <c r="G258" s="21" t="s">
        <v>114</v>
      </c>
      <c r="H258" s="21" t="s">
        <v>20</v>
      </c>
      <c r="I258" s="15"/>
    </row>
    <row r="259" spans="1:9" hidden="1" x14ac:dyDescent="0.2">
      <c r="A259" s="8" t="s">
        <v>0</v>
      </c>
      <c r="B259" s="5">
        <f>B241+1</f>
        <v>46128</v>
      </c>
      <c r="C259" s="74"/>
      <c r="D259" s="6"/>
      <c r="E259" s="6"/>
      <c r="F259" s="6"/>
      <c r="G259" s="6"/>
      <c r="H259" s="6"/>
      <c r="I259" s="6"/>
    </row>
    <row r="260" spans="1:9" hidden="1" x14ac:dyDescent="0.2">
      <c r="A260" s="8" t="s">
        <v>1</v>
      </c>
      <c r="B260" s="5"/>
      <c r="C260" s="74"/>
      <c r="D260" s="6"/>
      <c r="E260" s="6"/>
      <c r="F260" s="6"/>
      <c r="G260" s="6"/>
      <c r="H260" s="6"/>
      <c r="I260" s="6"/>
    </row>
    <row r="261" spans="1:9" hidden="1" x14ac:dyDescent="0.2">
      <c r="A261" s="8" t="s">
        <v>2</v>
      </c>
      <c r="B261" s="5"/>
      <c r="C261" s="74"/>
      <c r="D261" s="6"/>
      <c r="E261" s="6"/>
      <c r="F261" s="6"/>
      <c r="G261" s="6"/>
      <c r="H261" s="6"/>
      <c r="I261" s="6"/>
    </row>
    <row r="262" spans="1:9" hidden="1" x14ac:dyDescent="0.2">
      <c r="A262" s="8" t="s">
        <v>3</v>
      </c>
      <c r="B262" s="5"/>
      <c r="C262" s="74"/>
      <c r="D262" s="6"/>
      <c r="E262" s="6"/>
      <c r="F262" s="6"/>
      <c r="G262" s="6"/>
      <c r="H262" s="6"/>
      <c r="I262" s="6"/>
    </row>
    <row r="263" spans="1:9" hidden="1" x14ac:dyDescent="0.2">
      <c r="A263" s="8" t="s">
        <v>4</v>
      </c>
      <c r="B263" s="5"/>
      <c r="C263" s="74"/>
      <c r="D263" s="6"/>
      <c r="E263" s="6"/>
      <c r="F263" s="6"/>
      <c r="G263" s="6"/>
      <c r="H263" s="6"/>
      <c r="I263" s="6"/>
    </row>
    <row r="264" spans="1:9" hidden="1" x14ac:dyDescent="0.2">
      <c r="A264" s="8" t="s">
        <v>5</v>
      </c>
      <c r="B264" s="5"/>
      <c r="C264" s="74"/>
      <c r="D264" s="6"/>
      <c r="E264" s="6"/>
      <c r="F264" s="6"/>
      <c r="G264" s="6"/>
      <c r="H264" s="6"/>
      <c r="I264" s="6"/>
    </row>
    <row r="265" spans="1:9" hidden="1" x14ac:dyDescent="0.2">
      <c r="A265" s="8" t="s">
        <v>6</v>
      </c>
      <c r="B265" s="5"/>
      <c r="C265" s="74"/>
      <c r="D265" s="6"/>
      <c r="E265" s="6"/>
      <c r="F265" s="6"/>
      <c r="G265" s="6"/>
      <c r="H265" s="6"/>
      <c r="I265" s="6"/>
    </row>
    <row r="266" spans="1:9" hidden="1" x14ac:dyDescent="0.2">
      <c r="A266" s="8" t="s">
        <v>7</v>
      </c>
      <c r="B266" s="5"/>
      <c r="C266" s="74"/>
      <c r="D266" s="6"/>
      <c r="E266" s="6"/>
      <c r="F266" s="6"/>
      <c r="G266" s="6"/>
      <c r="H266" s="6"/>
      <c r="I266" s="6"/>
    </row>
    <row r="267" spans="1:9" hidden="1" x14ac:dyDescent="0.2">
      <c r="A267" s="8" t="s">
        <v>8</v>
      </c>
      <c r="B267" s="5"/>
      <c r="C267" s="74"/>
      <c r="D267" s="6"/>
      <c r="E267" s="6"/>
      <c r="F267" s="6"/>
      <c r="G267" s="6"/>
      <c r="H267" s="6"/>
      <c r="I267" s="6"/>
    </row>
    <row r="268" spans="1:9" hidden="1" x14ac:dyDescent="0.2">
      <c r="A268" s="8" t="s">
        <v>9</v>
      </c>
      <c r="B268" s="5"/>
      <c r="C268" s="74"/>
      <c r="D268" s="6"/>
      <c r="E268" s="6"/>
      <c r="F268" s="6"/>
      <c r="G268" s="6"/>
      <c r="H268" s="6"/>
      <c r="I268" s="6"/>
    </row>
    <row r="269" spans="1:9" hidden="1" x14ac:dyDescent="0.2">
      <c r="A269" s="312" t="s">
        <v>10</v>
      </c>
      <c r="B269" s="313"/>
      <c r="C269" s="313"/>
      <c r="D269" s="313"/>
      <c r="E269" s="314"/>
      <c r="F269" s="11">
        <f>SUM(F259:F268)</f>
        <v>0</v>
      </c>
      <c r="G269" s="11">
        <f>SUM(G259:G268)</f>
        <v>0</v>
      </c>
      <c r="H269" s="11">
        <f>SUM(H259:H268)</f>
        <v>0</v>
      </c>
      <c r="I269" s="11"/>
    </row>
    <row r="270" spans="1:9" hidden="1" x14ac:dyDescent="0.2">
      <c r="A270" s="8" t="s">
        <v>0</v>
      </c>
      <c r="B270" s="5">
        <f>B259+1</f>
        <v>46129</v>
      </c>
      <c r="C270" s="74"/>
      <c r="D270" s="6"/>
      <c r="E270" s="6"/>
      <c r="F270" s="6"/>
      <c r="G270" s="6"/>
      <c r="H270" s="6"/>
      <c r="I270" s="6"/>
    </row>
    <row r="271" spans="1:9" hidden="1" x14ac:dyDescent="0.2">
      <c r="A271" s="8" t="s">
        <v>1</v>
      </c>
      <c r="B271" s="5"/>
      <c r="C271" s="74"/>
      <c r="D271" s="6"/>
      <c r="E271" s="6"/>
      <c r="F271" s="6"/>
      <c r="G271" s="6"/>
      <c r="H271" s="6"/>
      <c r="I271" s="6"/>
    </row>
    <row r="272" spans="1:9" hidden="1" x14ac:dyDescent="0.2">
      <c r="A272" s="8" t="s">
        <v>2</v>
      </c>
      <c r="B272" s="5"/>
      <c r="C272" s="74"/>
      <c r="D272" s="6"/>
      <c r="E272" s="6"/>
      <c r="F272" s="6"/>
      <c r="G272" s="6"/>
      <c r="H272" s="6"/>
      <c r="I272" s="6"/>
    </row>
    <row r="273" spans="1:9" hidden="1" x14ac:dyDescent="0.2">
      <c r="A273" s="8" t="s">
        <v>3</v>
      </c>
      <c r="B273" s="5"/>
      <c r="C273" s="74"/>
      <c r="D273" s="6"/>
      <c r="E273" s="6"/>
      <c r="F273" s="6"/>
      <c r="G273" s="6"/>
      <c r="H273" s="6"/>
      <c r="I273" s="6"/>
    </row>
    <row r="274" spans="1:9" hidden="1" x14ac:dyDescent="0.2">
      <c r="A274" s="8" t="s">
        <v>4</v>
      </c>
      <c r="B274" s="5"/>
      <c r="C274" s="74"/>
      <c r="D274" s="6"/>
      <c r="E274" s="6"/>
      <c r="F274" s="6"/>
      <c r="G274" s="6"/>
      <c r="H274" s="6"/>
      <c r="I274" s="6"/>
    </row>
    <row r="275" spans="1:9" hidden="1" x14ac:dyDescent="0.2">
      <c r="A275" s="8" t="s">
        <v>5</v>
      </c>
      <c r="B275" s="5"/>
      <c r="C275" s="74"/>
      <c r="D275" s="6"/>
      <c r="E275" s="6"/>
      <c r="F275" s="6"/>
      <c r="G275" s="6"/>
      <c r="H275" s="6"/>
      <c r="I275" s="6"/>
    </row>
    <row r="276" spans="1:9" hidden="1" x14ac:dyDescent="0.2">
      <c r="A276" s="8" t="s">
        <v>6</v>
      </c>
      <c r="B276" s="5"/>
      <c r="C276" s="74"/>
      <c r="D276" s="6"/>
      <c r="E276" s="6"/>
      <c r="F276" s="6"/>
      <c r="G276" s="6"/>
      <c r="H276" s="6"/>
      <c r="I276" s="6"/>
    </row>
    <row r="277" spans="1:9" hidden="1" x14ac:dyDescent="0.2">
      <c r="A277" s="8" t="s">
        <v>7</v>
      </c>
      <c r="B277" s="5"/>
      <c r="C277" s="74"/>
      <c r="D277" s="6"/>
      <c r="E277" s="6"/>
      <c r="F277" s="6"/>
      <c r="G277" s="6"/>
      <c r="H277" s="6"/>
      <c r="I277" s="6"/>
    </row>
    <row r="278" spans="1:9" hidden="1" x14ac:dyDescent="0.2">
      <c r="A278" s="8" t="s">
        <v>8</v>
      </c>
      <c r="B278" s="5"/>
      <c r="C278" s="74"/>
      <c r="D278" s="6"/>
      <c r="E278" s="6"/>
      <c r="F278" s="6"/>
      <c r="G278" s="6"/>
      <c r="H278" s="6"/>
      <c r="I278" s="6"/>
    </row>
    <row r="279" spans="1:9" hidden="1" x14ac:dyDescent="0.2">
      <c r="A279" s="8" t="s">
        <v>9</v>
      </c>
      <c r="B279" s="5"/>
      <c r="C279" s="74"/>
      <c r="D279" s="6"/>
      <c r="E279" s="6"/>
      <c r="F279" s="6"/>
      <c r="G279" s="6"/>
      <c r="H279" s="6"/>
      <c r="I279" s="6"/>
    </row>
    <row r="280" spans="1:9" hidden="1" x14ac:dyDescent="0.2">
      <c r="A280" s="312" t="s">
        <v>10</v>
      </c>
      <c r="B280" s="313"/>
      <c r="C280" s="313"/>
      <c r="D280" s="313"/>
      <c r="E280" s="314"/>
      <c r="F280" s="11">
        <f>SUM(F270:F279)</f>
        <v>0</v>
      </c>
      <c r="G280" s="11">
        <f>SUM(G270:G279)</f>
        <v>0</v>
      </c>
      <c r="H280" s="11">
        <f>SUM(H270:H279)</f>
        <v>0</v>
      </c>
      <c r="I280" s="11"/>
    </row>
    <row r="281" spans="1:9" hidden="1" x14ac:dyDescent="0.2">
      <c r="A281" s="8" t="s">
        <v>0</v>
      </c>
      <c r="B281" s="5">
        <f>B270+1</f>
        <v>46130</v>
      </c>
      <c r="C281" s="74"/>
      <c r="D281" s="6"/>
      <c r="E281" s="6"/>
      <c r="F281" s="6"/>
      <c r="G281" s="6"/>
      <c r="H281" s="6"/>
      <c r="I281" s="6"/>
    </row>
    <row r="282" spans="1:9" hidden="1" x14ac:dyDescent="0.2">
      <c r="A282" s="8" t="s">
        <v>1</v>
      </c>
      <c r="B282" s="5"/>
      <c r="C282" s="74"/>
      <c r="D282" s="6"/>
      <c r="E282" s="6"/>
      <c r="F282" s="6"/>
      <c r="G282" s="6"/>
      <c r="H282" s="6"/>
      <c r="I282" s="6"/>
    </row>
    <row r="283" spans="1:9" hidden="1" x14ac:dyDescent="0.2">
      <c r="A283" s="8" t="s">
        <v>2</v>
      </c>
      <c r="B283" s="5"/>
      <c r="C283" s="74"/>
      <c r="D283" s="6"/>
      <c r="E283" s="6"/>
      <c r="F283" s="6"/>
      <c r="G283" s="6"/>
      <c r="H283" s="6"/>
      <c r="I283" s="6"/>
    </row>
    <row r="284" spans="1:9" hidden="1" x14ac:dyDescent="0.2">
      <c r="A284" s="8" t="s">
        <v>3</v>
      </c>
      <c r="B284" s="5"/>
      <c r="C284" s="74"/>
      <c r="D284" s="6"/>
      <c r="E284" s="6"/>
      <c r="F284" s="6"/>
      <c r="G284" s="6"/>
      <c r="H284" s="6"/>
      <c r="I284" s="6"/>
    </row>
    <row r="285" spans="1:9" hidden="1" x14ac:dyDescent="0.2">
      <c r="A285" s="8" t="s">
        <v>4</v>
      </c>
      <c r="B285" s="5"/>
      <c r="C285" s="74"/>
      <c r="D285" s="6"/>
      <c r="E285" s="6"/>
      <c r="F285" s="6"/>
      <c r="G285" s="6"/>
      <c r="H285" s="6"/>
      <c r="I285" s="6"/>
    </row>
    <row r="286" spans="1:9" hidden="1" x14ac:dyDescent="0.2">
      <c r="A286" s="8" t="s">
        <v>5</v>
      </c>
      <c r="B286" s="5"/>
      <c r="C286" s="74"/>
      <c r="D286" s="6"/>
      <c r="E286" s="6"/>
      <c r="F286" s="6"/>
      <c r="G286" s="6"/>
      <c r="H286" s="6"/>
      <c r="I286" s="6"/>
    </row>
    <row r="287" spans="1:9" hidden="1" x14ac:dyDescent="0.2">
      <c r="A287" s="8" t="s">
        <v>6</v>
      </c>
      <c r="B287" s="5"/>
      <c r="C287" s="74"/>
      <c r="D287" s="6"/>
      <c r="E287" s="6"/>
      <c r="F287" s="6"/>
      <c r="G287" s="6"/>
      <c r="H287" s="6"/>
      <c r="I287" s="6"/>
    </row>
    <row r="288" spans="1:9" hidden="1" x14ac:dyDescent="0.2">
      <c r="A288" s="8" t="s">
        <v>7</v>
      </c>
      <c r="B288" s="5"/>
      <c r="C288" s="74"/>
      <c r="D288" s="6"/>
      <c r="E288" s="6"/>
      <c r="F288" s="6"/>
      <c r="G288" s="6"/>
      <c r="H288" s="6"/>
      <c r="I288" s="6"/>
    </row>
    <row r="289" spans="1:9" hidden="1" x14ac:dyDescent="0.2">
      <c r="A289" s="8" t="s">
        <v>8</v>
      </c>
      <c r="B289" s="5"/>
      <c r="C289" s="74"/>
      <c r="D289" s="6"/>
      <c r="E289" s="6"/>
      <c r="F289" s="6"/>
      <c r="G289" s="6"/>
      <c r="H289" s="6"/>
      <c r="I289" s="6"/>
    </row>
    <row r="290" spans="1:9" hidden="1" x14ac:dyDescent="0.2">
      <c r="A290" s="8" t="s">
        <v>9</v>
      </c>
      <c r="B290" s="5"/>
      <c r="C290" s="74"/>
      <c r="D290" s="6"/>
      <c r="E290" s="6"/>
      <c r="F290" s="6"/>
      <c r="G290" s="6"/>
      <c r="H290" s="6"/>
      <c r="I290" s="6"/>
    </row>
    <row r="291" spans="1:9" hidden="1" x14ac:dyDescent="0.2">
      <c r="A291" s="312" t="s">
        <v>10</v>
      </c>
      <c r="B291" s="313"/>
      <c r="C291" s="313"/>
      <c r="D291" s="313"/>
      <c r="E291" s="314"/>
      <c r="F291" s="11">
        <f>SUM(F281:F290)</f>
        <v>0</v>
      </c>
      <c r="G291" s="11">
        <f>SUM(G281:G290)</f>
        <v>0</v>
      </c>
      <c r="H291" s="11">
        <f>SUM(H281:H290)</f>
        <v>0</v>
      </c>
      <c r="I291" s="11"/>
    </row>
    <row r="292" spans="1:9" x14ac:dyDescent="0.2">
      <c r="A292" s="8" t="s">
        <v>0</v>
      </c>
      <c r="B292" s="5">
        <f>B281+1</f>
        <v>46131</v>
      </c>
      <c r="C292" s="75" t="s">
        <v>1283</v>
      </c>
      <c r="D292" s="6" t="s">
        <v>173</v>
      </c>
      <c r="E292" s="6" t="s">
        <v>165</v>
      </c>
      <c r="F292" s="6">
        <v>1</v>
      </c>
      <c r="G292" s="6"/>
      <c r="H292" s="6">
        <v>5.5</v>
      </c>
      <c r="I292" s="6"/>
    </row>
    <row r="293" spans="1:9" hidden="1" x14ac:dyDescent="0.2">
      <c r="A293" s="8" t="s">
        <v>1</v>
      </c>
      <c r="B293" s="5"/>
      <c r="C293" s="75"/>
      <c r="D293" s="6"/>
      <c r="E293" s="6"/>
      <c r="F293" s="6"/>
      <c r="G293" s="6"/>
      <c r="H293" s="6"/>
      <c r="I293" s="6"/>
    </row>
    <row r="294" spans="1:9" hidden="1" x14ac:dyDescent="0.2">
      <c r="A294" s="8" t="s">
        <v>2</v>
      </c>
      <c r="B294" s="5"/>
      <c r="C294" s="75"/>
      <c r="D294" s="6"/>
      <c r="E294" s="6"/>
      <c r="F294" s="6"/>
      <c r="G294" s="6"/>
      <c r="H294" s="6"/>
      <c r="I294" s="6"/>
    </row>
    <row r="295" spans="1:9" hidden="1" x14ac:dyDescent="0.2">
      <c r="A295" s="8" t="s">
        <v>3</v>
      </c>
      <c r="B295" s="5"/>
      <c r="C295" s="75"/>
      <c r="D295" s="6"/>
      <c r="E295" s="6"/>
      <c r="F295" s="6"/>
      <c r="G295" s="6"/>
      <c r="H295" s="6"/>
      <c r="I295" s="6"/>
    </row>
    <row r="296" spans="1:9" hidden="1" x14ac:dyDescent="0.2">
      <c r="A296" s="8" t="s">
        <v>4</v>
      </c>
      <c r="B296" s="5"/>
      <c r="C296" s="75"/>
      <c r="D296" s="6"/>
      <c r="E296" s="6"/>
      <c r="F296" s="6"/>
      <c r="G296" s="6"/>
      <c r="H296" s="6"/>
      <c r="I296" s="6"/>
    </row>
    <row r="297" spans="1:9" hidden="1" x14ac:dyDescent="0.2">
      <c r="A297" s="8" t="s">
        <v>5</v>
      </c>
      <c r="B297" s="5"/>
      <c r="C297" s="75"/>
      <c r="D297" s="6"/>
      <c r="E297" s="6"/>
      <c r="F297" s="6"/>
      <c r="G297" s="6"/>
      <c r="H297" s="6"/>
      <c r="I297" s="6"/>
    </row>
    <row r="298" spans="1:9" hidden="1" x14ac:dyDescent="0.2">
      <c r="A298" s="8" t="s">
        <v>6</v>
      </c>
      <c r="B298" s="5"/>
      <c r="C298" s="75"/>
      <c r="D298" s="6"/>
      <c r="E298" s="6"/>
      <c r="F298" s="6"/>
      <c r="G298" s="6"/>
      <c r="H298" s="6"/>
      <c r="I298" s="6"/>
    </row>
    <row r="299" spans="1:9" hidden="1" x14ac:dyDescent="0.2">
      <c r="A299" s="8" t="s">
        <v>7</v>
      </c>
      <c r="B299" s="5"/>
      <c r="C299" s="74"/>
      <c r="D299" s="6"/>
      <c r="E299" s="6"/>
      <c r="F299" s="6"/>
      <c r="G299" s="6"/>
      <c r="H299" s="6"/>
      <c r="I299" s="6"/>
    </row>
    <row r="300" spans="1:9" hidden="1" x14ac:dyDescent="0.2">
      <c r="A300" s="8" t="s">
        <v>8</v>
      </c>
      <c r="B300" s="5"/>
      <c r="C300" s="74"/>
      <c r="D300" s="6"/>
      <c r="E300" s="6"/>
      <c r="F300" s="6"/>
      <c r="G300" s="6"/>
      <c r="H300" s="6"/>
      <c r="I300" s="6"/>
    </row>
    <row r="301" spans="1:9" hidden="1" x14ac:dyDescent="0.2">
      <c r="A301" s="8" t="s">
        <v>9</v>
      </c>
      <c r="B301" s="5"/>
      <c r="C301" s="74"/>
      <c r="D301" s="6"/>
      <c r="E301" s="6"/>
      <c r="F301" s="6"/>
      <c r="G301" s="6"/>
      <c r="H301" s="6"/>
      <c r="I301" s="6"/>
    </row>
    <row r="302" spans="1:9" x14ac:dyDescent="0.2">
      <c r="A302" s="312" t="s">
        <v>10</v>
      </c>
      <c r="B302" s="313"/>
      <c r="C302" s="313"/>
      <c r="D302" s="313"/>
      <c r="E302" s="314"/>
      <c r="F302" s="11">
        <f>SUM(F292:F301)</f>
        <v>1</v>
      </c>
      <c r="G302" s="11">
        <f>SUM(G292:G301)</f>
        <v>0</v>
      </c>
      <c r="H302" s="11">
        <f>SUM(H292:H301)</f>
        <v>5.5</v>
      </c>
      <c r="I302" s="11"/>
    </row>
    <row r="303" spans="1:9" x14ac:dyDescent="0.2">
      <c r="A303" s="8" t="s">
        <v>0</v>
      </c>
      <c r="B303" s="5">
        <f>B292+1</f>
        <v>46132</v>
      </c>
      <c r="C303" s="75" t="s">
        <v>1347</v>
      </c>
      <c r="D303" s="6" t="s">
        <v>170</v>
      </c>
      <c r="E303" s="6" t="s">
        <v>165</v>
      </c>
      <c r="F303" s="6">
        <v>1</v>
      </c>
      <c r="G303" s="6"/>
      <c r="H303" s="6">
        <v>6</v>
      </c>
      <c r="I303" s="6"/>
    </row>
    <row r="304" spans="1:9" x14ac:dyDescent="0.2">
      <c r="A304" s="8" t="s">
        <v>1</v>
      </c>
      <c r="B304" s="5"/>
      <c r="C304" s="75" t="s">
        <v>1348</v>
      </c>
      <c r="D304" s="6" t="s">
        <v>188</v>
      </c>
      <c r="E304" s="6" t="s">
        <v>165</v>
      </c>
      <c r="F304" s="6">
        <v>1</v>
      </c>
      <c r="G304" s="6"/>
      <c r="H304" s="6">
        <v>6</v>
      </c>
      <c r="I304" s="6"/>
    </row>
    <row r="305" spans="1:9" x14ac:dyDescent="0.2">
      <c r="A305" s="8" t="s">
        <v>2</v>
      </c>
      <c r="B305" s="5"/>
      <c r="C305" s="75" t="s">
        <v>1349</v>
      </c>
      <c r="D305" s="6" t="s">
        <v>170</v>
      </c>
      <c r="E305" s="6" t="s">
        <v>165</v>
      </c>
      <c r="F305" s="6">
        <v>1</v>
      </c>
      <c r="G305" s="6"/>
      <c r="H305" s="6">
        <v>6</v>
      </c>
      <c r="I305" s="6"/>
    </row>
    <row r="306" spans="1:9" x14ac:dyDescent="0.2">
      <c r="A306" s="8" t="s">
        <v>3</v>
      </c>
      <c r="B306" s="5"/>
      <c r="C306" s="75" t="s">
        <v>1350</v>
      </c>
      <c r="D306" s="6" t="s">
        <v>188</v>
      </c>
      <c r="E306" s="6" t="s">
        <v>190</v>
      </c>
      <c r="F306" s="6">
        <v>1</v>
      </c>
      <c r="G306" s="6"/>
      <c r="H306" s="6">
        <v>4</v>
      </c>
      <c r="I306" s="6"/>
    </row>
    <row r="307" spans="1:9" x14ac:dyDescent="0.2">
      <c r="A307" s="8" t="s">
        <v>4</v>
      </c>
      <c r="B307" s="5"/>
      <c r="C307" s="75" t="s">
        <v>1351</v>
      </c>
      <c r="D307" s="6" t="s">
        <v>347</v>
      </c>
      <c r="E307" s="6" t="s">
        <v>174</v>
      </c>
      <c r="F307" s="6"/>
      <c r="G307" s="6">
        <v>1</v>
      </c>
      <c r="H307" s="6">
        <v>6</v>
      </c>
      <c r="I307" s="6"/>
    </row>
    <row r="308" spans="1:9" hidden="1" x14ac:dyDescent="0.2">
      <c r="A308" s="8" t="s">
        <v>5</v>
      </c>
      <c r="B308" s="5"/>
      <c r="C308" s="75"/>
      <c r="D308" s="6"/>
      <c r="E308" s="6"/>
      <c r="F308" s="6"/>
      <c r="G308" s="6"/>
      <c r="H308" s="6"/>
      <c r="I308" s="6"/>
    </row>
    <row r="309" spans="1:9" hidden="1" x14ac:dyDescent="0.2">
      <c r="A309" s="8" t="s">
        <v>6</v>
      </c>
      <c r="B309" s="5"/>
      <c r="C309" s="74"/>
      <c r="D309" s="6"/>
      <c r="E309" s="6"/>
      <c r="F309" s="6"/>
      <c r="G309" s="6"/>
      <c r="H309" s="6"/>
      <c r="I309" s="6"/>
    </row>
    <row r="310" spans="1:9" hidden="1" x14ac:dyDescent="0.2">
      <c r="A310" s="8" t="s">
        <v>7</v>
      </c>
      <c r="B310" s="5"/>
      <c r="C310" s="74"/>
      <c r="D310" s="6"/>
      <c r="E310" s="6"/>
      <c r="F310" s="6"/>
      <c r="G310" s="6"/>
      <c r="H310" s="6"/>
      <c r="I310" s="6"/>
    </row>
    <row r="311" spans="1:9" hidden="1" x14ac:dyDescent="0.2">
      <c r="A311" s="8" t="s">
        <v>8</v>
      </c>
      <c r="B311" s="5"/>
      <c r="C311" s="74"/>
      <c r="D311" s="6"/>
      <c r="E311" s="6"/>
      <c r="F311" s="6"/>
      <c r="G311" s="6"/>
      <c r="H311" s="6"/>
      <c r="I311" s="6"/>
    </row>
    <row r="312" spans="1:9" hidden="1" x14ac:dyDescent="0.2">
      <c r="A312" s="8" t="s">
        <v>9</v>
      </c>
      <c r="B312" s="5"/>
      <c r="C312" s="74"/>
      <c r="D312" s="6"/>
      <c r="E312" s="6"/>
      <c r="F312" s="6"/>
      <c r="G312" s="6"/>
      <c r="H312" s="6"/>
      <c r="I312" s="6"/>
    </row>
    <row r="313" spans="1:9" x14ac:dyDescent="0.2">
      <c r="A313" s="312" t="s">
        <v>10</v>
      </c>
      <c r="B313" s="313"/>
      <c r="C313" s="313"/>
      <c r="D313" s="313"/>
      <c r="E313" s="314"/>
      <c r="F313" s="11">
        <f>SUM(F303:F312)</f>
        <v>4</v>
      </c>
      <c r="G313" s="11">
        <f>SUM(G303:G312)</f>
        <v>1</v>
      </c>
      <c r="H313" s="11">
        <f>SUM(H303:H312)</f>
        <v>28</v>
      </c>
      <c r="I313" s="11"/>
    </row>
    <row r="314" spans="1:9" x14ac:dyDescent="0.2">
      <c r="A314" s="8" t="s">
        <v>0</v>
      </c>
      <c r="B314" s="5">
        <f>B303+1</f>
        <v>46133</v>
      </c>
      <c r="C314" s="75" t="s">
        <v>1431</v>
      </c>
      <c r="D314" s="6" t="s">
        <v>342</v>
      </c>
      <c r="E314" s="6" t="s">
        <v>165</v>
      </c>
      <c r="F314" s="6">
        <v>1</v>
      </c>
      <c r="G314" s="6"/>
      <c r="H314" s="6">
        <v>6</v>
      </c>
      <c r="I314" s="6"/>
    </row>
    <row r="315" spans="1:9" x14ac:dyDescent="0.2">
      <c r="A315" s="8" t="s">
        <v>1</v>
      </c>
      <c r="B315" s="5"/>
      <c r="C315" s="75" t="s">
        <v>1432</v>
      </c>
      <c r="D315" s="6" t="s">
        <v>342</v>
      </c>
      <c r="E315" s="6" t="s">
        <v>165</v>
      </c>
      <c r="F315" s="6">
        <v>1</v>
      </c>
      <c r="G315" s="6"/>
      <c r="H315" s="6">
        <v>6</v>
      </c>
      <c r="I315" s="6"/>
    </row>
    <row r="316" spans="1:9" x14ac:dyDescent="0.2">
      <c r="A316" s="8" t="s">
        <v>2</v>
      </c>
      <c r="B316" s="5"/>
      <c r="C316" s="75" t="s">
        <v>1433</v>
      </c>
      <c r="D316" s="6" t="s">
        <v>170</v>
      </c>
      <c r="E316" s="6" t="s">
        <v>171</v>
      </c>
      <c r="F316" s="6">
        <v>1</v>
      </c>
      <c r="G316" s="6"/>
      <c r="H316" s="6">
        <v>6</v>
      </c>
      <c r="I316" s="6"/>
    </row>
    <row r="317" spans="1:9" x14ac:dyDescent="0.2">
      <c r="A317" s="8" t="s">
        <v>3</v>
      </c>
      <c r="B317" s="5"/>
      <c r="C317" s="75" t="s">
        <v>1408</v>
      </c>
      <c r="D317" s="6" t="s">
        <v>253</v>
      </c>
      <c r="E317" s="6" t="s">
        <v>174</v>
      </c>
      <c r="F317" s="6">
        <v>1</v>
      </c>
      <c r="G317" s="6"/>
      <c r="H317" s="6">
        <v>6</v>
      </c>
      <c r="I317" s="6"/>
    </row>
    <row r="318" spans="1:9" x14ac:dyDescent="0.2">
      <c r="A318" s="8" t="s">
        <v>4</v>
      </c>
      <c r="B318" s="5"/>
      <c r="C318" s="75" t="s">
        <v>1434</v>
      </c>
      <c r="D318" s="6" t="s">
        <v>170</v>
      </c>
      <c r="E318" s="6" t="s">
        <v>171</v>
      </c>
      <c r="F318" s="6">
        <v>1</v>
      </c>
      <c r="G318" s="6"/>
      <c r="H318" s="6">
        <v>6</v>
      </c>
      <c r="I318" s="6"/>
    </row>
    <row r="319" spans="1:9" x14ac:dyDescent="0.2">
      <c r="A319" s="8" t="s">
        <v>5</v>
      </c>
      <c r="B319" s="5"/>
      <c r="C319" s="75" t="s">
        <v>1435</v>
      </c>
      <c r="D319" s="6" t="s">
        <v>170</v>
      </c>
      <c r="E319" s="6" t="s">
        <v>171</v>
      </c>
      <c r="F319" s="6"/>
      <c r="G319" s="6">
        <v>1</v>
      </c>
      <c r="H319" s="6">
        <v>6</v>
      </c>
      <c r="I319" s="6"/>
    </row>
    <row r="320" spans="1:9" x14ac:dyDescent="0.2">
      <c r="A320" s="8" t="s">
        <v>6</v>
      </c>
      <c r="B320" s="5"/>
      <c r="C320" s="75" t="s">
        <v>1436</v>
      </c>
      <c r="D320" s="6" t="s">
        <v>170</v>
      </c>
      <c r="E320" s="6" t="s">
        <v>171</v>
      </c>
      <c r="F320" s="6"/>
      <c r="G320" s="6">
        <v>1</v>
      </c>
      <c r="H320" s="6">
        <v>6</v>
      </c>
      <c r="I320" s="6"/>
    </row>
    <row r="321" spans="1:9" x14ac:dyDescent="0.2">
      <c r="A321" s="8" t="s">
        <v>7</v>
      </c>
      <c r="B321" s="5"/>
      <c r="C321" s="75" t="s">
        <v>1437</v>
      </c>
      <c r="D321" s="6" t="s">
        <v>170</v>
      </c>
      <c r="E321" s="6" t="s">
        <v>171</v>
      </c>
      <c r="F321" s="6"/>
      <c r="G321" s="6">
        <v>1</v>
      </c>
      <c r="H321" s="6">
        <v>6</v>
      </c>
      <c r="I321" s="6"/>
    </row>
    <row r="322" spans="1:9" hidden="1" x14ac:dyDescent="0.2">
      <c r="A322" s="8" t="s">
        <v>8</v>
      </c>
      <c r="B322" s="5"/>
      <c r="C322" s="75"/>
      <c r="D322" s="6"/>
      <c r="E322" s="6"/>
      <c r="F322" s="6"/>
      <c r="G322" s="6"/>
      <c r="H322" s="6"/>
      <c r="I322" s="6"/>
    </row>
    <row r="323" spans="1:9" hidden="1" x14ac:dyDescent="0.2">
      <c r="A323" s="8" t="s">
        <v>9</v>
      </c>
      <c r="B323" s="5"/>
      <c r="C323" s="75"/>
      <c r="D323" s="6"/>
      <c r="E323" s="6"/>
      <c r="F323" s="6"/>
      <c r="G323" s="6"/>
      <c r="H323" s="6"/>
      <c r="I323" s="6"/>
    </row>
    <row r="324" spans="1:9" x14ac:dyDescent="0.2">
      <c r="A324" s="312" t="s">
        <v>10</v>
      </c>
      <c r="B324" s="313"/>
      <c r="C324" s="313"/>
      <c r="D324" s="313"/>
      <c r="E324" s="314"/>
      <c r="F324" s="11">
        <f>SUM(F314:F323)</f>
        <v>5</v>
      </c>
      <c r="G324" s="11">
        <f>SUM(G314:G323)</f>
        <v>3</v>
      </c>
      <c r="H324" s="11">
        <f>SUM(H314:H323)</f>
        <v>48</v>
      </c>
      <c r="I324" s="11"/>
    </row>
    <row r="325" spans="1:9" x14ac:dyDescent="0.2">
      <c r="A325" s="8" t="s">
        <v>0</v>
      </c>
      <c r="B325" s="5">
        <f>B314+1</f>
        <v>46134</v>
      </c>
      <c r="C325" s="74" t="s">
        <v>1485</v>
      </c>
      <c r="D325" s="6" t="s">
        <v>211</v>
      </c>
      <c r="E325" s="6" t="s">
        <v>165</v>
      </c>
      <c r="F325" s="6">
        <v>1</v>
      </c>
      <c r="G325" s="6"/>
      <c r="H325" s="6">
        <v>6</v>
      </c>
      <c r="I325" s="6"/>
    </row>
    <row r="326" spans="1:9" x14ac:dyDescent="0.2">
      <c r="A326" s="8" t="s">
        <v>1</v>
      </c>
      <c r="B326" s="5"/>
      <c r="C326" s="74" t="s">
        <v>1486</v>
      </c>
      <c r="D326" s="6" t="s">
        <v>211</v>
      </c>
      <c r="E326" s="6" t="s">
        <v>165</v>
      </c>
      <c r="F326" s="6">
        <v>1</v>
      </c>
      <c r="G326" s="6"/>
      <c r="H326" s="6">
        <v>6</v>
      </c>
      <c r="I326" s="6"/>
    </row>
    <row r="327" spans="1:9" x14ac:dyDescent="0.2">
      <c r="A327" s="8" t="s">
        <v>2</v>
      </c>
      <c r="B327" s="5"/>
      <c r="C327" s="74" t="s">
        <v>1487</v>
      </c>
      <c r="D327" s="6" t="s">
        <v>170</v>
      </c>
      <c r="E327" s="6" t="s">
        <v>171</v>
      </c>
      <c r="F327" s="6">
        <v>1</v>
      </c>
      <c r="G327" s="6"/>
      <c r="H327" s="6">
        <v>6</v>
      </c>
      <c r="I327" s="6"/>
    </row>
    <row r="328" spans="1:9" x14ac:dyDescent="0.2">
      <c r="A328" s="8" t="s">
        <v>3</v>
      </c>
      <c r="B328" s="5"/>
      <c r="C328" s="74" t="s">
        <v>1488</v>
      </c>
      <c r="D328" s="6" t="s">
        <v>170</v>
      </c>
      <c r="E328" s="6" t="s">
        <v>171</v>
      </c>
      <c r="F328" s="6">
        <v>1</v>
      </c>
      <c r="G328" s="6"/>
      <c r="H328" s="6">
        <v>6</v>
      </c>
      <c r="I328" s="6"/>
    </row>
    <row r="329" spans="1:9" x14ac:dyDescent="0.2">
      <c r="A329" s="8" t="s">
        <v>4</v>
      </c>
      <c r="B329" s="5"/>
      <c r="C329" s="74" t="s">
        <v>1489</v>
      </c>
      <c r="D329" s="6" t="s">
        <v>1490</v>
      </c>
      <c r="E329" s="6" t="s">
        <v>190</v>
      </c>
      <c r="F329" s="6">
        <v>1</v>
      </c>
      <c r="G329" s="6"/>
      <c r="H329" s="6">
        <v>4</v>
      </c>
      <c r="I329" s="6"/>
    </row>
    <row r="330" spans="1:9" hidden="1" x14ac:dyDescent="0.2">
      <c r="A330" s="8" t="s">
        <v>5</v>
      </c>
      <c r="B330" s="5"/>
      <c r="C330" s="74"/>
      <c r="D330" s="6"/>
      <c r="E330" s="6"/>
      <c r="F330" s="6"/>
      <c r="G330" s="6"/>
      <c r="H330" s="6"/>
      <c r="I330" s="6"/>
    </row>
    <row r="331" spans="1:9" hidden="1" x14ac:dyDescent="0.2">
      <c r="A331" s="8" t="s">
        <v>6</v>
      </c>
      <c r="B331" s="5"/>
      <c r="C331" s="74"/>
      <c r="D331" s="6"/>
      <c r="E331" s="6"/>
      <c r="F331" s="6"/>
      <c r="G331" s="6"/>
      <c r="H331" s="6"/>
      <c r="I331" s="6"/>
    </row>
    <row r="332" spans="1:9" hidden="1" x14ac:dyDescent="0.2">
      <c r="A332" s="8" t="s">
        <v>7</v>
      </c>
      <c r="B332" s="5"/>
      <c r="C332" s="74"/>
      <c r="D332" s="6"/>
      <c r="E332" s="6"/>
      <c r="F332" s="6"/>
      <c r="G332" s="6"/>
      <c r="H332" s="6"/>
      <c r="I332" s="6"/>
    </row>
    <row r="333" spans="1:9" hidden="1" x14ac:dyDescent="0.2">
      <c r="A333" s="8" t="s">
        <v>8</v>
      </c>
      <c r="B333" s="5"/>
      <c r="C333" s="74"/>
      <c r="D333" s="6"/>
      <c r="E333" s="6"/>
      <c r="F333" s="6"/>
      <c r="G333" s="6"/>
      <c r="H333" s="6"/>
      <c r="I333" s="6"/>
    </row>
    <row r="334" spans="1:9" hidden="1" x14ac:dyDescent="0.2">
      <c r="A334" s="8" t="s">
        <v>9</v>
      </c>
      <c r="B334" s="5"/>
      <c r="C334" s="74"/>
      <c r="D334" s="6"/>
      <c r="E334" s="6"/>
      <c r="F334" s="6"/>
      <c r="G334" s="6"/>
      <c r="H334" s="6"/>
      <c r="I334" s="6"/>
    </row>
    <row r="335" spans="1:9" x14ac:dyDescent="0.2">
      <c r="A335" s="312" t="s">
        <v>10</v>
      </c>
      <c r="B335" s="313"/>
      <c r="C335" s="313"/>
      <c r="D335" s="313"/>
      <c r="E335" s="314"/>
      <c r="F335" s="11">
        <f>SUM(F325:F334)</f>
        <v>5</v>
      </c>
      <c r="G335" s="11">
        <f>SUM(G325:G334)</f>
        <v>0</v>
      </c>
      <c r="H335" s="11">
        <f>SUM(H325:H334)</f>
        <v>28</v>
      </c>
      <c r="I335" s="11"/>
    </row>
    <row r="336" spans="1:9" s="25" customFormat="1" ht="18" x14ac:dyDescent="0.2">
      <c r="A336" s="315" t="s">
        <v>39</v>
      </c>
      <c r="B336" s="316"/>
      <c r="C336" s="316"/>
      <c r="D336" s="316"/>
      <c r="E336" s="317"/>
      <c r="F336" s="22">
        <f>F269+F280+F291+F302+F313+F324+F335+F252</f>
        <v>64</v>
      </c>
      <c r="G336" s="22">
        <f>G269+G280+G291+G302+G313+G324+G335+G252</f>
        <v>14</v>
      </c>
      <c r="H336" s="22">
        <f>H269+H280+H291+H302+H313+H324+H335+H252</f>
        <v>429.5</v>
      </c>
      <c r="I336" s="22"/>
    </row>
    <row r="337" spans="1:9" ht="21.95" customHeight="1" x14ac:dyDescent="0.2">
      <c r="A337" s="319" t="s">
        <v>14</v>
      </c>
      <c r="B337" s="319"/>
      <c r="C337" s="319"/>
      <c r="D337" s="319"/>
      <c r="E337" s="319"/>
      <c r="F337" s="319"/>
      <c r="G337" s="319"/>
      <c r="H337" s="319"/>
      <c r="I337" s="319"/>
    </row>
    <row r="338" spans="1:9" s="53" customFormat="1" ht="20.100000000000001" customHeight="1" x14ac:dyDescent="0.2">
      <c r="A338" s="323" t="s">
        <v>86</v>
      </c>
      <c r="B338" s="323"/>
      <c r="C338" s="323"/>
      <c r="D338" s="323"/>
      <c r="E338" s="323"/>
      <c r="F338" s="50" t="str">
        <f>F254</f>
        <v>เมษายน</v>
      </c>
      <c r="G338" s="50" t="s">
        <v>87</v>
      </c>
      <c r="H338" s="51">
        <f>H254</f>
        <v>2569</v>
      </c>
      <c r="I338" s="52"/>
    </row>
    <row r="339" spans="1:9" s="3" customFormat="1" ht="20.100000000000001" customHeight="1" x14ac:dyDescent="0.35">
      <c r="A339" s="318" t="s">
        <v>38</v>
      </c>
      <c r="B339" s="318"/>
      <c r="C339" s="318"/>
      <c r="D339" s="2"/>
      <c r="F339" s="4"/>
      <c r="G339" s="4"/>
      <c r="H339" s="4" t="s">
        <v>21</v>
      </c>
      <c r="I339" s="40">
        <f>I255+1</f>
        <v>5</v>
      </c>
    </row>
    <row r="340" spans="1:9" s="3" customFormat="1" ht="20.100000000000001" customHeight="1" x14ac:dyDescent="0.35">
      <c r="A340" s="311" t="s">
        <v>68</v>
      </c>
      <c r="B340" s="311"/>
      <c r="C340" s="311"/>
      <c r="D340" s="2"/>
      <c r="E340" s="39" t="s">
        <v>81</v>
      </c>
      <c r="F340" s="308">
        <f>F256</f>
        <v>46107</v>
      </c>
      <c r="G340" s="308"/>
      <c r="H340" s="39" t="s">
        <v>82</v>
      </c>
      <c r="I340" s="34">
        <f>I256</f>
        <v>46136</v>
      </c>
    </row>
    <row r="341" spans="1:9" x14ac:dyDescent="0.2">
      <c r="A341" s="12" t="s">
        <v>23</v>
      </c>
      <c r="B341" s="13" t="s">
        <v>11</v>
      </c>
      <c r="C341" s="72" t="s">
        <v>26</v>
      </c>
      <c r="D341" s="12" t="s">
        <v>16</v>
      </c>
      <c r="E341" s="12" t="s">
        <v>17</v>
      </c>
      <c r="F341" s="310" t="s">
        <v>18</v>
      </c>
      <c r="G341" s="310"/>
      <c r="H341" s="310"/>
      <c r="I341" s="12" t="s">
        <v>19</v>
      </c>
    </row>
    <row r="342" spans="1:9" x14ac:dyDescent="0.2">
      <c r="A342" s="15"/>
      <c r="B342" s="16"/>
      <c r="C342" s="73"/>
      <c r="D342" s="15"/>
      <c r="E342" s="15"/>
      <c r="F342" s="21" t="s">
        <v>113</v>
      </c>
      <c r="G342" s="21" t="s">
        <v>114</v>
      </c>
      <c r="H342" s="21" t="s">
        <v>20</v>
      </c>
      <c r="I342" s="15"/>
    </row>
    <row r="343" spans="1:9" x14ac:dyDescent="0.2">
      <c r="A343" s="8" t="s">
        <v>0</v>
      </c>
      <c r="B343" s="5">
        <f>B325+1</f>
        <v>46135</v>
      </c>
      <c r="C343" s="74" t="s">
        <v>1553</v>
      </c>
      <c r="D343" s="6" t="s">
        <v>188</v>
      </c>
      <c r="E343" s="6" t="s">
        <v>165</v>
      </c>
      <c r="F343" s="6">
        <v>1</v>
      </c>
      <c r="G343" s="6"/>
      <c r="H343" s="6">
        <v>6</v>
      </c>
      <c r="I343" s="6"/>
    </row>
    <row r="344" spans="1:9" x14ac:dyDescent="0.2">
      <c r="A344" s="8" t="s">
        <v>1</v>
      </c>
      <c r="B344" s="5"/>
      <c r="C344" s="74" t="s">
        <v>1554</v>
      </c>
      <c r="D344" s="6" t="s">
        <v>188</v>
      </c>
      <c r="E344" s="6" t="s">
        <v>165</v>
      </c>
      <c r="F344" s="6">
        <v>1</v>
      </c>
      <c r="G344" s="6"/>
      <c r="H344" s="6">
        <v>6</v>
      </c>
      <c r="I344" s="6"/>
    </row>
    <row r="345" spans="1:9" x14ac:dyDescent="0.2">
      <c r="A345" s="8" t="s">
        <v>2</v>
      </c>
      <c r="B345" s="5"/>
      <c r="C345" s="74" t="s">
        <v>1555</v>
      </c>
      <c r="D345" s="6" t="s">
        <v>188</v>
      </c>
      <c r="E345" s="6" t="s">
        <v>165</v>
      </c>
      <c r="F345" s="6">
        <v>1</v>
      </c>
      <c r="G345" s="6"/>
      <c r="H345" s="6">
        <v>6</v>
      </c>
      <c r="I345" s="6"/>
    </row>
    <row r="346" spans="1:9" x14ac:dyDescent="0.2">
      <c r="A346" s="8" t="s">
        <v>3</v>
      </c>
      <c r="B346" s="5"/>
      <c r="C346" s="74" t="s">
        <v>1556</v>
      </c>
      <c r="D346" s="6" t="s">
        <v>332</v>
      </c>
      <c r="E346" s="6" t="s">
        <v>216</v>
      </c>
      <c r="F346" s="6">
        <v>1</v>
      </c>
      <c r="G346" s="6"/>
      <c r="H346" s="6">
        <v>4.5</v>
      </c>
      <c r="I346" s="6"/>
    </row>
    <row r="347" spans="1:9" x14ac:dyDescent="0.2">
      <c r="A347" s="8" t="s">
        <v>4</v>
      </c>
      <c r="B347" s="5"/>
      <c r="C347" s="74" t="s">
        <v>1557</v>
      </c>
      <c r="D347" s="6" t="s">
        <v>170</v>
      </c>
      <c r="E347" s="6" t="s">
        <v>165</v>
      </c>
      <c r="F347" s="6">
        <v>1</v>
      </c>
      <c r="G347" s="6"/>
      <c r="H347" s="6">
        <v>6</v>
      </c>
      <c r="I347" s="6"/>
    </row>
    <row r="348" spans="1:9" x14ac:dyDescent="0.2">
      <c r="A348" s="8" t="s">
        <v>5</v>
      </c>
      <c r="B348" s="5"/>
      <c r="C348" s="74" t="s">
        <v>1558</v>
      </c>
      <c r="D348" s="6" t="s">
        <v>170</v>
      </c>
      <c r="E348" s="6" t="s">
        <v>165</v>
      </c>
      <c r="F348" s="6"/>
      <c r="G348" s="6">
        <v>1</v>
      </c>
      <c r="H348" s="6">
        <v>6</v>
      </c>
      <c r="I348" s="6"/>
    </row>
    <row r="349" spans="1:9" hidden="1" x14ac:dyDescent="0.2">
      <c r="A349" s="8" t="s">
        <v>6</v>
      </c>
      <c r="B349" s="5"/>
      <c r="C349" s="74"/>
      <c r="D349" s="6"/>
      <c r="E349" s="6"/>
      <c r="F349" s="6"/>
      <c r="G349" s="6"/>
      <c r="H349" s="6"/>
      <c r="I349" s="6"/>
    </row>
    <row r="350" spans="1:9" hidden="1" x14ac:dyDescent="0.2">
      <c r="A350" s="8" t="s">
        <v>7</v>
      </c>
      <c r="B350" s="5"/>
      <c r="C350" s="74"/>
      <c r="D350" s="6"/>
      <c r="E350" s="6"/>
      <c r="F350" s="6"/>
      <c r="G350" s="6"/>
      <c r="H350" s="6"/>
      <c r="I350" s="6"/>
    </row>
    <row r="351" spans="1:9" hidden="1" x14ac:dyDescent="0.2">
      <c r="A351" s="8" t="s">
        <v>8</v>
      </c>
      <c r="B351" s="5"/>
      <c r="C351" s="74"/>
      <c r="D351" s="6"/>
      <c r="E351" s="6"/>
      <c r="F351" s="6"/>
      <c r="G351" s="6"/>
      <c r="H351" s="6"/>
      <c r="I351" s="6"/>
    </row>
    <row r="352" spans="1:9" hidden="1" x14ac:dyDescent="0.2">
      <c r="A352" s="8" t="s">
        <v>9</v>
      </c>
      <c r="B352" s="5"/>
      <c r="C352" s="74"/>
      <c r="D352" s="6"/>
      <c r="E352" s="6"/>
      <c r="F352" s="6"/>
      <c r="G352" s="6"/>
      <c r="H352" s="6"/>
      <c r="I352" s="6"/>
    </row>
    <row r="353" spans="1:9" hidden="1" x14ac:dyDescent="0.2">
      <c r="A353" s="8" t="s">
        <v>99</v>
      </c>
      <c r="B353" s="5"/>
      <c r="C353" s="74"/>
      <c r="D353" s="6"/>
      <c r="E353" s="6"/>
      <c r="F353" s="6"/>
      <c r="G353" s="6"/>
      <c r="H353" s="6"/>
      <c r="I353" s="6"/>
    </row>
    <row r="354" spans="1:9" x14ac:dyDescent="0.2">
      <c r="A354" s="312" t="s">
        <v>10</v>
      </c>
      <c r="B354" s="313"/>
      <c r="C354" s="313"/>
      <c r="D354" s="313"/>
      <c r="E354" s="314"/>
      <c r="F354" s="11">
        <f>SUM(F343:F353)</f>
        <v>5</v>
      </c>
      <c r="G354" s="11">
        <f>SUM(G343:G353)</f>
        <v>1</v>
      </c>
      <c r="H354" s="11">
        <f>SUM(H343:H353)</f>
        <v>34.5</v>
      </c>
      <c r="I354" s="11"/>
    </row>
    <row r="355" spans="1:9" x14ac:dyDescent="0.2">
      <c r="A355" s="8" t="s">
        <v>0</v>
      </c>
      <c r="B355" s="5">
        <f>B343+1</f>
        <v>46136</v>
      </c>
      <c r="C355" s="74" t="s">
        <v>1631</v>
      </c>
      <c r="D355" s="6" t="s">
        <v>170</v>
      </c>
      <c r="E355" s="6" t="s">
        <v>171</v>
      </c>
      <c r="F355" s="6">
        <v>1</v>
      </c>
      <c r="G355" s="6"/>
      <c r="H355" s="6">
        <v>6</v>
      </c>
      <c r="I355" s="6"/>
    </row>
    <row r="356" spans="1:9" x14ac:dyDescent="0.2">
      <c r="A356" s="8" t="s">
        <v>1</v>
      </c>
      <c r="B356" s="5"/>
      <c r="C356" s="74" t="s">
        <v>1632</v>
      </c>
      <c r="D356" s="6" t="s">
        <v>170</v>
      </c>
      <c r="E356" s="6" t="s">
        <v>171</v>
      </c>
      <c r="F356" s="6">
        <v>1</v>
      </c>
      <c r="G356" s="6"/>
      <c r="H356" s="6">
        <v>6</v>
      </c>
      <c r="I356" s="6"/>
    </row>
    <row r="357" spans="1:9" x14ac:dyDescent="0.2">
      <c r="A357" s="8" t="s">
        <v>2</v>
      </c>
      <c r="B357" s="5"/>
      <c r="C357" s="74" t="s">
        <v>1633</v>
      </c>
      <c r="D357" s="6" t="s">
        <v>170</v>
      </c>
      <c r="E357" s="6" t="s">
        <v>171</v>
      </c>
      <c r="F357" s="6">
        <v>1</v>
      </c>
      <c r="G357" s="6"/>
      <c r="H357" s="6">
        <v>6</v>
      </c>
      <c r="I357" s="6"/>
    </row>
    <row r="358" spans="1:9" x14ac:dyDescent="0.2">
      <c r="A358" s="8" t="s">
        <v>3</v>
      </c>
      <c r="B358" s="5"/>
      <c r="C358" s="74" t="s">
        <v>1611</v>
      </c>
      <c r="D358" s="6" t="s">
        <v>170</v>
      </c>
      <c r="E358" s="6" t="s">
        <v>171</v>
      </c>
      <c r="F358" s="6">
        <v>1</v>
      </c>
      <c r="G358" s="6"/>
      <c r="H358" s="6">
        <v>6</v>
      </c>
      <c r="I358" s="6"/>
    </row>
    <row r="359" spans="1:9" x14ac:dyDescent="0.2">
      <c r="A359" s="8" t="s">
        <v>4</v>
      </c>
      <c r="B359" s="5"/>
      <c r="C359" s="74" t="s">
        <v>1615</v>
      </c>
      <c r="D359" s="6" t="s">
        <v>347</v>
      </c>
      <c r="E359" s="6" t="s">
        <v>441</v>
      </c>
      <c r="F359" s="6">
        <v>1</v>
      </c>
      <c r="G359" s="6"/>
      <c r="H359" s="6">
        <v>5</v>
      </c>
      <c r="I359" s="6"/>
    </row>
    <row r="360" spans="1:9" x14ac:dyDescent="0.2">
      <c r="A360" s="8" t="s">
        <v>5</v>
      </c>
      <c r="B360" s="5"/>
      <c r="C360" s="74" t="s">
        <v>1625</v>
      </c>
      <c r="D360" s="6" t="s">
        <v>253</v>
      </c>
      <c r="E360" s="6" t="s">
        <v>596</v>
      </c>
      <c r="F360" s="6">
        <v>1</v>
      </c>
      <c r="G360" s="6"/>
      <c r="H360" s="6">
        <v>6</v>
      </c>
      <c r="I360" s="6"/>
    </row>
    <row r="361" spans="1:9" x14ac:dyDescent="0.2">
      <c r="A361" s="8" t="s">
        <v>6</v>
      </c>
      <c r="B361" s="5"/>
      <c r="C361" s="74" t="s">
        <v>1634</v>
      </c>
      <c r="D361" s="6" t="s">
        <v>253</v>
      </c>
      <c r="E361" s="6" t="s">
        <v>596</v>
      </c>
      <c r="F361" s="6"/>
      <c r="G361" s="6">
        <v>1</v>
      </c>
      <c r="H361" s="6">
        <v>6</v>
      </c>
      <c r="I361" s="6"/>
    </row>
    <row r="362" spans="1:9" hidden="1" x14ac:dyDescent="0.2">
      <c r="A362" s="8" t="s">
        <v>7</v>
      </c>
      <c r="B362" s="5"/>
      <c r="C362" s="74"/>
      <c r="D362" s="6"/>
      <c r="E362" s="6"/>
      <c r="F362" s="6"/>
      <c r="G362" s="6"/>
      <c r="H362" s="6"/>
      <c r="I362" s="6"/>
    </row>
    <row r="363" spans="1:9" hidden="1" x14ac:dyDescent="0.2">
      <c r="A363" s="8" t="s">
        <v>8</v>
      </c>
      <c r="B363" s="5"/>
      <c r="C363" s="74"/>
      <c r="D363" s="6"/>
      <c r="E363" s="6"/>
      <c r="F363" s="6"/>
      <c r="G363" s="6"/>
      <c r="H363" s="6"/>
      <c r="I363" s="6"/>
    </row>
    <row r="364" spans="1:9" hidden="1" x14ac:dyDescent="0.2">
      <c r="A364" s="8" t="s">
        <v>9</v>
      </c>
      <c r="B364" s="5"/>
      <c r="C364" s="74"/>
      <c r="D364" s="6"/>
      <c r="E364" s="6"/>
      <c r="F364" s="6"/>
      <c r="G364" s="6"/>
      <c r="H364" s="6"/>
      <c r="I364" s="6"/>
    </row>
    <row r="365" spans="1:9" x14ac:dyDescent="0.2">
      <c r="A365" s="312" t="s">
        <v>10</v>
      </c>
      <c r="B365" s="313"/>
      <c r="C365" s="313"/>
      <c r="D365" s="313"/>
      <c r="E365" s="314"/>
      <c r="F365" s="11">
        <f>SUM(F355:F364)</f>
        <v>6</v>
      </c>
      <c r="G365" s="11">
        <f>SUM(G355:G364)</f>
        <v>1</v>
      </c>
      <c r="H365" s="11">
        <f>SUM(H355:H364)</f>
        <v>41</v>
      </c>
      <c r="I365" s="11"/>
    </row>
    <row r="366" spans="1:9" hidden="1" x14ac:dyDescent="0.2">
      <c r="A366" s="8" t="s">
        <v>0</v>
      </c>
      <c r="B366" s="5">
        <f>B355+1</f>
        <v>46137</v>
      </c>
      <c r="C366" s="74"/>
      <c r="D366" s="6"/>
      <c r="E366" s="6"/>
      <c r="F366" s="6"/>
      <c r="G366" s="6"/>
      <c r="H366" s="6"/>
      <c r="I366" s="6"/>
    </row>
    <row r="367" spans="1:9" hidden="1" x14ac:dyDescent="0.2">
      <c r="A367" s="8" t="s">
        <v>1</v>
      </c>
      <c r="B367" s="5"/>
      <c r="C367" s="74"/>
      <c r="D367" s="6"/>
      <c r="E367" s="6"/>
      <c r="F367" s="6"/>
      <c r="G367" s="6"/>
      <c r="H367" s="6"/>
      <c r="I367" s="6"/>
    </row>
    <row r="368" spans="1:9" hidden="1" x14ac:dyDescent="0.2">
      <c r="A368" s="8" t="s">
        <v>2</v>
      </c>
      <c r="B368" s="5"/>
      <c r="C368" s="74"/>
      <c r="D368" s="6"/>
      <c r="E368" s="6"/>
      <c r="F368" s="6"/>
      <c r="G368" s="6"/>
      <c r="H368" s="6"/>
      <c r="I368" s="6"/>
    </row>
    <row r="369" spans="1:9" hidden="1" x14ac:dyDescent="0.2">
      <c r="A369" s="8" t="s">
        <v>3</v>
      </c>
      <c r="B369" s="5"/>
      <c r="C369" s="75"/>
      <c r="D369" s="6"/>
      <c r="E369" s="6"/>
      <c r="F369" s="6"/>
      <c r="G369" s="6"/>
      <c r="H369" s="6"/>
      <c r="I369" s="6"/>
    </row>
    <row r="370" spans="1:9" hidden="1" x14ac:dyDescent="0.2">
      <c r="A370" s="8" t="s">
        <v>4</v>
      </c>
      <c r="B370" s="5"/>
      <c r="C370" s="74"/>
      <c r="D370" s="6"/>
      <c r="E370" s="6"/>
      <c r="F370" s="6"/>
      <c r="G370" s="6"/>
      <c r="H370" s="6"/>
      <c r="I370" s="6"/>
    </row>
    <row r="371" spans="1:9" hidden="1" x14ac:dyDescent="0.2">
      <c r="A371" s="8" t="s">
        <v>5</v>
      </c>
      <c r="B371" s="5"/>
      <c r="C371" s="74"/>
      <c r="D371" s="6"/>
      <c r="E371" s="6"/>
      <c r="F371" s="6"/>
      <c r="G371" s="6"/>
      <c r="H371" s="6"/>
      <c r="I371" s="6"/>
    </row>
    <row r="372" spans="1:9" hidden="1" x14ac:dyDescent="0.2">
      <c r="A372" s="8" t="s">
        <v>6</v>
      </c>
      <c r="B372" s="5"/>
      <c r="C372" s="74"/>
      <c r="D372" s="6"/>
      <c r="E372" s="6"/>
      <c r="F372" s="6"/>
      <c r="G372" s="6"/>
      <c r="H372" s="6"/>
      <c r="I372" s="6"/>
    </row>
    <row r="373" spans="1:9" hidden="1" x14ac:dyDescent="0.2">
      <c r="A373" s="8" t="s">
        <v>7</v>
      </c>
      <c r="B373" s="5"/>
      <c r="C373" s="74"/>
      <c r="D373" s="6"/>
      <c r="E373" s="6"/>
      <c r="F373" s="6"/>
      <c r="G373" s="6"/>
      <c r="H373" s="6"/>
      <c r="I373" s="6"/>
    </row>
    <row r="374" spans="1:9" hidden="1" x14ac:dyDescent="0.2">
      <c r="A374" s="8" t="s">
        <v>8</v>
      </c>
      <c r="B374" s="5"/>
      <c r="C374" s="74"/>
      <c r="D374" s="6"/>
      <c r="E374" s="6"/>
      <c r="F374" s="6"/>
      <c r="G374" s="6"/>
      <c r="H374" s="6"/>
      <c r="I374" s="6"/>
    </row>
    <row r="375" spans="1:9" hidden="1" x14ac:dyDescent="0.2">
      <c r="A375" s="8" t="s">
        <v>9</v>
      </c>
      <c r="B375" s="5"/>
      <c r="C375" s="74"/>
      <c r="D375" s="6"/>
      <c r="E375" s="6"/>
      <c r="F375" s="6"/>
      <c r="G375" s="6"/>
      <c r="H375" s="6"/>
      <c r="I375" s="6"/>
    </row>
    <row r="376" spans="1:9" hidden="1" x14ac:dyDescent="0.2">
      <c r="A376" s="312" t="s">
        <v>10</v>
      </c>
      <c r="B376" s="313"/>
      <c r="C376" s="313"/>
      <c r="D376" s="313"/>
      <c r="E376" s="314"/>
      <c r="F376" s="11">
        <f>SUM(F366:F375)</f>
        <v>0</v>
      </c>
      <c r="G376" s="11">
        <f>SUM(G366:G375)</f>
        <v>0</v>
      </c>
      <c r="H376" s="11">
        <f>SUM(H366:H375)</f>
        <v>0</v>
      </c>
      <c r="I376" s="11"/>
    </row>
    <row r="377" spans="1:9" hidden="1" x14ac:dyDescent="0.2">
      <c r="A377" s="8" t="s">
        <v>0</v>
      </c>
      <c r="B377" s="5">
        <f>B366+1</f>
        <v>46138</v>
      </c>
      <c r="C377" s="75"/>
      <c r="D377" s="6"/>
      <c r="E377" s="6"/>
      <c r="F377" s="6"/>
      <c r="G377" s="6"/>
      <c r="H377" s="6"/>
      <c r="I377" s="6"/>
    </row>
    <row r="378" spans="1:9" hidden="1" x14ac:dyDescent="0.2">
      <c r="A378" s="8" t="s">
        <v>1</v>
      </c>
      <c r="B378" s="5"/>
      <c r="C378" s="75"/>
      <c r="D378" s="6"/>
      <c r="E378" s="6"/>
      <c r="F378" s="6"/>
      <c r="G378" s="6"/>
      <c r="H378" s="6"/>
      <c r="I378" s="6"/>
    </row>
    <row r="379" spans="1:9" hidden="1" x14ac:dyDescent="0.2">
      <c r="A379" s="8" t="s">
        <v>2</v>
      </c>
      <c r="B379" s="5"/>
      <c r="C379" s="75"/>
      <c r="D379" s="6"/>
      <c r="E379" s="6"/>
      <c r="F379" s="6"/>
      <c r="G379" s="6"/>
      <c r="H379" s="6"/>
      <c r="I379" s="6"/>
    </row>
    <row r="380" spans="1:9" hidden="1" x14ac:dyDescent="0.2">
      <c r="A380" s="8" t="s">
        <v>3</v>
      </c>
      <c r="B380" s="5"/>
      <c r="C380" s="75"/>
      <c r="D380" s="6"/>
      <c r="E380" s="6"/>
      <c r="F380" s="6"/>
      <c r="G380" s="6"/>
      <c r="H380" s="6"/>
      <c r="I380" s="6"/>
    </row>
    <row r="381" spans="1:9" hidden="1" x14ac:dyDescent="0.2">
      <c r="A381" s="8" t="s">
        <v>4</v>
      </c>
      <c r="B381" s="5"/>
      <c r="C381" s="75"/>
      <c r="D381" s="6"/>
      <c r="E381" s="6"/>
      <c r="F381" s="6"/>
      <c r="G381" s="6"/>
      <c r="H381" s="6"/>
      <c r="I381" s="6"/>
    </row>
    <row r="382" spans="1:9" hidden="1" x14ac:dyDescent="0.2">
      <c r="A382" s="8" t="s">
        <v>5</v>
      </c>
      <c r="B382" s="5"/>
      <c r="C382" s="75"/>
      <c r="D382" s="6"/>
      <c r="E382" s="6"/>
      <c r="F382" s="6"/>
      <c r="G382" s="6"/>
      <c r="H382" s="6"/>
      <c r="I382" s="6"/>
    </row>
    <row r="383" spans="1:9" hidden="1" x14ac:dyDescent="0.2">
      <c r="A383" s="8" t="s">
        <v>6</v>
      </c>
      <c r="B383" s="5"/>
      <c r="C383" s="75"/>
      <c r="D383" s="6"/>
      <c r="E383" s="6"/>
      <c r="F383" s="6"/>
      <c r="G383" s="6"/>
      <c r="H383" s="6"/>
      <c r="I383" s="6"/>
    </row>
    <row r="384" spans="1:9" hidden="1" x14ac:dyDescent="0.2">
      <c r="A384" s="8" t="s">
        <v>7</v>
      </c>
      <c r="B384" s="5"/>
      <c r="C384" s="74"/>
      <c r="D384" s="6"/>
      <c r="E384" s="6"/>
      <c r="F384" s="6"/>
      <c r="G384" s="6"/>
      <c r="H384" s="6"/>
      <c r="I384" s="6"/>
    </row>
    <row r="385" spans="1:9" hidden="1" x14ac:dyDescent="0.2">
      <c r="A385" s="8" t="s">
        <v>8</v>
      </c>
      <c r="B385" s="5"/>
      <c r="C385" s="74"/>
      <c r="D385" s="6"/>
      <c r="E385" s="6"/>
      <c r="F385" s="6"/>
      <c r="G385" s="6"/>
      <c r="H385" s="6"/>
      <c r="I385" s="6"/>
    </row>
    <row r="386" spans="1:9" hidden="1" x14ac:dyDescent="0.2">
      <c r="A386" s="8" t="s">
        <v>9</v>
      </c>
      <c r="B386" s="5"/>
      <c r="C386" s="74"/>
      <c r="D386" s="6"/>
      <c r="E386" s="6"/>
      <c r="F386" s="6"/>
      <c r="G386" s="6"/>
      <c r="H386" s="6"/>
      <c r="I386" s="6"/>
    </row>
    <row r="387" spans="1:9" hidden="1" x14ac:dyDescent="0.2">
      <c r="A387" s="312" t="s">
        <v>10</v>
      </c>
      <c r="B387" s="313"/>
      <c r="C387" s="313"/>
      <c r="D387" s="313"/>
      <c r="E387" s="314"/>
      <c r="F387" s="11">
        <f>SUM(F377:F386)</f>
        <v>0</v>
      </c>
      <c r="G387" s="11">
        <f>SUM(G377:G386)</f>
        <v>0</v>
      </c>
      <c r="H387" s="11">
        <f>SUM(H377:H386)</f>
        <v>0</v>
      </c>
      <c r="I387" s="11"/>
    </row>
    <row r="388" spans="1:9" hidden="1" x14ac:dyDescent="0.2">
      <c r="A388" s="8" t="s">
        <v>0</v>
      </c>
      <c r="B388" s="5">
        <f>B377+1</f>
        <v>46139</v>
      </c>
      <c r="C388" s="75"/>
      <c r="D388" s="6"/>
      <c r="E388" s="6"/>
      <c r="F388" s="6"/>
      <c r="G388" s="6"/>
      <c r="H388" s="6"/>
      <c r="I388" s="6"/>
    </row>
    <row r="389" spans="1:9" hidden="1" x14ac:dyDescent="0.2">
      <c r="A389" s="8" t="s">
        <v>1</v>
      </c>
      <c r="B389" s="5"/>
      <c r="C389" s="75"/>
      <c r="D389" s="6"/>
      <c r="E389" s="6"/>
      <c r="F389" s="6"/>
      <c r="G389" s="6"/>
      <c r="H389" s="6"/>
      <c r="I389" s="6"/>
    </row>
    <row r="390" spans="1:9" hidden="1" x14ac:dyDescent="0.2">
      <c r="A390" s="8" t="s">
        <v>2</v>
      </c>
      <c r="B390" s="5"/>
      <c r="C390" s="75"/>
      <c r="D390" s="6"/>
      <c r="E390" s="6"/>
      <c r="F390" s="6"/>
      <c r="G390" s="6"/>
      <c r="H390" s="6"/>
      <c r="I390" s="6"/>
    </row>
    <row r="391" spans="1:9" hidden="1" x14ac:dyDescent="0.2">
      <c r="A391" s="8" t="s">
        <v>3</v>
      </c>
      <c r="B391" s="5"/>
      <c r="C391" s="75"/>
      <c r="D391" s="6"/>
      <c r="E391" s="6"/>
      <c r="F391" s="6"/>
      <c r="G391" s="6"/>
      <c r="H391" s="6"/>
      <c r="I391" s="6"/>
    </row>
    <row r="392" spans="1:9" hidden="1" x14ac:dyDescent="0.2">
      <c r="A392" s="8" t="s">
        <v>4</v>
      </c>
      <c r="B392" s="5"/>
      <c r="C392" s="75"/>
      <c r="D392" s="6"/>
      <c r="E392" s="6"/>
      <c r="F392" s="6"/>
      <c r="G392" s="6"/>
      <c r="H392" s="6"/>
      <c r="I392" s="6"/>
    </row>
    <row r="393" spans="1:9" hidden="1" x14ac:dyDescent="0.2">
      <c r="A393" s="8" t="s">
        <v>5</v>
      </c>
      <c r="B393" s="5"/>
      <c r="C393" s="75"/>
      <c r="D393" s="6"/>
      <c r="E393" s="6"/>
      <c r="F393" s="6"/>
      <c r="G393" s="6"/>
      <c r="H393" s="6"/>
      <c r="I393" s="6"/>
    </row>
    <row r="394" spans="1:9" hidden="1" x14ac:dyDescent="0.2">
      <c r="A394" s="8" t="s">
        <v>6</v>
      </c>
      <c r="B394" s="5"/>
      <c r="C394" s="74"/>
      <c r="D394" s="6"/>
      <c r="E394" s="6"/>
      <c r="F394" s="6"/>
      <c r="G394" s="6"/>
      <c r="H394" s="6"/>
      <c r="I394" s="6"/>
    </row>
    <row r="395" spans="1:9" hidden="1" x14ac:dyDescent="0.2">
      <c r="A395" s="8" t="s">
        <v>7</v>
      </c>
      <c r="B395" s="5"/>
      <c r="C395" s="74"/>
      <c r="D395" s="6"/>
      <c r="E395" s="6"/>
      <c r="F395" s="6"/>
      <c r="G395" s="6"/>
      <c r="H395" s="6"/>
      <c r="I395" s="6"/>
    </row>
    <row r="396" spans="1:9" hidden="1" x14ac:dyDescent="0.2">
      <c r="A396" s="8" t="s">
        <v>8</v>
      </c>
      <c r="B396" s="5"/>
      <c r="C396" s="74"/>
      <c r="D396" s="6"/>
      <c r="E396" s="6"/>
      <c r="F396" s="6"/>
      <c r="G396" s="6"/>
      <c r="H396" s="6"/>
      <c r="I396" s="6"/>
    </row>
    <row r="397" spans="1:9" hidden="1" x14ac:dyDescent="0.2">
      <c r="A397" s="8" t="s">
        <v>9</v>
      </c>
      <c r="B397" s="5"/>
      <c r="C397" s="74"/>
      <c r="D397" s="6"/>
      <c r="E397" s="6"/>
      <c r="F397" s="6"/>
      <c r="G397" s="6"/>
      <c r="H397" s="6"/>
      <c r="I397" s="6"/>
    </row>
    <row r="398" spans="1:9" hidden="1" x14ac:dyDescent="0.2">
      <c r="A398" s="312" t="s">
        <v>10</v>
      </c>
      <c r="B398" s="313"/>
      <c r="C398" s="313"/>
      <c r="D398" s="313"/>
      <c r="E398" s="314"/>
      <c r="F398" s="11">
        <f>SUM(F388:F397)</f>
        <v>0</v>
      </c>
      <c r="G398" s="11">
        <f>SUM(G388:G397)</f>
        <v>0</v>
      </c>
      <c r="H398" s="11">
        <f>SUM(H388:H397)</f>
        <v>0</v>
      </c>
      <c r="I398" s="11"/>
    </row>
    <row r="399" spans="1:9" hidden="1" x14ac:dyDescent="0.2">
      <c r="A399" s="8" t="s">
        <v>0</v>
      </c>
      <c r="B399" s="5">
        <f>B388+1</f>
        <v>46140</v>
      </c>
      <c r="C399" s="75"/>
      <c r="D399" s="6"/>
      <c r="E399" s="6"/>
      <c r="F399" s="6"/>
      <c r="G399" s="6"/>
      <c r="H399" s="6"/>
      <c r="I399" s="6"/>
    </row>
    <row r="400" spans="1:9" hidden="1" x14ac:dyDescent="0.2">
      <c r="A400" s="8" t="s">
        <v>1</v>
      </c>
      <c r="B400" s="5"/>
      <c r="C400" s="75"/>
      <c r="D400" s="6"/>
      <c r="E400" s="6"/>
      <c r="F400" s="6"/>
      <c r="G400" s="6"/>
      <c r="H400" s="6"/>
      <c r="I400" s="6"/>
    </row>
    <row r="401" spans="1:9" hidden="1" x14ac:dyDescent="0.2">
      <c r="A401" s="8" t="s">
        <v>2</v>
      </c>
      <c r="B401" s="5"/>
      <c r="C401" s="75"/>
      <c r="D401" s="6"/>
      <c r="E401" s="6"/>
      <c r="F401" s="6"/>
      <c r="G401" s="6"/>
      <c r="H401" s="6"/>
      <c r="I401" s="6"/>
    </row>
    <row r="402" spans="1:9" hidden="1" x14ac:dyDescent="0.2">
      <c r="A402" s="8" t="s">
        <v>3</v>
      </c>
      <c r="B402" s="5"/>
      <c r="C402" s="75"/>
      <c r="D402" s="6"/>
      <c r="E402" s="6"/>
      <c r="F402" s="6"/>
      <c r="G402" s="6"/>
      <c r="H402" s="6"/>
      <c r="I402" s="6"/>
    </row>
    <row r="403" spans="1:9" hidden="1" x14ac:dyDescent="0.2">
      <c r="A403" s="8" t="s">
        <v>4</v>
      </c>
      <c r="B403" s="5"/>
      <c r="C403" s="75"/>
      <c r="D403" s="6"/>
      <c r="E403" s="6"/>
      <c r="F403" s="6"/>
      <c r="G403" s="6"/>
      <c r="H403" s="6"/>
      <c r="I403" s="6"/>
    </row>
    <row r="404" spans="1:9" hidden="1" x14ac:dyDescent="0.2">
      <c r="A404" s="8" t="s">
        <v>5</v>
      </c>
      <c r="B404" s="5"/>
      <c r="C404" s="75"/>
      <c r="D404" s="6"/>
      <c r="E404" s="6"/>
      <c r="F404" s="6"/>
      <c r="G404" s="6"/>
      <c r="H404" s="6"/>
      <c r="I404" s="6"/>
    </row>
    <row r="405" spans="1:9" hidden="1" x14ac:dyDescent="0.2">
      <c r="A405" s="8" t="s">
        <v>6</v>
      </c>
      <c r="B405" s="5"/>
      <c r="C405" s="75"/>
      <c r="D405" s="6"/>
      <c r="E405" s="6"/>
      <c r="F405" s="6"/>
      <c r="G405" s="6"/>
      <c r="H405" s="6"/>
      <c r="I405" s="6"/>
    </row>
    <row r="406" spans="1:9" hidden="1" x14ac:dyDescent="0.2">
      <c r="A406" s="8" t="s">
        <v>7</v>
      </c>
      <c r="B406" s="5"/>
      <c r="C406" s="75"/>
      <c r="D406" s="6"/>
      <c r="E406" s="6"/>
      <c r="F406" s="6"/>
      <c r="G406" s="6"/>
      <c r="H406" s="6"/>
      <c r="I406" s="6"/>
    </row>
    <row r="407" spans="1:9" hidden="1" x14ac:dyDescent="0.2">
      <c r="A407" s="8" t="s">
        <v>8</v>
      </c>
      <c r="B407" s="5"/>
      <c r="C407" s="75"/>
      <c r="D407" s="6"/>
      <c r="E407" s="6"/>
      <c r="F407" s="6"/>
      <c r="G407" s="6"/>
      <c r="H407" s="6"/>
      <c r="I407" s="6"/>
    </row>
    <row r="408" spans="1:9" hidden="1" x14ac:dyDescent="0.2">
      <c r="A408" s="8" t="s">
        <v>9</v>
      </c>
      <c r="B408" s="5"/>
      <c r="C408" s="75"/>
      <c r="D408" s="6"/>
      <c r="E408" s="6"/>
      <c r="F408" s="6"/>
      <c r="G408" s="6"/>
      <c r="H408" s="6"/>
      <c r="I408" s="6"/>
    </row>
    <row r="409" spans="1:9" hidden="1" x14ac:dyDescent="0.2">
      <c r="A409" s="312" t="s">
        <v>10</v>
      </c>
      <c r="B409" s="313"/>
      <c r="C409" s="313"/>
      <c r="D409" s="313"/>
      <c r="E409" s="314"/>
      <c r="F409" s="11">
        <f>SUM(F399:F408)</f>
        <v>0</v>
      </c>
      <c r="G409" s="11">
        <f>SUM(G399:G408)</f>
        <v>0</v>
      </c>
      <c r="H409" s="11">
        <f>SUM(H399:H408)</f>
        <v>0</v>
      </c>
      <c r="I409" s="11"/>
    </row>
    <row r="410" spans="1:9" hidden="1" x14ac:dyDescent="0.2">
      <c r="A410" s="8" t="s">
        <v>0</v>
      </c>
      <c r="B410" s="5"/>
      <c r="C410" s="74"/>
      <c r="D410" s="6"/>
      <c r="E410" s="6"/>
      <c r="F410" s="6"/>
      <c r="G410" s="6"/>
      <c r="H410" s="6"/>
      <c r="I410" s="6"/>
    </row>
    <row r="411" spans="1:9" hidden="1" x14ac:dyDescent="0.2">
      <c r="A411" s="8" t="s">
        <v>1</v>
      </c>
      <c r="B411" s="5"/>
      <c r="C411" s="74"/>
      <c r="D411" s="6"/>
      <c r="E411" s="6"/>
      <c r="F411" s="6"/>
      <c r="G411" s="6"/>
      <c r="H411" s="6"/>
      <c r="I411" s="6"/>
    </row>
    <row r="412" spans="1:9" hidden="1" x14ac:dyDescent="0.2">
      <c r="A412" s="8" t="s">
        <v>2</v>
      </c>
      <c r="B412" s="5"/>
      <c r="C412" s="74"/>
      <c r="D412" s="6"/>
      <c r="E412" s="6"/>
      <c r="F412" s="6"/>
      <c r="G412" s="6"/>
      <c r="H412" s="6"/>
      <c r="I412" s="6"/>
    </row>
    <row r="413" spans="1:9" hidden="1" x14ac:dyDescent="0.2">
      <c r="A413" s="8" t="s">
        <v>3</v>
      </c>
      <c r="B413" s="5"/>
      <c r="C413" s="74"/>
      <c r="D413" s="6"/>
      <c r="E413" s="6"/>
      <c r="F413" s="6"/>
      <c r="G413" s="6"/>
      <c r="H413" s="6"/>
      <c r="I413" s="6"/>
    </row>
    <row r="414" spans="1:9" hidden="1" x14ac:dyDescent="0.2">
      <c r="A414" s="8" t="s">
        <v>4</v>
      </c>
      <c r="B414" s="5"/>
      <c r="C414" s="74"/>
      <c r="D414" s="6"/>
      <c r="E414" s="6"/>
      <c r="F414" s="6"/>
      <c r="G414" s="6"/>
      <c r="H414" s="6"/>
      <c r="I414" s="6"/>
    </row>
    <row r="415" spans="1:9" hidden="1" x14ac:dyDescent="0.2">
      <c r="A415" s="8" t="s">
        <v>5</v>
      </c>
      <c r="B415" s="5"/>
      <c r="C415" s="74"/>
      <c r="D415" s="6"/>
      <c r="E415" s="6"/>
      <c r="F415" s="6"/>
      <c r="G415" s="6"/>
      <c r="H415" s="6"/>
      <c r="I415" s="6"/>
    </row>
    <row r="416" spans="1:9" hidden="1" x14ac:dyDescent="0.2">
      <c r="A416" s="8" t="s">
        <v>6</v>
      </c>
      <c r="B416" s="5"/>
      <c r="C416" s="74"/>
      <c r="D416" s="6"/>
      <c r="E416" s="6"/>
      <c r="F416" s="6"/>
      <c r="G416" s="6"/>
      <c r="H416" s="6"/>
      <c r="I416" s="6"/>
    </row>
    <row r="417" spans="1:9" hidden="1" x14ac:dyDescent="0.2">
      <c r="A417" s="8" t="s">
        <v>7</v>
      </c>
      <c r="B417" s="5"/>
      <c r="C417" s="74"/>
      <c r="D417" s="6"/>
      <c r="E417" s="6"/>
      <c r="F417" s="6"/>
      <c r="G417" s="6"/>
      <c r="H417" s="6"/>
      <c r="I417" s="6"/>
    </row>
    <row r="418" spans="1:9" hidden="1" x14ac:dyDescent="0.2">
      <c r="A418" s="8" t="s">
        <v>8</v>
      </c>
      <c r="B418" s="5"/>
      <c r="C418" s="74"/>
      <c r="D418" s="6"/>
      <c r="E418" s="6"/>
      <c r="F418" s="6"/>
      <c r="G418" s="6"/>
      <c r="H418" s="6"/>
      <c r="I418" s="6"/>
    </row>
    <row r="419" spans="1:9" hidden="1" x14ac:dyDescent="0.2">
      <c r="A419" s="8" t="s">
        <v>9</v>
      </c>
      <c r="B419" s="5"/>
      <c r="C419" s="74"/>
      <c r="D419" s="6"/>
      <c r="E419" s="6"/>
      <c r="F419" s="6"/>
      <c r="G419" s="6"/>
      <c r="H419" s="6"/>
      <c r="I419" s="6"/>
    </row>
    <row r="420" spans="1:9" hidden="1" x14ac:dyDescent="0.2">
      <c r="A420" s="312" t="s">
        <v>10</v>
      </c>
      <c r="B420" s="313"/>
      <c r="C420" s="313"/>
      <c r="D420" s="313"/>
      <c r="E420" s="314"/>
      <c r="F420" s="11">
        <f>SUM(F410:F419)</f>
        <v>0</v>
      </c>
      <c r="G420" s="11">
        <f>SUM(G410:G419)</f>
        <v>0</v>
      </c>
      <c r="H420" s="11">
        <f>SUM(H410:H419)</f>
        <v>0</v>
      </c>
      <c r="I420" s="11"/>
    </row>
    <row r="421" spans="1:9" s="25" customFormat="1" ht="18" x14ac:dyDescent="0.2">
      <c r="A421" s="315" t="s">
        <v>39</v>
      </c>
      <c r="B421" s="316"/>
      <c r="C421" s="316"/>
      <c r="D421" s="316"/>
      <c r="E421" s="317"/>
      <c r="F421" s="22">
        <f>F354+F365+F376+F387+F398+F409+F420+F336</f>
        <v>75</v>
      </c>
      <c r="G421" s="22">
        <f>G354+G365+G376+G387+G398+G409+G420+G336</f>
        <v>16</v>
      </c>
      <c r="H421" s="22">
        <f>H354+H365+H376+H387+H398+H409+H420+H336</f>
        <v>505</v>
      </c>
      <c r="I421" s="22"/>
    </row>
  </sheetData>
  <mergeCells count="70">
    <mergeCell ref="F5:H5"/>
    <mergeCell ref="A1:I1"/>
    <mergeCell ref="A2:E2"/>
    <mergeCell ref="A3:C3"/>
    <mergeCell ref="A4:C4"/>
    <mergeCell ref="F4:G4"/>
    <mergeCell ref="A88:C88"/>
    <mergeCell ref="F88:G88"/>
    <mergeCell ref="A17:E17"/>
    <mergeCell ref="A28:E28"/>
    <mergeCell ref="A39:E39"/>
    <mergeCell ref="A50:E50"/>
    <mergeCell ref="A61:E61"/>
    <mergeCell ref="A72:E72"/>
    <mergeCell ref="A83:E83"/>
    <mergeCell ref="A84:E84"/>
    <mergeCell ref="A85:I85"/>
    <mergeCell ref="A86:E86"/>
    <mergeCell ref="A87:C87"/>
    <mergeCell ref="A171:C171"/>
    <mergeCell ref="F89:H89"/>
    <mergeCell ref="A101:E101"/>
    <mergeCell ref="A112:E112"/>
    <mergeCell ref="A123:E123"/>
    <mergeCell ref="A134:E134"/>
    <mergeCell ref="A145:E145"/>
    <mergeCell ref="A156:E156"/>
    <mergeCell ref="A167:E167"/>
    <mergeCell ref="A168:E168"/>
    <mergeCell ref="A169:I169"/>
    <mergeCell ref="A170:E170"/>
    <mergeCell ref="A253:I253"/>
    <mergeCell ref="A172:C172"/>
    <mergeCell ref="F172:G172"/>
    <mergeCell ref="F173:H173"/>
    <mergeCell ref="A185:E185"/>
    <mergeCell ref="A196:E196"/>
    <mergeCell ref="A207:E207"/>
    <mergeCell ref="A218:E218"/>
    <mergeCell ref="A229:E229"/>
    <mergeCell ref="A240:E240"/>
    <mergeCell ref="A251:E251"/>
    <mergeCell ref="A252:E252"/>
    <mergeCell ref="A335:E335"/>
    <mergeCell ref="A254:E254"/>
    <mergeCell ref="A255:C255"/>
    <mergeCell ref="A256:C256"/>
    <mergeCell ref="F256:G256"/>
    <mergeCell ref="F257:H257"/>
    <mergeCell ref="A269:E269"/>
    <mergeCell ref="A280:E280"/>
    <mergeCell ref="A291:E291"/>
    <mergeCell ref="A302:E302"/>
    <mergeCell ref="A313:E313"/>
    <mergeCell ref="A324:E324"/>
    <mergeCell ref="A336:E336"/>
    <mergeCell ref="A337:I337"/>
    <mergeCell ref="A338:E338"/>
    <mergeCell ref="A339:C339"/>
    <mergeCell ref="A340:C340"/>
    <mergeCell ref="F340:G340"/>
    <mergeCell ref="A409:E409"/>
    <mergeCell ref="A420:E420"/>
    <mergeCell ref="A421:E421"/>
    <mergeCell ref="F341:H341"/>
    <mergeCell ref="A354:E354"/>
    <mergeCell ref="A365:E365"/>
    <mergeCell ref="A376:E376"/>
    <mergeCell ref="A387:E387"/>
    <mergeCell ref="A398:E398"/>
  </mergeCells>
  <pageMargins left="0.59055118110236227" right="0.39370078740157483" top="0.59055118110236227" bottom="0.39370078740157483" header="0.31496062992125984" footer="0.31496062992125984"/>
  <pageSetup paperSize="9" scale="99" fitToHeight="5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1"/>
  <sheetViews>
    <sheetView topLeftCell="A347" zoomScale="150" zoomScaleNormal="150" workbookViewId="0">
      <selection activeCell="A366" sqref="A366:XFD420"/>
    </sheetView>
  </sheetViews>
  <sheetFormatPr defaultColWidth="9" defaultRowHeight="17.25" x14ac:dyDescent="0.2"/>
  <cols>
    <col min="1" max="1" width="4" style="1" bestFit="1" customWidth="1"/>
    <col min="2" max="2" width="10.625" style="7" customWidth="1"/>
    <col min="3" max="3" width="11.25" style="76" customWidth="1"/>
    <col min="4" max="4" width="15.625" style="1" customWidth="1"/>
    <col min="5" max="5" width="10.625" style="1" customWidth="1"/>
    <col min="6" max="8" width="7.625" style="1" customWidth="1"/>
    <col min="9" max="9" width="18" style="1" customWidth="1"/>
    <col min="10" max="16384" width="9" style="1"/>
  </cols>
  <sheetData>
    <row r="1" spans="1:9" ht="21.95" customHeight="1" x14ac:dyDescent="0.2">
      <c r="A1" s="319" t="s">
        <v>14</v>
      </c>
      <c r="B1" s="319"/>
      <c r="C1" s="319"/>
      <c r="D1" s="319"/>
      <c r="E1" s="319"/>
      <c r="F1" s="319"/>
      <c r="G1" s="319"/>
      <c r="H1" s="319"/>
      <c r="I1" s="319"/>
    </row>
    <row r="2" spans="1:9" s="53" customFormat="1" ht="20.100000000000001" customHeight="1" x14ac:dyDescent="0.2">
      <c r="A2" s="323" t="s">
        <v>86</v>
      </c>
      <c r="B2" s="323"/>
      <c r="C2" s="323"/>
      <c r="D2" s="323"/>
      <c r="E2" s="323"/>
      <c r="F2" s="104" t="str">
        <f>'1'!$F$2</f>
        <v>เมษายน</v>
      </c>
      <c r="G2" s="50" t="s">
        <v>87</v>
      </c>
      <c r="H2" s="51">
        <f>'1'!$H$2</f>
        <v>2569</v>
      </c>
      <c r="I2" s="52"/>
    </row>
    <row r="3" spans="1:9" s="3" customFormat="1" ht="20.100000000000001" customHeight="1" x14ac:dyDescent="0.4">
      <c r="A3" s="318" t="s">
        <v>38</v>
      </c>
      <c r="B3" s="318"/>
      <c r="C3" s="318"/>
      <c r="D3" s="2"/>
      <c r="F3" s="4"/>
      <c r="G3" s="4"/>
      <c r="H3" s="4" t="s">
        <v>21</v>
      </c>
      <c r="I3" s="41">
        <v>1</v>
      </c>
    </row>
    <row r="4" spans="1:9" s="49" customFormat="1" ht="20.100000000000001" customHeight="1" x14ac:dyDescent="0.35">
      <c r="A4" s="327" t="s">
        <v>68</v>
      </c>
      <c r="B4" s="327"/>
      <c r="C4" s="327"/>
      <c r="D4" s="46"/>
      <c r="E4" s="47" t="s">
        <v>81</v>
      </c>
      <c r="F4" s="328">
        <f>'1'!$F$4</f>
        <v>46107</v>
      </c>
      <c r="G4" s="328"/>
      <c r="H4" s="47" t="s">
        <v>82</v>
      </c>
      <c r="I4" s="48">
        <f>'1'!$I$4</f>
        <v>46136</v>
      </c>
    </row>
    <row r="5" spans="1:9" x14ac:dyDescent="0.2">
      <c r="A5" s="12" t="s">
        <v>23</v>
      </c>
      <c r="B5" s="13" t="s">
        <v>11</v>
      </c>
      <c r="C5" s="72" t="s">
        <v>26</v>
      </c>
      <c r="D5" s="12" t="s">
        <v>16</v>
      </c>
      <c r="E5" s="12" t="s">
        <v>17</v>
      </c>
      <c r="F5" s="310" t="s">
        <v>46</v>
      </c>
      <c r="G5" s="310"/>
      <c r="H5" s="310"/>
      <c r="I5" s="12" t="s">
        <v>19</v>
      </c>
    </row>
    <row r="6" spans="1:9" x14ac:dyDescent="0.2">
      <c r="A6" s="15"/>
      <c r="B6" s="16"/>
      <c r="C6" s="73"/>
      <c r="D6" s="15"/>
      <c r="E6" s="15"/>
      <c r="F6" s="21" t="s">
        <v>113</v>
      </c>
      <c r="G6" s="21" t="s">
        <v>114</v>
      </c>
      <c r="H6" s="21" t="s">
        <v>20</v>
      </c>
      <c r="I6" s="15"/>
    </row>
    <row r="7" spans="1:9" x14ac:dyDescent="0.2">
      <c r="A7" s="8" t="s">
        <v>0</v>
      </c>
      <c r="B7" s="5">
        <f>'9'!B7</f>
        <v>46107</v>
      </c>
      <c r="C7" s="74" t="s">
        <v>231</v>
      </c>
      <c r="D7" s="6" t="s">
        <v>178</v>
      </c>
      <c r="E7" s="6" t="s">
        <v>165</v>
      </c>
      <c r="F7" s="6">
        <v>1</v>
      </c>
      <c r="G7" s="6"/>
      <c r="H7" s="6">
        <v>6</v>
      </c>
      <c r="I7" s="6"/>
    </row>
    <row r="8" spans="1:9" x14ac:dyDescent="0.2">
      <c r="A8" s="8" t="s">
        <v>1</v>
      </c>
      <c r="B8" s="5"/>
      <c r="C8" s="74" t="s">
        <v>232</v>
      </c>
      <c r="D8" s="6" t="s">
        <v>211</v>
      </c>
      <c r="E8" s="6" t="s">
        <v>165</v>
      </c>
      <c r="F8" s="6">
        <v>1</v>
      </c>
      <c r="G8" s="6"/>
      <c r="H8" s="6">
        <v>5</v>
      </c>
      <c r="I8" s="6"/>
    </row>
    <row r="9" spans="1:9" x14ac:dyDescent="0.2">
      <c r="A9" s="8" t="s">
        <v>2</v>
      </c>
      <c r="B9" s="5"/>
      <c r="C9" s="74" t="s">
        <v>233</v>
      </c>
      <c r="D9" s="6" t="s">
        <v>178</v>
      </c>
      <c r="E9" s="6" t="s">
        <v>165</v>
      </c>
      <c r="F9" s="54">
        <v>1</v>
      </c>
      <c r="G9" s="6"/>
      <c r="H9" s="6">
        <v>6</v>
      </c>
      <c r="I9" s="6"/>
    </row>
    <row r="10" spans="1:9" x14ac:dyDescent="0.2">
      <c r="A10" s="8" t="s">
        <v>3</v>
      </c>
      <c r="B10" s="5"/>
      <c r="C10" s="74" t="s">
        <v>234</v>
      </c>
      <c r="D10" s="6" t="s">
        <v>170</v>
      </c>
      <c r="E10" s="6" t="s">
        <v>171</v>
      </c>
      <c r="F10" s="6">
        <v>1</v>
      </c>
      <c r="G10" s="6"/>
      <c r="H10" s="6">
        <v>6</v>
      </c>
      <c r="I10" s="6"/>
    </row>
    <row r="11" spans="1:9" x14ac:dyDescent="0.2">
      <c r="A11" s="8" t="s">
        <v>4</v>
      </c>
      <c r="B11" s="5"/>
      <c r="C11" s="74" t="s">
        <v>235</v>
      </c>
      <c r="D11" s="6" t="s">
        <v>170</v>
      </c>
      <c r="E11" s="6" t="s">
        <v>171</v>
      </c>
      <c r="F11" s="6">
        <v>1</v>
      </c>
      <c r="G11" s="6"/>
      <c r="H11" s="6">
        <v>6</v>
      </c>
      <c r="I11" s="6"/>
    </row>
    <row r="12" spans="1:9" x14ac:dyDescent="0.2">
      <c r="A12" s="8" t="s">
        <v>5</v>
      </c>
      <c r="B12" s="5"/>
      <c r="C12" s="74" t="s">
        <v>236</v>
      </c>
      <c r="D12" s="6" t="s">
        <v>170</v>
      </c>
      <c r="E12" s="6" t="s">
        <v>171</v>
      </c>
      <c r="F12" s="6">
        <v>1</v>
      </c>
      <c r="G12" s="6"/>
      <c r="H12" s="6">
        <v>6</v>
      </c>
      <c r="I12" s="6"/>
    </row>
    <row r="13" spans="1:9" hidden="1" x14ac:dyDescent="0.2">
      <c r="A13" s="8" t="s">
        <v>6</v>
      </c>
      <c r="B13" s="5"/>
      <c r="C13" s="74"/>
      <c r="D13" s="6"/>
      <c r="E13" s="6"/>
      <c r="F13" s="6"/>
      <c r="G13" s="6"/>
      <c r="H13" s="6"/>
      <c r="I13" s="6"/>
    </row>
    <row r="14" spans="1:9" hidden="1" x14ac:dyDescent="0.2">
      <c r="A14" s="8" t="s">
        <v>7</v>
      </c>
      <c r="B14" s="5"/>
      <c r="C14" s="74"/>
      <c r="D14" s="6"/>
      <c r="E14" s="6"/>
      <c r="F14" s="6"/>
      <c r="G14" s="6"/>
      <c r="H14" s="6"/>
      <c r="I14" s="6"/>
    </row>
    <row r="15" spans="1:9" hidden="1" x14ac:dyDescent="0.2">
      <c r="A15" s="8" t="s">
        <v>8</v>
      </c>
      <c r="B15" s="5"/>
      <c r="C15" s="74"/>
      <c r="D15" s="6"/>
      <c r="E15" s="6"/>
      <c r="F15" s="6"/>
      <c r="G15" s="6"/>
      <c r="H15" s="6"/>
      <c r="I15" s="6"/>
    </row>
    <row r="16" spans="1:9" hidden="1" x14ac:dyDescent="0.2">
      <c r="A16" s="8" t="s">
        <v>9</v>
      </c>
      <c r="B16" s="5"/>
      <c r="C16" s="74"/>
      <c r="D16" s="6"/>
      <c r="E16" s="6"/>
      <c r="F16" s="6"/>
      <c r="G16" s="6"/>
      <c r="H16" s="6"/>
      <c r="I16" s="6"/>
    </row>
    <row r="17" spans="1:9" x14ac:dyDescent="0.2">
      <c r="A17" s="312" t="s">
        <v>10</v>
      </c>
      <c r="B17" s="313"/>
      <c r="C17" s="313"/>
      <c r="D17" s="313"/>
      <c r="E17" s="314"/>
      <c r="F17" s="11">
        <f>SUM(F7:F16)</f>
        <v>6</v>
      </c>
      <c r="G17" s="11">
        <f>SUM(G7:G16)</f>
        <v>0</v>
      </c>
      <c r="H17" s="11">
        <f>SUM(H7:H16)</f>
        <v>35</v>
      </c>
      <c r="I17" s="11"/>
    </row>
    <row r="18" spans="1:9" x14ac:dyDescent="0.2">
      <c r="A18" s="8" t="s">
        <v>0</v>
      </c>
      <c r="B18" s="5">
        <f>B7+1</f>
        <v>46108</v>
      </c>
      <c r="C18" s="75" t="s">
        <v>319</v>
      </c>
      <c r="D18" s="6" t="s">
        <v>188</v>
      </c>
      <c r="E18" s="6" t="s">
        <v>165</v>
      </c>
      <c r="F18" s="6">
        <v>1</v>
      </c>
      <c r="G18" s="6"/>
      <c r="H18" s="6">
        <v>5</v>
      </c>
      <c r="I18" s="6"/>
    </row>
    <row r="19" spans="1:9" x14ac:dyDescent="0.2">
      <c r="A19" s="8" t="s">
        <v>1</v>
      </c>
      <c r="B19" s="5"/>
      <c r="C19" s="75" t="s">
        <v>320</v>
      </c>
      <c r="D19" s="6" t="s">
        <v>242</v>
      </c>
      <c r="E19" s="6" t="s">
        <v>171</v>
      </c>
      <c r="F19" s="6">
        <v>1</v>
      </c>
      <c r="G19" s="6"/>
      <c r="H19" s="6">
        <v>5</v>
      </c>
      <c r="I19" s="6"/>
    </row>
    <row r="20" spans="1:9" x14ac:dyDescent="0.2">
      <c r="A20" s="8" t="s">
        <v>2</v>
      </c>
      <c r="B20" s="5"/>
      <c r="C20" s="75" t="s">
        <v>321</v>
      </c>
      <c r="D20" s="6" t="s">
        <v>170</v>
      </c>
      <c r="E20" s="6" t="s">
        <v>171</v>
      </c>
      <c r="F20" s="6">
        <v>1</v>
      </c>
      <c r="G20" s="6"/>
      <c r="H20" s="6">
        <v>6</v>
      </c>
      <c r="I20" s="6"/>
    </row>
    <row r="21" spans="1:9" x14ac:dyDescent="0.2">
      <c r="A21" s="8" t="s">
        <v>3</v>
      </c>
      <c r="B21" s="5"/>
      <c r="C21" s="75" t="s">
        <v>322</v>
      </c>
      <c r="D21" s="6" t="s">
        <v>170</v>
      </c>
      <c r="E21" s="6" t="s">
        <v>171</v>
      </c>
      <c r="F21" s="6">
        <v>1</v>
      </c>
      <c r="G21" s="6"/>
      <c r="H21" s="6">
        <v>6</v>
      </c>
      <c r="I21" s="6"/>
    </row>
    <row r="22" spans="1:9" x14ac:dyDescent="0.2">
      <c r="A22" s="8" t="s">
        <v>4</v>
      </c>
      <c r="B22" s="5"/>
      <c r="C22" s="75" t="s">
        <v>323</v>
      </c>
      <c r="D22" s="6" t="s">
        <v>242</v>
      </c>
      <c r="E22" s="6" t="s">
        <v>171</v>
      </c>
      <c r="F22" s="6">
        <v>1</v>
      </c>
      <c r="G22" s="6"/>
      <c r="H22" s="6">
        <v>5</v>
      </c>
      <c r="I22" s="6"/>
    </row>
    <row r="23" spans="1:9" x14ac:dyDescent="0.2">
      <c r="A23" s="8" t="s">
        <v>5</v>
      </c>
      <c r="B23" s="5"/>
      <c r="C23" s="75" t="s">
        <v>324</v>
      </c>
      <c r="D23" s="6" t="s">
        <v>170</v>
      </c>
      <c r="E23" s="6" t="s">
        <v>171</v>
      </c>
      <c r="F23" s="6">
        <v>1</v>
      </c>
      <c r="G23" s="6"/>
      <c r="H23" s="6">
        <v>6</v>
      </c>
      <c r="I23" s="6"/>
    </row>
    <row r="24" spans="1:9" x14ac:dyDescent="0.2">
      <c r="A24" s="8" t="s">
        <v>6</v>
      </c>
      <c r="B24" s="5"/>
      <c r="C24" s="75" t="s">
        <v>326</v>
      </c>
      <c r="D24" s="6" t="s">
        <v>170</v>
      </c>
      <c r="E24" s="6" t="s">
        <v>171</v>
      </c>
      <c r="F24" s="6"/>
      <c r="G24" s="6">
        <v>1</v>
      </c>
      <c r="H24" s="6">
        <v>6</v>
      </c>
      <c r="I24" s="6"/>
    </row>
    <row r="25" spans="1:9" x14ac:dyDescent="0.2">
      <c r="A25" s="8" t="s">
        <v>7</v>
      </c>
      <c r="B25" s="5"/>
      <c r="C25" s="75" t="s">
        <v>327</v>
      </c>
      <c r="D25" s="6" t="s">
        <v>242</v>
      </c>
      <c r="E25" s="6" t="s">
        <v>171</v>
      </c>
      <c r="F25" s="6"/>
      <c r="G25" s="6">
        <v>1</v>
      </c>
      <c r="H25" s="6">
        <v>6</v>
      </c>
      <c r="I25" s="6"/>
    </row>
    <row r="26" spans="1:9" hidden="1" x14ac:dyDescent="0.2">
      <c r="A26" s="8" t="s">
        <v>8</v>
      </c>
      <c r="B26" s="5"/>
      <c r="C26" s="74"/>
      <c r="D26" s="6"/>
      <c r="E26" s="6"/>
      <c r="F26" s="6"/>
      <c r="G26" s="6"/>
      <c r="H26" s="6"/>
      <c r="I26" s="6"/>
    </row>
    <row r="27" spans="1:9" hidden="1" x14ac:dyDescent="0.2">
      <c r="A27" s="8" t="s">
        <v>9</v>
      </c>
      <c r="B27" s="5"/>
      <c r="C27" s="74"/>
      <c r="D27" s="6"/>
      <c r="E27" s="6"/>
      <c r="F27" s="6"/>
      <c r="G27" s="6"/>
      <c r="H27" s="6"/>
      <c r="I27" s="6"/>
    </row>
    <row r="28" spans="1:9" x14ac:dyDescent="0.2">
      <c r="A28" s="312" t="s">
        <v>10</v>
      </c>
      <c r="B28" s="313"/>
      <c r="C28" s="313"/>
      <c r="D28" s="313"/>
      <c r="E28" s="314"/>
      <c r="F28" s="11">
        <f>SUM(F18:F27)</f>
        <v>6</v>
      </c>
      <c r="G28" s="11">
        <f>SUM(G18:G27)</f>
        <v>2</v>
      </c>
      <c r="H28" s="11">
        <f>SUM(H18:H27)</f>
        <v>45</v>
      </c>
      <c r="I28" s="11"/>
    </row>
    <row r="29" spans="1:9" x14ac:dyDescent="0.2">
      <c r="A29" s="8" t="s">
        <v>0</v>
      </c>
      <c r="B29" s="5">
        <f>B18+1</f>
        <v>46109</v>
      </c>
      <c r="C29" s="74" t="s">
        <v>369</v>
      </c>
      <c r="D29" s="6" t="s">
        <v>361</v>
      </c>
      <c r="E29" s="6" t="s">
        <v>168</v>
      </c>
      <c r="F29" s="6">
        <v>1</v>
      </c>
      <c r="G29" s="6"/>
      <c r="H29" s="6">
        <v>4.75</v>
      </c>
      <c r="I29" s="6"/>
    </row>
    <row r="30" spans="1:9" x14ac:dyDescent="0.2">
      <c r="A30" s="8" t="s">
        <v>1</v>
      </c>
      <c r="B30" s="5"/>
      <c r="C30" s="74" t="s">
        <v>367</v>
      </c>
      <c r="D30" s="6" t="s">
        <v>253</v>
      </c>
      <c r="E30" s="6" t="s">
        <v>351</v>
      </c>
      <c r="F30" s="6">
        <v>1</v>
      </c>
      <c r="G30" s="6"/>
      <c r="H30" s="6">
        <v>5</v>
      </c>
      <c r="I30" s="6"/>
    </row>
    <row r="31" spans="1:9" hidden="1" x14ac:dyDescent="0.2">
      <c r="A31" s="8" t="s">
        <v>2</v>
      </c>
      <c r="B31" s="5"/>
      <c r="C31" s="74"/>
      <c r="D31" s="6"/>
      <c r="E31" s="6"/>
      <c r="F31" s="6"/>
      <c r="G31" s="6"/>
      <c r="H31" s="6"/>
      <c r="I31" s="6"/>
    </row>
    <row r="32" spans="1:9" hidden="1" x14ac:dyDescent="0.2">
      <c r="A32" s="8" t="s">
        <v>3</v>
      </c>
      <c r="B32" s="5"/>
      <c r="C32" s="74"/>
      <c r="D32" s="6"/>
      <c r="E32" s="6"/>
      <c r="F32" s="6"/>
      <c r="G32" s="6"/>
      <c r="H32" s="6"/>
      <c r="I32" s="6"/>
    </row>
    <row r="33" spans="1:9" hidden="1" x14ac:dyDescent="0.2">
      <c r="A33" s="8" t="s">
        <v>4</v>
      </c>
      <c r="B33" s="5"/>
      <c r="C33" s="74"/>
      <c r="D33" s="6"/>
      <c r="E33" s="6"/>
      <c r="F33" s="6"/>
      <c r="G33" s="6"/>
      <c r="H33" s="6"/>
      <c r="I33" s="6"/>
    </row>
    <row r="34" spans="1:9" hidden="1" x14ac:dyDescent="0.2">
      <c r="A34" s="8" t="s">
        <v>5</v>
      </c>
      <c r="B34" s="5"/>
      <c r="C34" s="74"/>
      <c r="D34" s="6"/>
      <c r="E34" s="6"/>
      <c r="F34" s="6"/>
      <c r="G34" s="6"/>
      <c r="H34" s="6"/>
      <c r="I34" s="6"/>
    </row>
    <row r="35" spans="1:9" hidden="1" x14ac:dyDescent="0.2">
      <c r="A35" s="8" t="s">
        <v>6</v>
      </c>
      <c r="B35" s="5"/>
      <c r="C35" s="74"/>
      <c r="D35" s="6"/>
      <c r="E35" s="6"/>
      <c r="F35" s="6"/>
      <c r="G35" s="6"/>
      <c r="H35" s="6"/>
      <c r="I35" s="6"/>
    </row>
    <row r="36" spans="1:9" hidden="1" x14ac:dyDescent="0.2">
      <c r="A36" s="8" t="s">
        <v>7</v>
      </c>
      <c r="B36" s="5"/>
      <c r="C36" s="74"/>
      <c r="D36" s="6"/>
      <c r="E36" s="6"/>
      <c r="F36" s="6"/>
      <c r="G36" s="6"/>
      <c r="H36" s="6"/>
      <c r="I36" s="6"/>
    </row>
    <row r="37" spans="1:9" hidden="1" x14ac:dyDescent="0.2">
      <c r="A37" s="8" t="s">
        <v>8</v>
      </c>
      <c r="B37" s="5"/>
      <c r="C37" s="74"/>
      <c r="D37" s="6"/>
      <c r="E37" s="6"/>
      <c r="F37" s="6"/>
      <c r="G37" s="6"/>
      <c r="H37" s="6"/>
      <c r="I37" s="6"/>
    </row>
    <row r="38" spans="1:9" hidden="1" x14ac:dyDescent="0.2">
      <c r="A38" s="8" t="s">
        <v>9</v>
      </c>
      <c r="B38" s="5"/>
      <c r="C38" s="74"/>
      <c r="D38" s="6"/>
      <c r="E38" s="6"/>
      <c r="F38" s="6"/>
      <c r="G38" s="6"/>
      <c r="H38" s="6"/>
      <c r="I38" s="6"/>
    </row>
    <row r="39" spans="1:9" x14ac:dyDescent="0.2">
      <c r="A39" s="312" t="s">
        <v>10</v>
      </c>
      <c r="B39" s="313"/>
      <c r="C39" s="313"/>
      <c r="D39" s="313"/>
      <c r="E39" s="314"/>
      <c r="F39" s="11">
        <f>SUM(F29:F38)</f>
        <v>2</v>
      </c>
      <c r="G39" s="11">
        <f>SUM(G29:G38)</f>
        <v>0</v>
      </c>
      <c r="H39" s="11">
        <f>SUM(H29:H38)</f>
        <v>9.75</v>
      </c>
      <c r="I39" s="11"/>
    </row>
    <row r="40" spans="1:9" x14ac:dyDescent="0.2">
      <c r="A40" s="8" t="s">
        <v>0</v>
      </c>
      <c r="B40" s="5">
        <f>B29+1</f>
        <v>46110</v>
      </c>
      <c r="C40" s="75" t="s">
        <v>429</v>
      </c>
      <c r="D40" s="6" t="s">
        <v>371</v>
      </c>
      <c r="E40" s="6" t="s">
        <v>165</v>
      </c>
      <c r="F40" s="6">
        <v>1</v>
      </c>
      <c r="G40" s="6"/>
      <c r="H40" s="6">
        <v>6</v>
      </c>
      <c r="I40" s="6"/>
    </row>
    <row r="41" spans="1:9" x14ac:dyDescent="0.2">
      <c r="A41" s="8" t="s">
        <v>1</v>
      </c>
      <c r="B41" s="5"/>
      <c r="C41" s="75" t="s">
        <v>430</v>
      </c>
      <c r="D41" s="6" t="s">
        <v>371</v>
      </c>
      <c r="E41" s="6" t="s">
        <v>165</v>
      </c>
      <c r="F41" s="6">
        <v>1</v>
      </c>
      <c r="G41" s="6"/>
      <c r="H41" s="6">
        <v>6</v>
      </c>
      <c r="I41" s="6"/>
    </row>
    <row r="42" spans="1:9" x14ac:dyDescent="0.2">
      <c r="A42" s="8" t="s">
        <v>2</v>
      </c>
      <c r="B42" s="5"/>
      <c r="C42" s="75" t="s">
        <v>431</v>
      </c>
      <c r="D42" s="6" t="s">
        <v>242</v>
      </c>
      <c r="E42" s="6" t="s">
        <v>171</v>
      </c>
      <c r="F42" s="6">
        <v>1</v>
      </c>
      <c r="G42" s="6"/>
      <c r="H42" s="6">
        <v>5.5</v>
      </c>
      <c r="I42" s="6"/>
    </row>
    <row r="43" spans="1:9" x14ac:dyDescent="0.2">
      <c r="A43" s="8" t="s">
        <v>3</v>
      </c>
      <c r="B43" s="5"/>
      <c r="C43" s="75" t="s">
        <v>432</v>
      </c>
      <c r="D43" s="6" t="s">
        <v>253</v>
      </c>
      <c r="E43" s="6" t="s">
        <v>351</v>
      </c>
      <c r="F43" s="6">
        <v>1</v>
      </c>
      <c r="G43" s="6"/>
      <c r="H43" s="6">
        <v>4.75</v>
      </c>
      <c r="I43" s="6"/>
    </row>
    <row r="44" spans="1:9" x14ac:dyDescent="0.2">
      <c r="A44" s="8" t="s">
        <v>4</v>
      </c>
      <c r="B44" s="5"/>
      <c r="C44" s="75" t="s">
        <v>433</v>
      </c>
      <c r="D44" s="6" t="s">
        <v>371</v>
      </c>
      <c r="E44" s="6" t="s">
        <v>165</v>
      </c>
      <c r="F44" s="6">
        <v>1</v>
      </c>
      <c r="G44" s="6"/>
      <c r="H44" s="6">
        <v>6</v>
      </c>
      <c r="I44" s="6"/>
    </row>
    <row r="45" spans="1:9" x14ac:dyDescent="0.2">
      <c r="A45" s="8" t="s">
        <v>5</v>
      </c>
      <c r="B45" s="5"/>
      <c r="C45" s="75" t="s">
        <v>434</v>
      </c>
      <c r="D45" s="6" t="s">
        <v>242</v>
      </c>
      <c r="E45" s="6" t="s">
        <v>171</v>
      </c>
      <c r="F45" s="6"/>
      <c r="G45" s="6">
        <v>1</v>
      </c>
      <c r="H45" s="6">
        <v>2</v>
      </c>
      <c r="I45" s="6"/>
    </row>
    <row r="46" spans="1:9" hidden="1" x14ac:dyDescent="0.2">
      <c r="A46" s="8" t="s">
        <v>6</v>
      </c>
      <c r="B46" s="5"/>
      <c r="C46" s="75"/>
      <c r="D46" s="6"/>
      <c r="E46" s="6"/>
      <c r="F46" s="6"/>
      <c r="G46" s="6"/>
      <c r="H46" s="6"/>
      <c r="I46" s="6"/>
    </row>
    <row r="47" spans="1:9" hidden="1" x14ac:dyDescent="0.2">
      <c r="A47" s="8" t="s">
        <v>7</v>
      </c>
      <c r="B47" s="5"/>
      <c r="C47" s="74"/>
      <c r="D47" s="6"/>
      <c r="E47" s="6"/>
      <c r="F47" s="6"/>
      <c r="G47" s="6"/>
      <c r="H47" s="6"/>
      <c r="I47" s="6"/>
    </row>
    <row r="48" spans="1:9" hidden="1" x14ac:dyDescent="0.2">
      <c r="A48" s="8" t="s">
        <v>8</v>
      </c>
      <c r="B48" s="5"/>
      <c r="C48" s="74"/>
      <c r="D48" s="6"/>
      <c r="E48" s="6"/>
      <c r="F48" s="6"/>
      <c r="G48" s="6"/>
      <c r="H48" s="6"/>
      <c r="I48" s="6"/>
    </row>
    <row r="49" spans="1:9" hidden="1" x14ac:dyDescent="0.2">
      <c r="A49" s="8" t="s">
        <v>9</v>
      </c>
      <c r="B49" s="5"/>
      <c r="C49" s="74"/>
      <c r="D49" s="6"/>
      <c r="E49" s="6"/>
      <c r="F49" s="6"/>
      <c r="G49" s="6"/>
      <c r="H49" s="6"/>
      <c r="I49" s="6"/>
    </row>
    <row r="50" spans="1:9" x14ac:dyDescent="0.2">
      <c r="A50" s="312" t="s">
        <v>10</v>
      </c>
      <c r="B50" s="313"/>
      <c r="C50" s="313"/>
      <c r="D50" s="313"/>
      <c r="E50" s="314"/>
      <c r="F50" s="11">
        <f>SUM(F40:F49)</f>
        <v>5</v>
      </c>
      <c r="G50" s="11">
        <f>SUM(G40:G49)</f>
        <v>1</v>
      </c>
      <c r="H50" s="11">
        <f>SUM(H40:H49)</f>
        <v>30.25</v>
      </c>
      <c r="I50" s="11"/>
    </row>
    <row r="51" spans="1:9" x14ac:dyDescent="0.2">
      <c r="A51" s="8" t="s">
        <v>0</v>
      </c>
      <c r="B51" s="5">
        <f>B40+1</f>
        <v>46111</v>
      </c>
      <c r="C51" s="75" t="s">
        <v>507</v>
      </c>
      <c r="D51" s="6" t="s">
        <v>250</v>
      </c>
      <c r="E51" s="6" t="s">
        <v>168</v>
      </c>
      <c r="F51" s="6">
        <v>1</v>
      </c>
      <c r="G51" s="6"/>
      <c r="H51" s="6">
        <v>5</v>
      </c>
      <c r="I51" s="6"/>
    </row>
    <row r="52" spans="1:9" x14ac:dyDescent="0.2">
      <c r="A52" s="8" t="s">
        <v>1</v>
      </c>
      <c r="B52" s="5"/>
      <c r="C52" s="75" t="s">
        <v>508</v>
      </c>
      <c r="D52" s="6" t="s">
        <v>170</v>
      </c>
      <c r="E52" s="6" t="s">
        <v>171</v>
      </c>
      <c r="F52" s="6">
        <v>1</v>
      </c>
      <c r="G52" s="6"/>
      <c r="H52" s="6">
        <v>6</v>
      </c>
      <c r="I52" s="6"/>
    </row>
    <row r="53" spans="1:9" x14ac:dyDescent="0.2">
      <c r="A53" s="8" t="s">
        <v>2</v>
      </c>
      <c r="B53" s="5"/>
      <c r="C53" s="75" t="s">
        <v>509</v>
      </c>
      <c r="D53" s="6" t="s">
        <v>170</v>
      </c>
      <c r="E53" s="6" t="s">
        <v>171</v>
      </c>
      <c r="F53" s="6">
        <v>1</v>
      </c>
      <c r="G53" s="6"/>
      <c r="H53" s="6">
        <v>6</v>
      </c>
      <c r="I53" s="6"/>
    </row>
    <row r="54" spans="1:9" x14ac:dyDescent="0.2">
      <c r="A54" s="8" t="s">
        <v>3</v>
      </c>
      <c r="B54" s="5"/>
      <c r="C54" s="75" t="s">
        <v>510</v>
      </c>
      <c r="D54" s="6" t="s">
        <v>170</v>
      </c>
      <c r="E54" s="6" t="s">
        <v>171</v>
      </c>
      <c r="F54" s="6">
        <v>1</v>
      </c>
      <c r="G54" s="6"/>
      <c r="H54" s="6">
        <v>6</v>
      </c>
      <c r="I54" s="6"/>
    </row>
    <row r="55" spans="1:9" x14ac:dyDescent="0.2">
      <c r="A55" s="8" t="s">
        <v>4</v>
      </c>
      <c r="B55" s="5"/>
      <c r="C55" s="75" t="s">
        <v>511</v>
      </c>
      <c r="D55" s="6" t="s">
        <v>170</v>
      </c>
      <c r="E55" s="6" t="s">
        <v>171</v>
      </c>
      <c r="F55" s="6">
        <v>1</v>
      </c>
      <c r="G55" s="6"/>
      <c r="H55" s="6">
        <v>6</v>
      </c>
      <c r="I55" s="6"/>
    </row>
    <row r="56" spans="1:9" x14ac:dyDescent="0.2">
      <c r="A56" s="8" t="s">
        <v>5</v>
      </c>
      <c r="B56" s="5"/>
      <c r="C56" s="75" t="s">
        <v>512</v>
      </c>
      <c r="D56" s="6" t="s">
        <v>170</v>
      </c>
      <c r="E56" s="6" t="s">
        <v>165</v>
      </c>
      <c r="F56" s="6">
        <v>1</v>
      </c>
      <c r="G56" s="6"/>
      <c r="H56" s="6">
        <v>2.5</v>
      </c>
      <c r="I56" s="6"/>
    </row>
    <row r="57" spans="1:9" x14ac:dyDescent="0.2">
      <c r="A57" s="8" t="s">
        <v>6</v>
      </c>
      <c r="B57" s="5"/>
      <c r="C57" s="74" t="s">
        <v>513</v>
      </c>
      <c r="D57" s="6" t="s">
        <v>448</v>
      </c>
      <c r="E57" s="6" t="s">
        <v>165</v>
      </c>
      <c r="F57" s="6"/>
      <c r="G57" s="6">
        <v>1</v>
      </c>
      <c r="H57" s="6">
        <v>6</v>
      </c>
      <c r="I57" s="6"/>
    </row>
    <row r="58" spans="1:9" hidden="1" x14ac:dyDescent="0.2">
      <c r="A58" s="8" t="s">
        <v>7</v>
      </c>
      <c r="B58" s="5"/>
      <c r="C58" s="74"/>
      <c r="D58" s="6"/>
      <c r="E58" s="6"/>
      <c r="F58" s="6"/>
      <c r="G58" s="6"/>
      <c r="H58" s="6"/>
      <c r="I58" s="6"/>
    </row>
    <row r="59" spans="1:9" hidden="1" x14ac:dyDescent="0.2">
      <c r="A59" s="8" t="s">
        <v>8</v>
      </c>
      <c r="B59" s="5"/>
      <c r="C59" s="74"/>
      <c r="D59" s="6"/>
      <c r="E59" s="6"/>
      <c r="F59" s="6"/>
      <c r="G59" s="6"/>
      <c r="H59" s="6"/>
      <c r="I59" s="6"/>
    </row>
    <row r="60" spans="1:9" hidden="1" x14ac:dyDescent="0.2">
      <c r="A60" s="8" t="s">
        <v>9</v>
      </c>
      <c r="B60" s="5"/>
      <c r="C60" s="74"/>
      <c r="D60" s="6"/>
      <c r="E60" s="6"/>
      <c r="F60" s="6"/>
      <c r="G60" s="6"/>
      <c r="H60" s="6"/>
      <c r="I60" s="6"/>
    </row>
    <row r="61" spans="1:9" x14ac:dyDescent="0.2">
      <c r="A61" s="312" t="s">
        <v>10</v>
      </c>
      <c r="B61" s="313"/>
      <c r="C61" s="313"/>
      <c r="D61" s="313"/>
      <c r="E61" s="314"/>
      <c r="F61" s="11">
        <f>SUM(F51:F60)</f>
        <v>6</v>
      </c>
      <c r="G61" s="11">
        <f>SUM(G51:G60)</f>
        <v>1</v>
      </c>
      <c r="H61" s="11">
        <f>SUM(H51:H60)</f>
        <v>37.5</v>
      </c>
      <c r="I61" s="11"/>
    </row>
    <row r="62" spans="1:9" x14ac:dyDescent="0.2">
      <c r="A62" s="8" t="s">
        <v>0</v>
      </c>
      <c r="B62" s="5">
        <f>B51+1</f>
        <v>46112</v>
      </c>
      <c r="C62" s="74" t="s">
        <v>581</v>
      </c>
      <c r="D62" s="6" t="s">
        <v>342</v>
      </c>
      <c r="E62" s="6" t="s">
        <v>165</v>
      </c>
      <c r="F62" s="6">
        <v>1</v>
      </c>
      <c r="G62" s="6"/>
      <c r="H62" s="6">
        <v>6</v>
      </c>
      <c r="I62" s="6"/>
    </row>
    <row r="63" spans="1:9" x14ac:dyDescent="0.2">
      <c r="A63" s="8" t="s">
        <v>1</v>
      </c>
      <c r="B63" s="5"/>
      <c r="C63" s="74" t="s">
        <v>582</v>
      </c>
      <c r="D63" s="6" t="s">
        <v>342</v>
      </c>
      <c r="E63" s="6" t="s">
        <v>165</v>
      </c>
      <c r="F63" s="6">
        <v>1</v>
      </c>
      <c r="G63" s="6"/>
      <c r="H63" s="6">
        <v>6</v>
      </c>
      <c r="I63" s="6"/>
    </row>
    <row r="64" spans="1:9" x14ac:dyDescent="0.2">
      <c r="A64" s="8" t="s">
        <v>2</v>
      </c>
      <c r="B64" s="5"/>
      <c r="C64" s="74" t="s">
        <v>583</v>
      </c>
      <c r="D64" s="6" t="s">
        <v>342</v>
      </c>
      <c r="E64" s="6" t="s">
        <v>165</v>
      </c>
      <c r="F64" s="6">
        <v>1</v>
      </c>
      <c r="G64" s="6"/>
      <c r="H64" s="6">
        <v>6</v>
      </c>
      <c r="I64" s="6"/>
    </row>
    <row r="65" spans="1:9" x14ac:dyDescent="0.2">
      <c r="A65" s="8" t="s">
        <v>3</v>
      </c>
      <c r="B65" s="5"/>
      <c r="C65" s="74" t="s">
        <v>584</v>
      </c>
      <c r="D65" s="6" t="s">
        <v>178</v>
      </c>
      <c r="E65" s="6" t="s">
        <v>165</v>
      </c>
      <c r="F65" s="6">
        <v>1</v>
      </c>
      <c r="G65" s="6"/>
      <c r="H65" s="6">
        <v>2</v>
      </c>
      <c r="I65" s="6"/>
    </row>
    <row r="66" spans="1:9" x14ac:dyDescent="0.2">
      <c r="A66" s="8" t="s">
        <v>4</v>
      </c>
      <c r="B66" s="5"/>
      <c r="C66" s="74" t="s">
        <v>585</v>
      </c>
      <c r="D66" s="6" t="s">
        <v>170</v>
      </c>
      <c r="E66" s="6" t="s">
        <v>171</v>
      </c>
      <c r="F66" s="6">
        <v>1</v>
      </c>
      <c r="G66" s="6"/>
      <c r="H66" s="6">
        <v>6</v>
      </c>
      <c r="I66" s="6"/>
    </row>
    <row r="67" spans="1:9" x14ac:dyDescent="0.2">
      <c r="A67" s="8" t="s">
        <v>5</v>
      </c>
      <c r="B67" s="5"/>
      <c r="C67" s="74" t="s">
        <v>586</v>
      </c>
      <c r="D67" s="6" t="s">
        <v>170</v>
      </c>
      <c r="E67" s="6" t="s">
        <v>171</v>
      </c>
      <c r="F67" s="6">
        <v>1</v>
      </c>
      <c r="G67" s="6"/>
      <c r="H67" s="6">
        <v>6</v>
      </c>
      <c r="I67" s="6"/>
    </row>
    <row r="68" spans="1:9" x14ac:dyDescent="0.2">
      <c r="A68" s="8" t="s">
        <v>6</v>
      </c>
      <c r="B68" s="5"/>
      <c r="C68" s="74" t="s">
        <v>557</v>
      </c>
      <c r="D68" s="6" t="s">
        <v>170</v>
      </c>
      <c r="E68" s="6" t="s">
        <v>171</v>
      </c>
      <c r="F68" s="6">
        <v>1</v>
      </c>
      <c r="G68" s="6"/>
      <c r="H68" s="6">
        <v>6</v>
      </c>
      <c r="I68" s="6"/>
    </row>
    <row r="69" spans="1:9" x14ac:dyDescent="0.2">
      <c r="A69" s="8" t="s">
        <v>7</v>
      </c>
      <c r="B69" s="5"/>
      <c r="C69" s="74" t="s">
        <v>558</v>
      </c>
      <c r="D69" s="6" t="s">
        <v>170</v>
      </c>
      <c r="E69" s="6" t="s">
        <v>171</v>
      </c>
      <c r="F69" s="6"/>
      <c r="G69" s="6">
        <v>1</v>
      </c>
      <c r="H69" s="6">
        <v>6</v>
      </c>
      <c r="I69" s="6"/>
    </row>
    <row r="70" spans="1:9" hidden="1" x14ac:dyDescent="0.2">
      <c r="A70" s="8" t="s">
        <v>8</v>
      </c>
      <c r="B70" s="5"/>
      <c r="C70" s="74"/>
      <c r="D70" s="6"/>
      <c r="E70" s="6"/>
      <c r="F70" s="6"/>
      <c r="G70" s="6"/>
      <c r="H70" s="6"/>
      <c r="I70" s="6"/>
    </row>
    <row r="71" spans="1:9" hidden="1" x14ac:dyDescent="0.2">
      <c r="A71" s="8" t="s">
        <v>9</v>
      </c>
      <c r="B71" s="5"/>
      <c r="C71" s="75"/>
      <c r="D71" s="6"/>
      <c r="E71" s="6"/>
      <c r="F71" s="6"/>
      <c r="G71" s="6"/>
      <c r="H71" s="6"/>
      <c r="I71" s="6"/>
    </row>
    <row r="72" spans="1:9" x14ac:dyDescent="0.2">
      <c r="A72" s="312" t="s">
        <v>10</v>
      </c>
      <c r="B72" s="313"/>
      <c r="C72" s="313"/>
      <c r="D72" s="313"/>
      <c r="E72" s="314"/>
      <c r="F72" s="11">
        <f>SUM(F62:F71)</f>
        <v>7</v>
      </c>
      <c r="G72" s="11">
        <f>SUM(G62:G71)</f>
        <v>1</v>
      </c>
      <c r="H72" s="11">
        <f>SUM(H62:H71)</f>
        <v>44</v>
      </c>
      <c r="I72" s="11"/>
    </row>
    <row r="73" spans="1:9" x14ac:dyDescent="0.2">
      <c r="A73" s="8" t="s">
        <v>0</v>
      </c>
      <c r="B73" s="5">
        <f>B62+1</f>
        <v>46113</v>
      </c>
      <c r="C73" s="74" t="s">
        <v>627</v>
      </c>
      <c r="D73" s="6" t="s">
        <v>188</v>
      </c>
      <c r="E73" s="6" t="s">
        <v>165</v>
      </c>
      <c r="F73" s="6">
        <v>1</v>
      </c>
      <c r="G73" s="6"/>
      <c r="H73" s="6">
        <v>6</v>
      </c>
      <c r="I73" s="6"/>
    </row>
    <row r="74" spans="1:9" x14ac:dyDescent="0.2">
      <c r="A74" s="8" t="s">
        <v>1</v>
      </c>
      <c r="B74" s="5"/>
      <c r="C74" s="74" t="s">
        <v>628</v>
      </c>
      <c r="D74" s="6" t="s">
        <v>170</v>
      </c>
      <c r="E74" s="6" t="s">
        <v>174</v>
      </c>
      <c r="F74" s="6">
        <v>1</v>
      </c>
      <c r="G74" s="6"/>
      <c r="H74" s="6">
        <v>4</v>
      </c>
      <c r="I74" s="6"/>
    </row>
    <row r="75" spans="1:9" x14ac:dyDescent="0.2">
      <c r="A75" s="8" t="s">
        <v>2</v>
      </c>
      <c r="B75" s="5"/>
      <c r="C75" s="74" t="s">
        <v>629</v>
      </c>
      <c r="D75" s="6" t="s">
        <v>448</v>
      </c>
      <c r="E75" s="6" t="s">
        <v>168</v>
      </c>
      <c r="F75" s="6">
        <v>1</v>
      </c>
      <c r="G75" s="6"/>
      <c r="H75" s="6">
        <v>4</v>
      </c>
      <c r="I75" s="6"/>
    </row>
    <row r="76" spans="1:9" x14ac:dyDescent="0.2">
      <c r="A76" s="8" t="s">
        <v>3</v>
      </c>
      <c r="B76" s="5"/>
      <c r="C76" s="74" t="s">
        <v>630</v>
      </c>
      <c r="D76" s="6" t="s">
        <v>173</v>
      </c>
      <c r="E76" s="6" t="s">
        <v>441</v>
      </c>
      <c r="F76" s="6">
        <v>1</v>
      </c>
      <c r="G76" s="6"/>
      <c r="H76" s="6">
        <v>6</v>
      </c>
      <c r="I76" s="6"/>
    </row>
    <row r="77" spans="1:9" x14ac:dyDescent="0.2">
      <c r="A77" s="8" t="s">
        <v>4</v>
      </c>
      <c r="B77" s="5"/>
      <c r="C77" s="74" t="s">
        <v>620</v>
      </c>
      <c r="D77" s="6" t="s">
        <v>170</v>
      </c>
      <c r="E77" s="6" t="s">
        <v>165</v>
      </c>
      <c r="F77" s="6">
        <v>1</v>
      </c>
      <c r="G77" s="6"/>
      <c r="H77" s="6">
        <v>2.5</v>
      </c>
      <c r="I77" s="6"/>
    </row>
    <row r="78" spans="1:9" hidden="1" x14ac:dyDescent="0.2">
      <c r="A78" s="8" t="s">
        <v>5</v>
      </c>
      <c r="B78" s="5"/>
      <c r="C78" s="74"/>
      <c r="D78" s="6"/>
      <c r="E78" s="6"/>
      <c r="F78" s="6"/>
      <c r="G78" s="6"/>
      <c r="H78" s="6"/>
      <c r="I78" s="6"/>
    </row>
    <row r="79" spans="1:9" hidden="1" x14ac:dyDescent="0.2">
      <c r="A79" s="8" t="s">
        <v>6</v>
      </c>
      <c r="B79" s="5"/>
      <c r="C79" s="74"/>
      <c r="D79" s="6"/>
      <c r="E79" s="6"/>
      <c r="F79" s="6"/>
      <c r="G79" s="6"/>
      <c r="H79" s="6"/>
      <c r="I79" s="6"/>
    </row>
    <row r="80" spans="1:9" hidden="1" x14ac:dyDescent="0.2">
      <c r="A80" s="8" t="s">
        <v>7</v>
      </c>
      <c r="B80" s="5"/>
      <c r="C80" s="74"/>
      <c r="D80" s="6"/>
      <c r="E80" s="6"/>
      <c r="F80" s="6"/>
      <c r="G80" s="6"/>
      <c r="H80" s="6"/>
      <c r="I80" s="6"/>
    </row>
    <row r="81" spans="1:9" hidden="1" x14ac:dyDescent="0.2">
      <c r="A81" s="8" t="s">
        <v>8</v>
      </c>
      <c r="B81" s="5"/>
      <c r="C81" s="74"/>
      <c r="D81" s="6"/>
      <c r="E81" s="6"/>
      <c r="F81" s="6"/>
      <c r="G81" s="6"/>
      <c r="H81" s="6"/>
      <c r="I81" s="6"/>
    </row>
    <row r="82" spans="1:9" hidden="1" x14ac:dyDescent="0.2">
      <c r="A82" s="8" t="s">
        <v>9</v>
      </c>
      <c r="B82" s="5"/>
      <c r="C82" s="74"/>
      <c r="D82" s="6"/>
      <c r="E82" s="6"/>
      <c r="F82" s="6"/>
      <c r="G82" s="6"/>
      <c r="H82" s="6"/>
      <c r="I82" s="6"/>
    </row>
    <row r="83" spans="1:9" x14ac:dyDescent="0.2">
      <c r="A83" s="312" t="s">
        <v>10</v>
      </c>
      <c r="B83" s="313"/>
      <c r="C83" s="313"/>
      <c r="D83" s="313"/>
      <c r="E83" s="314"/>
      <c r="F83" s="11">
        <f>SUM(F73:F82)</f>
        <v>5</v>
      </c>
      <c r="G83" s="11">
        <f>SUM(G73:G82)</f>
        <v>0</v>
      </c>
      <c r="H83" s="11">
        <f>SUM(H73:H82)</f>
        <v>22.5</v>
      </c>
      <c r="I83" s="11"/>
    </row>
    <row r="84" spans="1:9" s="25" customFormat="1" ht="18" x14ac:dyDescent="0.2">
      <c r="A84" s="324" t="s">
        <v>39</v>
      </c>
      <c r="B84" s="325"/>
      <c r="C84" s="325"/>
      <c r="D84" s="325"/>
      <c r="E84" s="326"/>
      <c r="F84" s="24">
        <f>F17+F28+F39+F50+F61+F72+F83</f>
        <v>37</v>
      </c>
      <c r="G84" s="24">
        <f>G17+G28+G39+G50+G61+G72+G83</f>
        <v>5</v>
      </c>
      <c r="H84" s="24">
        <f>H17+H28+H39+H50+H61+H72+H83</f>
        <v>224</v>
      </c>
      <c r="I84" s="24"/>
    </row>
    <row r="85" spans="1:9" ht="21.95" customHeight="1" x14ac:dyDescent="0.2">
      <c r="A85" s="319" t="s">
        <v>14</v>
      </c>
      <c r="B85" s="319"/>
      <c r="C85" s="319"/>
      <c r="D85" s="319"/>
      <c r="E85" s="319"/>
      <c r="F85" s="319"/>
      <c r="G85" s="319"/>
      <c r="H85" s="319"/>
      <c r="I85" s="319"/>
    </row>
    <row r="86" spans="1:9" s="53" customFormat="1" ht="20.100000000000001" customHeight="1" x14ac:dyDescent="0.2">
      <c r="A86" s="323" t="s">
        <v>86</v>
      </c>
      <c r="B86" s="323"/>
      <c r="C86" s="323"/>
      <c r="D86" s="323"/>
      <c r="E86" s="323"/>
      <c r="F86" s="50" t="str">
        <f>F2</f>
        <v>เมษายน</v>
      </c>
      <c r="G86" s="50" t="s">
        <v>87</v>
      </c>
      <c r="H86" s="51">
        <f>H2</f>
        <v>2569</v>
      </c>
      <c r="I86" s="52"/>
    </row>
    <row r="87" spans="1:9" s="3" customFormat="1" ht="20.100000000000001" customHeight="1" x14ac:dyDescent="0.35">
      <c r="A87" s="318" t="s">
        <v>38</v>
      </c>
      <c r="B87" s="318"/>
      <c r="C87" s="318"/>
      <c r="D87" s="2"/>
      <c r="F87" s="4"/>
      <c r="G87" s="4"/>
      <c r="H87" s="4" t="s">
        <v>21</v>
      </c>
      <c r="I87" s="40">
        <f>I3+1</f>
        <v>2</v>
      </c>
    </row>
    <row r="88" spans="1:9" s="3" customFormat="1" ht="20.100000000000001" customHeight="1" x14ac:dyDescent="0.35">
      <c r="A88" s="311" t="s">
        <v>68</v>
      </c>
      <c r="B88" s="311"/>
      <c r="C88" s="311"/>
      <c r="D88" s="2"/>
      <c r="E88" s="39" t="s">
        <v>81</v>
      </c>
      <c r="F88" s="308">
        <f>F4</f>
        <v>46107</v>
      </c>
      <c r="G88" s="308"/>
      <c r="H88" s="39" t="s">
        <v>82</v>
      </c>
      <c r="I88" s="34">
        <f>I4</f>
        <v>46136</v>
      </c>
    </row>
    <row r="89" spans="1:9" x14ac:dyDescent="0.2">
      <c r="A89" s="12" t="s">
        <v>23</v>
      </c>
      <c r="B89" s="13" t="s">
        <v>11</v>
      </c>
      <c r="C89" s="72" t="s">
        <v>26</v>
      </c>
      <c r="D89" s="12" t="s">
        <v>16</v>
      </c>
      <c r="E89" s="12" t="s">
        <v>17</v>
      </c>
      <c r="F89" s="310" t="s">
        <v>46</v>
      </c>
      <c r="G89" s="310"/>
      <c r="H89" s="310"/>
      <c r="I89" s="12" t="s">
        <v>19</v>
      </c>
    </row>
    <row r="90" spans="1:9" x14ac:dyDescent="0.2">
      <c r="A90" s="15"/>
      <c r="B90" s="16"/>
      <c r="C90" s="73"/>
      <c r="D90" s="15"/>
      <c r="E90" s="15"/>
      <c r="F90" s="21" t="s">
        <v>113</v>
      </c>
      <c r="G90" s="21" t="s">
        <v>114</v>
      </c>
      <c r="H90" s="21" t="s">
        <v>20</v>
      </c>
      <c r="I90" s="15"/>
    </row>
    <row r="91" spans="1:9" x14ac:dyDescent="0.2">
      <c r="A91" s="8" t="s">
        <v>0</v>
      </c>
      <c r="B91" s="5">
        <f>B73+1</f>
        <v>46114</v>
      </c>
      <c r="C91" s="74" t="s">
        <v>702</v>
      </c>
      <c r="D91" s="6" t="s">
        <v>206</v>
      </c>
      <c r="E91" s="6" t="s">
        <v>184</v>
      </c>
      <c r="F91" s="6">
        <v>1</v>
      </c>
      <c r="G91" s="6"/>
      <c r="H91" s="6">
        <v>1</v>
      </c>
      <c r="I91" s="6"/>
    </row>
    <row r="92" spans="1:9" x14ac:dyDescent="0.2">
      <c r="A92" s="8" t="s">
        <v>1</v>
      </c>
      <c r="B92" s="5"/>
      <c r="C92" s="74" t="s">
        <v>703</v>
      </c>
      <c r="D92" s="6" t="s">
        <v>206</v>
      </c>
      <c r="E92" s="6" t="s">
        <v>632</v>
      </c>
      <c r="F92" s="6">
        <v>1</v>
      </c>
      <c r="G92" s="6"/>
      <c r="H92" s="6">
        <v>6</v>
      </c>
      <c r="I92" s="6"/>
    </row>
    <row r="93" spans="1:9" x14ac:dyDescent="0.2">
      <c r="A93" s="8" t="s">
        <v>2</v>
      </c>
      <c r="B93" s="5"/>
      <c r="C93" s="74" t="s">
        <v>704</v>
      </c>
      <c r="D93" s="6" t="s">
        <v>206</v>
      </c>
      <c r="E93" s="6" t="s">
        <v>632</v>
      </c>
      <c r="F93" s="6">
        <v>1</v>
      </c>
      <c r="G93" s="6"/>
      <c r="H93" s="6">
        <v>6</v>
      </c>
      <c r="I93" s="6"/>
    </row>
    <row r="94" spans="1:9" x14ac:dyDescent="0.2">
      <c r="A94" s="8" t="s">
        <v>3</v>
      </c>
      <c r="B94" s="5"/>
      <c r="C94" s="74" t="s">
        <v>705</v>
      </c>
      <c r="D94" s="6" t="s">
        <v>170</v>
      </c>
      <c r="E94" s="6" t="s">
        <v>171</v>
      </c>
      <c r="F94" s="6">
        <v>1</v>
      </c>
      <c r="G94" s="6"/>
      <c r="H94" s="6">
        <v>6</v>
      </c>
      <c r="I94" s="6"/>
    </row>
    <row r="95" spans="1:9" x14ac:dyDescent="0.2">
      <c r="A95" s="8" t="s">
        <v>4</v>
      </c>
      <c r="B95" s="5"/>
      <c r="C95" s="74" t="s">
        <v>693</v>
      </c>
      <c r="D95" s="6" t="s">
        <v>579</v>
      </c>
      <c r="E95" s="6" t="s">
        <v>165</v>
      </c>
      <c r="F95" s="6">
        <v>1</v>
      </c>
      <c r="G95" s="6"/>
      <c r="H95" s="6">
        <v>4.75</v>
      </c>
      <c r="I95" s="6"/>
    </row>
    <row r="96" spans="1:9" x14ac:dyDescent="0.2">
      <c r="A96" s="8" t="s">
        <v>5</v>
      </c>
      <c r="B96" s="5"/>
      <c r="C96" s="74" t="s">
        <v>706</v>
      </c>
      <c r="D96" s="6" t="s">
        <v>170</v>
      </c>
      <c r="E96" s="6" t="s">
        <v>171</v>
      </c>
      <c r="F96" s="6">
        <v>1</v>
      </c>
      <c r="G96" s="6"/>
      <c r="H96" s="6">
        <v>6</v>
      </c>
      <c r="I96" s="6"/>
    </row>
    <row r="97" spans="1:9" x14ac:dyDescent="0.2">
      <c r="A97" s="8" t="s">
        <v>6</v>
      </c>
      <c r="B97" s="5"/>
      <c r="C97" s="74" t="s">
        <v>707</v>
      </c>
      <c r="D97" s="6" t="s">
        <v>170</v>
      </c>
      <c r="E97" s="6" t="s">
        <v>171</v>
      </c>
      <c r="F97" s="6">
        <v>1</v>
      </c>
      <c r="G97" s="6"/>
      <c r="H97" s="6">
        <v>6</v>
      </c>
      <c r="I97" s="6"/>
    </row>
    <row r="98" spans="1:9" x14ac:dyDescent="0.2">
      <c r="A98" s="8" t="s">
        <v>7</v>
      </c>
      <c r="B98" s="5"/>
      <c r="C98" s="74" t="s">
        <v>708</v>
      </c>
      <c r="D98" s="6" t="s">
        <v>170</v>
      </c>
      <c r="E98" s="6" t="s">
        <v>171</v>
      </c>
      <c r="F98" s="6"/>
      <c r="G98" s="6">
        <v>1</v>
      </c>
      <c r="H98" s="6">
        <v>6</v>
      </c>
      <c r="I98" s="6"/>
    </row>
    <row r="99" spans="1:9" x14ac:dyDescent="0.2">
      <c r="A99" s="8" t="s">
        <v>8</v>
      </c>
      <c r="B99" s="5"/>
      <c r="C99" s="74" t="s">
        <v>709</v>
      </c>
      <c r="D99" s="6" t="s">
        <v>170</v>
      </c>
      <c r="E99" s="6" t="s">
        <v>171</v>
      </c>
      <c r="F99" s="6"/>
      <c r="G99" s="6">
        <v>1</v>
      </c>
      <c r="H99" s="6">
        <v>6</v>
      </c>
      <c r="I99" s="6"/>
    </row>
    <row r="100" spans="1:9" x14ac:dyDescent="0.2">
      <c r="A100" s="8" t="s">
        <v>9</v>
      </c>
      <c r="B100" s="5"/>
      <c r="C100" s="74" t="s">
        <v>710</v>
      </c>
      <c r="D100" s="6" t="s">
        <v>170</v>
      </c>
      <c r="E100" s="6" t="s">
        <v>171</v>
      </c>
      <c r="F100" s="6"/>
      <c r="G100" s="6">
        <v>1</v>
      </c>
      <c r="H100" s="6">
        <v>2</v>
      </c>
      <c r="I100" s="6"/>
    </row>
    <row r="101" spans="1:9" x14ac:dyDescent="0.2">
      <c r="A101" s="312" t="s">
        <v>10</v>
      </c>
      <c r="B101" s="313"/>
      <c r="C101" s="313"/>
      <c r="D101" s="313"/>
      <c r="E101" s="314"/>
      <c r="F101" s="11">
        <f>SUM(F91:F100)</f>
        <v>7</v>
      </c>
      <c r="G101" s="11">
        <f>SUM(G91:G100)</f>
        <v>3</v>
      </c>
      <c r="H101" s="11">
        <f>SUM(H91:H100)</f>
        <v>49.75</v>
      </c>
      <c r="I101" s="11"/>
    </row>
    <row r="102" spans="1:9" x14ac:dyDescent="0.2">
      <c r="A102" s="8" t="s">
        <v>0</v>
      </c>
      <c r="B102" s="5">
        <f>B91+1</f>
        <v>46115</v>
      </c>
      <c r="C102" s="74" t="s">
        <v>802</v>
      </c>
      <c r="D102" s="6" t="s">
        <v>342</v>
      </c>
      <c r="E102" s="6" t="s">
        <v>165</v>
      </c>
      <c r="F102" s="6">
        <v>1</v>
      </c>
      <c r="G102" s="6"/>
      <c r="H102" s="6">
        <v>6</v>
      </c>
      <c r="I102" s="6"/>
    </row>
    <row r="103" spans="1:9" x14ac:dyDescent="0.2">
      <c r="A103" s="8" t="s">
        <v>1</v>
      </c>
      <c r="B103" s="5"/>
      <c r="C103" s="74" t="s">
        <v>803</v>
      </c>
      <c r="D103" s="6" t="s">
        <v>178</v>
      </c>
      <c r="E103" s="6" t="s">
        <v>165</v>
      </c>
      <c r="F103" s="6">
        <v>1</v>
      </c>
      <c r="G103" s="6"/>
      <c r="H103" s="6">
        <v>5</v>
      </c>
      <c r="I103" s="6"/>
    </row>
    <row r="104" spans="1:9" x14ac:dyDescent="0.2">
      <c r="A104" s="8" t="s">
        <v>2</v>
      </c>
      <c r="B104" s="5"/>
      <c r="C104" s="74" t="s">
        <v>804</v>
      </c>
      <c r="D104" s="6" t="s">
        <v>342</v>
      </c>
      <c r="E104" s="6" t="s">
        <v>165</v>
      </c>
      <c r="F104" s="6">
        <v>1</v>
      </c>
      <c r="G104" s="6"/>
      <c r="H104" s="6">
        <v>6</v>
      </c>
      <c r="I104" s="6"/>
    </row>
    <row r="105" spans="1:9" x14ac:dyDescent="0.2">
      <c r="A105" s="8" t="s">
        <v>3</v>
      </c>
      <c r="B105" s="5"/>
      <c r="C105" s="74" t="s">
        <v>805</v>
      </c>
      <c r="D105" s="6" t="s">
        <v>170</v>
      </c>
      <c r="E105" s="6" t="s">
        <v>171</v>
      </c>
      <c r="F105" s="6">
        <v>1</v>
      </c>
      <c r="G105" s="6"/>
      <c r="H105" s="6">
        <v>6</v>
      </c>
      <c r="I105" s="6"/>
    </row>
    <row r="106" spans="1:9" x14ac:dyDescent="0.2">
      <c r="A106" s="8" t="s">
        <v>4</v>
      </c>
      <c r="B106" s="5"/>
      <c r="C106" s="74" t="s">
        <v>769</v>
      </c>
      <c r="D106" s="6" t="s">
        <v>170</v>
      </c>
      <c r="E106" s="6" t="s">
        <v>171</v>
      </c>
      <c r="F106" s="6">
        <v>1</v>
      </c>
      <c r="G106" s="6"/>
      <c r="H106" s="6">
        <v>6</v>
      </c>
      <c r="I106" s="6"/>
    </row>
    <row r="107" spans="1:9" x14ac:dyDescent="0.2">
      <c r="A107" s="8" t="s">
        <v>5</v>
      </c>
      <c r="B107" s="5"/>
      <c r="C107" s="74" t="s">
        <v>806</v>
      </c>
      <c r="D107" s="6" t="s">
        <v>170</v>
      </c>
      <c r="E107" s="6" t="s">
        <v>171</v>
      </c>
      <c r="F107" s="6">
        <v>1</v>
      </c>
      <c r="G107" s="6"/>
      <c r="H107" s="6">
        <v>6</v>
      </c>
      <c r="I107" s="6"/>
    </row>
    <row r="108" spans="1:9" x14ac:dyDescent="0.2">
      <c r="A108" s="8" t="s">
        <v>6</v>
      </c>
      <c r="B108" s="5"/>
      <c r="C108" s="74" t="s">
        <v>807</v>
      </c>
      <c r="D108" s="6" t="s">
        <v>206</v>
      </c>
      <c r="E108" s="6" t="s">
        <v>171</v>
      </c>
      <c r="F108" s="6"/>
      <c r="G108" s="6">
        <v>1</v>
      </c>
      <c r="H108" s="6">
        <v>3</v>
      </c>
      <c r="I108" s="6"/>
    </row>
    <row r="109" spans="1:9" x14ac:dyDescent="0.2">
      <c r="A109" s="8" t="s">
        <v>7</v>
      </c>
      <c r="B109" s="5"/>
      <c r="C109" s="74" t="s">
        <v>808</v>
      </c>
      <c r="D109" s="6" t="s">
        <v>170</v>
      </c>
      <c r="E109" s="6" t="s">
        <v>171</v>
      </c>
      <c r="F109" s="6"/>
      <c r="G109" s="6">
        <v>1</v>
      </c>
      <c r="H109" s="6">
        <v>6</v>
      </c>
      <c r="I109" s="6"/>
    </row>
    <row r="110" spans="1:9" x14ac:dyDescent="0.2">
      <c r="A110" s="8" t="s">
        <v>8</v>
      </c>
      <c r="B110" s="5"/>
      <c r="C110" s="74" t="s">
        <v>809</v>
      </c>
      <c r="D110" s="6" t="s">
        <v>170</v>
      </c>
      <c r="E110" s="6" t="s">
        <v>171</v>
      </c>
      <c r="F110" s="6"/>
      <c r="G110" s="6">
        <v>1</v>
      </c>
      <c r="H110" s="6">
        <v>6</v>
      </c>
      <c r="I110" s="6"/>
    </row>
    <row r="111" spans="1:9" hidden="1" x14ac:dyDescent="0.2">
      <c r="A111" s="8" t="s">
        <v>9</v>
      </c>
      <c r="B111" s="5"/>
      <c r="C111" s="74"/>
      <c r="D111" s="6"/>
      <c r="E111" s="6"/>
      <c r="F111" s="6"/>
      <c r="G111" s="6"/>
      <c r="H111" s="6"/>
      <c r="I111" s="6"/>
    </row>
    <row r="112" spans="1:9" x14ac:dyDescent="0.2">
      <c r="A112" s="312" t="s">
        <v>10</v>
      </c>
      <c r="B112" s="313"/>
      <c r="C112" s="313"/>
      <c r="D112" s="313"/>
      <c r="E112" s="314"/>
      <c r="F112" s="11">
        <f>SUM(F102:F111)</f>
        <v>6</v>
      </c>
      <c r="G112" s="11">
        <f>SUM(G102:G111)</f>
        <v>3</v>
      </c>
      <c r="H112" s="11">
        <f>SUM(H102:H111)</f>
        <v>50</v>
      </c>
      <c r="I112" s="11"/>
    </row>
    <row r="113" spans="1:9" x14ac:dyDescent="0.2">
      <c r="A113" s="8" t="s">
        <v>0</v>
      </c>
      <c r="B113" s="5">
        <f>B102+1</f>
        <v>46116</v>
      </c>
      <c r="C113" s="74" t="s">
        <v>851</v>
      </c>
      <c r="D113" s="6" t="s">
        <v>170</v>
      </c>
      <c r="E113" s="6" t="s">
        <v>174</v>
      </c>
      <c r="F113" s="6">
        <v>1</v>
      </c>
      <c r="G113" s="6"/>
      <c r="H113" s="6">
        <v>3</v>
      </c>
      <c r="I113" s="6"/>
    </row>
    <row r="114" spans="1:9" x14ac:dyDescent="0.2">
      <c r="A114" s="8" t="s">
        <v>1</v>
      </c>
      <c r="B114" s="5"/>
      <c r="C114" s="74" t="s">
        <v>852</v>
      </c>
      <c r="D114" s="6" t="s">
        <v>211</v>
      </c>
      <c r="E114" s="6" t="s">
        <v>184</v>
      </c>
      <c r="F114" s="6">
        <v>1</v>
      </c>
      <c r="G114" s="6"/>
      <c r="H114" s="6">
        <v>5</v>
      </c>
      <c r="I114" s="6"/>
    </row>
    <row r="115" spans="1:9" x14ac:dyDescent="0.2">
      <c r="A115" s="8" t="s">
        <v>2</v>
      </c>
      <c r="B115" s="5"/>
      <c r="C115" s="74" t="s">
        <v>857</v>
      </c>
      <c r="D115" s="6" t="s">
        <v>211</v>
      </c>
      <c r="E115" s="6" t="s">
        <v>184</v>
      </c>
      <c r="F115" s="6">
        <v>1</v>
      </c>
      <c r="G115" s="6"/>
      <c r="H115" s="6">
        <v>5</v>
      </c>
      <c r="I115" s="6"/>
    </row>
    <row r="116" spans="1:9" x14ac:dyDescent="0.2">
      <c r="A116" s="8" t="s">
        <v>3</v>
      </c>
      <c r="B116" s="5"/>
      <c r="C116" s="74" t="s">
        <v>858</v>
      </c>
      <c r="D116" s="6" t="s">
        <v>832</v>
      </c>
      <c r="E116" s="6" t="s">
        <v>168</v>
      </c>
      <c r="F116" s="6">
        <v>1</v>
      </c>
      <c r="G116" s="6"/>
      <c r="H116" s="6">
        <v>2</v>
      </c>
      <c r="I116" s="6"/>
    </row>
    <row r="117" spans="1:9" x14ac:dyDescent="0.2">
      <c r="A117" s="8" t="s">
        <v>4</v>
      </c>
      <c r="B117" s="5"/>
      <c r="C117" s="74" t="s">
        <v>859</v>
      </c>
      <c r="D117" s="6" t="s">
        <v>371</v>
      </c>
      <c r="E117" s="6" t="s">
        <v>190</v>
      </c>
      <c r="F117" s="6"/>
      <c r="G117" s="6">
        <v>1</v>
      </c>
      <c r="H117" s="6">
        <v>5</v>
      </c>
      <c r="I117" s="6"/>
    </row>
    <row r="118" spans="1:9" hidden="1" x14ac:dyDescent="0.2">
      <c r="A118" s="8" t="s">
        <v>5</v>
      </c>
      <c r="B118" s="5"/>
      <c r="C118" s="74"/>
      <c r="D118" s="6"/>
      <c r="E118" s="6"/>
      <c r="F118" s="6"/>
      <c r="G118" s="6"/>
      <c r="H118" s="6"/>
      <c r="I118" s="6"/>
    </row>
    <row r="119" spans="1:9" hidden="1" x14ac:dyDescent="0.2">
      <c r="A119" s="8" t="s">
        <v>6</v>
      </c>
      <c r="B119" s="5"/>
      <c r="C119" s="74"/>
      <c r="D119" s="6"/>
      <c r="E119" s="6"/>
      <c r="F119" s="6"/>
      <c r="G119" s="6"/>
      <c r="H119" s="6"/>
      <c r="I119" s="6"/>
    </row>
    <row r="120" spans="1:9" hidden="1" x14ac:dyDescent="0.2">
      <c r="A120" s="8" t="s">
        <v>7</v>
      </c>
      <c r="B120" s="5"/>
      <c r="C120" s="74"/>
      <c r="D120" s="6"/>
      <c r="E120" s="6"/>
      <c r="F120" s="6"/>
      <c r="G120" s="6"/>
      <c r="H120" s="6"/>
      <c r="I120" s="6"/>
    </row>
    <row r="121" spans="1:9" hidden="1" x14ac:dyDescent="0.2">
      <c r="A121" s="8" t="s">
        <v>8</v>
      </c>
      <c r="B121" s="5"/>
      <c r="C121" s="74"/>
      <c r="D121" s="6"/>
      <c r="E121" s="6"/>
      <c r="F121" s="6"/>
      <c r="G121" s="6"/>
      <c r="H121" s="6"/>
      <c r="I121" s="6"/>
    </row>
    <row r="122" spans="1:9" hidden="1" x14ac:dyDescent="0.2">
      <c r="A122" s="8" t="s">
        <v>9</v>
      </c>
      <c r="B122" s="5"/>
      <c r="C122" s="74"/>
      <c r="D122" s="6"/>
      <c r="E122" s="6"/>
      <c r="F122" s="6"/>
      <c r="G122" s="6"/>
      <c r="H122" s="6"/>
      <c r="I122" s="6"/>
    </row>
    <row r="123" spans="1:9" x14ac:dyDescent="0.2">
      <c r="A123" s="312" t="s">
        <v>10</v>
      </c>
      <c r="B123" s="313"/>
      <c r="C123" s="313"/>
      <c r="D123" s="313"/>
      <c r="E123" s="314"/>
      <c r="F123" s="11">
        <f>SUM(F113:F122)</f>
        <v>4</v>
      </c>
      <c r="G123" s="11">
        <f>SUM(G113:G122)</f>
        <v>1</v>
      </c>
      <c r="H123" s="11">
        <f>SUM(H113:H122)</f>
        <v>20</v>
      </c>
      <c r="I123" s="11"/>
    </row>
    <row r="124" spans="1:9" x14ac:dyDescent="0.2">
      <c r="A124" s="8" t="s">
        <v>0</v>
      </c>
      <c r="B124" s="5">
        <f>B113+1</f>
        <v>46117</v>
      </c>
      <c r="C124" s="75" t="s">
        <v>911</v>
      </c>
      <c r="D124" s="6" t="s">
        <v>342</v>
      </c>
      <c r="E124" s="6" t="s">
        <v>165</v>
      </c>
      <c r="F124" s="6">
        <v>1</v>
      </c>
      <c r="G124" s="6"/>
      <c r="H124" s="6">
        <v>6</v>
      </c>
      <c r="I124" s="6"/>
    </row>
    <row r="125" spans="1:9" x14ac:dyDescent="0.2">
      <c r="A125" s="8" t="s">
        <v>1</v>
      </c>
      <c r="B125" s="5"/>
      <c r="C125" s="75" t="s">
        <v>912</v>
      </c>
      <c r="D125" s="6" t="s">
        <v>887</v>
      </c>
      <c r="E125" s="6" t="s">
        <v>165</v>
      </c>
      <c r="F125" s="6">
        <v>1</v>
      </c>
      <c r="G125" s="6"/>
      <c r="H125" s="6">
        <v>5</v>
      </c>
      <c r="I125" s="6"/>
    </row>
    <row r="126" spans="1:9" x14ac:dyDescent="0.2">
      <c r="A126" s="8" t="s">
        <v>2</v>
      </c>
      <c r="B126" s="5"/>
      <c r="C126" s="75" t="s">
        <v>913</v>
      </c>
      <c r="D126" s="6" t="s">
        <v>170</v>
      </c>
      <c r="E126" s="6" t="s">
        <v>171</v>
      </c>
      <c r="F126" s="6">
        <v>1</v>
      </c>
      <c r="G126" s="6"/>
      <c r="H126" s="6">
        <v>6</v>
      </c>
      <c r="I126" s="6"/>
    </row>
    <row r="127" spans="1:9" x14ac:dyDescent="0.2">
      <c r="A127" s="8" t="s">
        <v>3</v>
      </c>
      <c r="B127" s="5"/>
      <c r="C127" s="75" t="s">
        <v>914</v>
      </c>
      <c r="D127" s="6" t="s">
        <v>170</v>
      </c>
      <c r="E127" s="6" t="s">
        <v>171</v>
      </c>
      <c r="F127" s="6">
        <v>1</v>
      </c>
      <c r="G127" s="6"/>
      <c r="H127" s="6">
        <v>6</v>
      </c>
      <c r="I127" s="6"/>
    </row>
    <row r="128" spans="1:9" x14ac:dyDescent="0.2">
      <c r="A128" s="8" t="s">
        <v>4</v>
      </c>
      <c r="B128" s="5"/>
      <c r="C128" s="75" t="s">
        <v>915</v>
      </c>
      <c r="D128" s="6" t="s">
        <v>170</v>
      </c>
      <c r="E128" s="6" t="s">
        <v>171</v>
      </c>
      <c r="F128" s="6">
        <v>1</v>
      </c>
      <c r="G128" s="6"/>
      <c r="H128" s="6">
        <v>6</v>
      </c>
      <c r="I128" s="6"/>
    </row>
    <row r="129" spans="1:9" x14ac:dyDescent="0.2">
      <c r="A129" s="8" t="s">
        <v>5</v>
      </c>
      <c r="B129" s="5"/>
      <c r="C129" s="74" t="s">
        <v>916</v>
      </c>
      <c r="D129" s="6" t="s">
        <v>170</v>
      </c>
      <c r="E129" s="6" t="s">
        <v>171</v>
      </c>
      <c r="F129" s="6"/>
      <c r="G129" s="6">
        <v>1</v>
      </c>
      <c r="H129" s="6">
        <v>6</v>
      </c>
      <c r="I129" s="6"/>
    </row>
    <row r="130" spans="1:9" hidden="1" x14ac:dyDescent="0.2">
      <c r="A130" s="8" t="s">
        <v>6</v>
      </c>
      <c r="B130" s="5"/>
      <c r="C130" s="74"/>
      <c r="D130" s="6"/>
      <c r="E130" s="6"/>
      <c r="F130" s="6"/>
      <c r="G130" s="6"/>
      <c r="H130" s="6"/>
      <c r="I130" s="6"/>
    </row>
    <row r="131" spans="1:9" hidden="1" x14ac:dyDescent="0.2">
      <c r="A131" s="8" t="s">
        <v>7</v>
      </c>
      <c r="B131" s="5"/>
      <c r="C131" s="74"/>
      <c r="D131" s="6"/>
      <c r="E131" s="6"/>
      <c r="F131" s="6"/>
      <c r="G131" s="6"/>
      <c r="H131" s="6"/>
      <c r="I131" s="6"/>
    </row>
    <row r="132" spans="1:9" hidden="1" x14ac:dyDescent="0.2">
      <c r="A132" s="8" t="s">
        <v>8</v>
      </c>
      <c r="B132" s="5"/>
      <c r="C132" s="74"/>
      <c r="D132" s="6"/>
      <c r="E132" s="6"/>
      <c r="F132" s="6"/>
      <c r="G132" s="6"/>
      <c r="H132" s="6"/>
      <c r="I132" s="6"/>
    </row>
    <row r="133" spans="1:9" hidden="1" x14ac:dyDescent="0.2">
      <c r="A133" s="8" t="s">
        <v>9</v>
      </c>
      <c r="B133" s="5"/>
      <c r="C133" s="74"/>
      <c r="D133" s="6"/>
      <c r="E133" s="6"/>
      <c r="F133" s="6"/>
      <c r="G133" s="6"/>
      <c r="H133" s="6"/>
      <c r="I133" s="6"/>
    </row>
    <row r="134" spans="1:9" x14ac:dyDescent="0.2">
      <c r="A134" s="312" t="s">
        <v>10</v>
      </c>
      <c r="B134" s="313"/>
      <c r="C134" s="313"/>
      <c r="D134" s="313"/>
      <c r="E134" s="314"/>
      <c r="F134" s="11">
        <f>SUM(F124:F133)</f>
        <v>5</v>
      </c>
      <c r="G134" s="11">
        <f>SUM(G124:G133)</f>
        <v>1</v>
      </c>
      <c r="H134" s="11">
        <f>SUM(H124:H133)</f>
        <v>35</v>
      </c>
      <c r="I134" s="11"/>
    </row>
    <row r="135" spans="1:9" x14ac:dyDescent="0.2">
      <c r="A135" s="8" t="s">
        <v>0</v>
      </c>
      <c r="B135" s="5">
        <f>B124+1</f>
        <v>46118</v>
      </c>
      <c r="C135" s="75" t="s">
        <v>992</v>
      </c>
      <c r="D135" s="6" t="s">
        <v>242</v>
      </c>
      <c r="E135" s="6" t="s">
        <v>171</v>
      </c>
      <c r="F135" s="6">
        <v>1</v>
      </c>
      <c r="G135" s="6"/>
      <c r="H135" s="6">
        <v>5.5</v>
      </c>
      <c r="I135" s="6"/>
    </row>
    <row r="136" spans="1:9" x14ac:dyDescent="0.2">
      <c r="A136" s="8" t="s">
        <v>1</v>
      </c>
      <c r="B136" s="5"/>
      <c r="C136" s="75" t="s">
        <v>993</v>
      </c>
      <c r="D136" s="6" t="s">
        <v>242</v>
      </c>
      <c r="E136" s="6" t="s">
        <v>171</v>
      </c>
      <c r="F136" s="6">
        <v>1</v>
      </c>
      <c r="G136" s="6"/>
      <c r="H136" s="6">
        <v>5.5</v>
      </c>
      <c r="I136" s="6"/>
    </row>
    <row r="137" spans="1:9" x14ac:dyDescent="0.2">
      <c r="A137" s="8" t="s">
        <v>2</v>
      </c>
      <c r="B137" s="5"/>
      <c r="C137" s="75" t="s">
        <v>978</v>
      </c>
      <c r="D137" s="6" t="s">
        <v>211</v>
      </c>
      <c r="E137" s="6" t="s">
        <v>165</v>
      </c>
      <c r="F137" s="6">
        <v>1</v>
      </c>
      <c r="G137" s="6"/>
      <c r="H137" s="6">
        <v>6</v>
      </c>
      <c r="I137" s="6"/>
    </row>
    <row r="138" spans="1:9" x14ac:dyDescent="0.2">
      <c r="A138" s="8" t="s">
        <v>3</v>
      </c>
      <c r="B138" s="5"/>
      <c r="C138" s="75" t="s">
        <v>994</v>
      </c>
      <c r="D138" s="6" t="s">
        <v>170</v>
      </c>
      <c r="E138" s="6" t="s">
        <v>171</v>
      </c>
      <c r="F138" s="6">
        <v>1</v>
      </c>
      <c r="G138" s="6"/>
      <c r="H138" s="6">
        <v>2.5</v>
      </c>
      <c r="I138" s="6"/>
    </row>
    <row r="139" spans="1:9" x14ac:dyDescent="0.2">
      <c r="A139" s="8" t="s">
        <v>4</v>
      </c>
      <c r="B139" s="5"/>
      <c r="C139" s="75" t="s">
        <v>995</v>
      </c>
      <c r="D139" s="6" t="s">
        <v>170</v>
      </c>
      <c r="E139" s="6" t="s">
        <v>171</v>
      </c>
      <c r="F139" s="6"/>
      <c r="G139" s="6">
        <v>1</v>
      </c>
      <c r="H139" s="6">
        <v>6</v>
      </c>
      <c r="I139" s="6"/>
    </row>
    <row r="140" spans="1:9" x14ac:dyDescent="0.2">
      <c r="A140" s="8" t="s">
        <v>5</v>
      </c>
      <c r="B140" s="5"/>
      <c r="C140" s="75" t="s">
        <v>996</v>
      </c>
      <c r="D140" s="6" t="s">
        <v>170</v>
      </c>
      <c r="E140" s="6" t="s">
        <v>171</v>
      </c>
      <c r="F140" s="6"/>
      <c r="G140" s="6">
        <v>1</v>
      </c>
      <c r="H140" s="6">
        <v>6</v>
      </c>
      <c r="I140" s="6"/>
    </row>
    <row r="141" spans="1:9" x14ac:dyDescent="0.2">
      <c r="A141" s="8" t="s">
        <v>6</v>
      </c>
      <c r="B141" s="5"/>
      <c r="C141" s="74" t="s">
        <v>997</v>
      </c>
      <c r="D141" s="6" t="s">
        <v>170</v>
      </c>
      <c r="E141" s="6" t="s">
        <v>171</v>
      </c>
      <c r="F141" s="6"/>
      <c r="G141" s="6">
        <v>1</v>
      </c>
      <c r="H141" s="6">
        <v>6</v>
      </c>
      <c r="I141" s="6"/>
    </row>
    <row r="142" spans="1:9" x14ac:dyDescent="0.2">
      <c r="A142" s="8" t="s">
        <v>7</v>
      </c>
      <c r="B142" s="5"/>
      <c r="C142" s="74" t="s">
        <v>998</v>
      </c>
      <c r="D142" s="6" t="s">
        <v>170</v>
      </c>
      <c r="E142" s="6" t="s">
        <v>171</v>
      </c>
      <c r="F142" s="6"/>
      <c r="G142" s="6">
        <v>1</v>
      </c>
      <c r="H142" s="6">
        <v>6</v>
      </c>
      <c r="I142" s="6"/>
    </row>
    <row r="143" spans="1:9" hidden="1" x14ac:dyDescent="0.2">
      <c r="A143" s="8" t="s">
        <v>8</v>
      </c>
      <c r="B143" s="5"/>
      <c r="C143" s="74"/>
      <c r="D143" s="6"/>
      <c r="E143" s="6"/>
      <c r="F143" s="6"/>
      <c r="G143" s="6"/>
      <c r="H143" s="6"/>
      <c r="I143" s="6"/>
    </row>
    <row r="144" spans="1:9" hidden="1" x14ac:dyDescent="0.2">
      <c r="A144" s="8" t="s">
        <v>9</v>
      </c>
      <c r="B144" s="5"/>
      <c r="C144" s="74"/>
      <c r="D144" s="6"/>
      <c r="E144" s="6"/>
      <c r="F144" s="6"/>
      <c r="G144" s="6"/>
      <c r="H144" s="6"/>
      <c r="I144" s="6"/>
    </row>
    <row r="145" spans="1:9" x14ac:dyDescent="0.2">
      <c r="A145" s="312" t="s">
        <v>10</v>
      </c>
      <c r="B145" s="313"/>
      <c r="C145" s="313"/>
      <c r="D145" s="313"/>
      <c r="E145" s="314"/>
      <c r="F145" s="11">
        <f>SUM(F135:F144)</f>
        <v>4</v>
      </c>
      <c r="G145" s="11">
        <f>SUM(G135:G144)</f>
        <v>4</v>
      </c>
      <c r="H145" s="11">
        <f>SUM(H135:H144)</f>
        <v>43.5</v>
      </c>
      <c r="I145" s="11"/>
    </row>
    <row r="146" spans="1:9" x14ac:dyDescent="0.2">
      <c r="A146" s="8" t="s">
        <v>0</v>
      </c>
      <c r="B146" s="5">
        <f>B135+1</f>
        <v>46119</v>
      </c>
      <c r="C146" s="74" t="s">
        <v>1055</v>
      </c>
      <c r="D146" s="6" t="s">
        <v>173</v>
      </c>
      <c r="E146" s="6" t="s">
        <v>441</v>
      </c>
      <c r="F146" s="6">
        <v>1</v>
      </c>
      <c r="G146" s="6"/>
      <c r="H146" s="6">
        <v>6</v>
      </c>
      <c r="I146" s="6"/>
    </row>
    <row r="147" spans="1:9" x14ac:dyDescent="0.2">
      <c r="A147" s="8" t="s">
        <v>1</v>
      </c>
      <c r="B147" s="5"/>
      <c r="C147" s="74" t="s">
        <v>1056</v>
      </c>
      <c r="D147" s="6" t="s">
        <v>211</v>
      </c>
      <c r="E147" s="6" t="s">
        <v>171</v>
      </c>
      <c r="F147" s="6">
        <v>1</v>
      </c>
      <c r="G147" s="6"/>
      <c r="H147" s="6">
        <v>6</v>
      </c>
      <c r="I147" s="6"/>
    </row>
    <row r="148" spans="1:9" x14ac:dyDescent="0.2">
      <c r="A148" s="8" t="s">
        <v>2</v>
      </c>
      <c r="B148" s="5"/>
      <c r="C148" s="74" t="s">
        <v>1057</v>
      </c>
      <c r="D148" s="6" t="s">
        <v>211</v>
      </c>
      <c r="E148" s="6" t="s">
        <v>171</v>
      </c>
      <c r="F148" s="6">
        <v>1</v>
      </c>
      <c r="G148" s="6"/>
      <c r="H148" s="6">
        <v>6</v>
      </c>
      <c r="I148" s="6"/>
    </row>
    <row r="149" spans="1:9" x14ac:dyDescent="0.2">
      <c r="A149" s="8" t="s">
        <v>3</v>
      </c>
      <c r="B149" s="5"/>
      <c r="C149" s="74" t="s">
        <v>1058</v>
      </c>
      <c r="D149" s="6" t="s">
        <v>342</v>
      </c>
      <c r="E149" s="6" t="s">
        <v>165</v>
      </c>
      <c r="F149" s="6">
        <v>1</v>
      </c>
      <c r="G149" s="6"/>
      <c r="H149" s="6">
        <v>6</v>
      </c>
      <c r="I149" s="6"/>
    </row>
    <row r="150" spans="1:9" x14ac:dyDescent="0.2">
      <c r="A150" s="8" t="s">
        <v>4</v>
      </c>
      <c r="B150" s="5"/>
      <c r="C150" s="74" t="s">
        <v>1059</v>
      </c>
      <c r="D150" s="6" t="s">
        <v>839</v>
      </c>
      <c r="E150" s="6" t="s">
        <v>190</v>
      </c>
      <c r="F150" s="6">
        <v>1</v>
      </c>
      <c r="G150" s="6"/>
      <c r="H150" s="6">
        <v>4</v>
      </c>
      <c r="I150" s="6"/>
    </row>
    <row r="151" spans="1:9" x14ac:dyDescent="0.2">
      <c r="A151" s="8" t="s">
        <v>5</v>
      </c>
      <c r="B151" s="5"/>
      <c r="C151" s="74" t="s">
        <v>1060</v>
      </c>
      <c r="D151" s="6" t="s">
        <v>347</v>
      </c>
      <c r="E151" s="6" t="s">
        <v>441</v>
      </c>
      <c r="F151" s="6">
        <v>1</v>
      </c>
      <c r="G151" s="6"/>
      <c r="H151" s="6">
        <v>5</v>
      </c>
      <c r="I151" s="6"/>
    </row>
    <row r="152" spans="1:9" hidden="1" x14ac:dyDescent="0.2">
      <c r="A152" s="8" t="s">
        <v>6</v>
      </c>
      <c r="B152" s="5"/>
      <c r="C152" s="74"/>
      <c r="D152" s="6"/>
      <c r="E152" s="6"/>
      <c r="F152" s="6"/>
      <c r="G152" s="6"/>
      <c r="H152" s="6"/>
      <c r="I152" s="6"/>
    </row>
    <row r="153" spans="1:9" hidden="1" x14ac:dyDescent="0.2">
      <c r="A153" s="8" t="s">
        <v>7</v>
      </c>
      <c r="B153" s="5"/>
      <c r="C153" s="74"/>
      <c r="D153" s="6"/>
      <c r="E153" s="6"/>
      <c r="F153" s="6"/>
      <c r="G153" s="6"/>
      <c r="H153" s="6"/>
      <c r="I153" s="6"/>
    </row>
    <row r="154" spans="1:9" hidden="1" x14ac:dyDescent="0.2">
      <c r="A154" s="8" t="s">
        <v>8</v>
      </c>
      <c r="B154" s="5"/>
      <c r="C154" s="74"/>
      <c r="D154" s="6"/>
      <c r="E154" s="6"/>
      <c r="F154" s="6"/>
      <c r="G154" s="6"/>
      <c r="H154" s="6"/>
      <c r="I154" s="6"/>
    </row>
    <row r="155" spans="1:9" hidden="1" x14ac:dyDescent="0.2">
      <c r="A155" s="8" t="s">
        <v>9</v>
      </c>
      <c r="B155" s="5"/>
      <c r="C155" s="75"/>
      <c r="D155" s="6"/>
      <c r="E155" s="6"/>
      <c r="F155" s="6"/>
      <c r="G155" s="6"/>
      <c r="H155" s="6"/>
      <c r="I155" s="6"/>
    </row>
    <row r="156" spans="1:9" x14ac:dyDescent="0.2">
      <c r="A156" s="312" t="s">
        <v>10</v>
      </c>
      <c r="B156" s="313"/>
      <c r="C156" s="313"/>
      <c r="D156" s="313"/>
      <c r="E156" s="314"/>
      <c r="F156" s="11">
        <f>SUM(F146:F155)</f>
        <v>6</v>
      </c>
      <c r="G156" s="11">
        <f>SUM(G146:G155)</f>
        <v>0</v>
      </c>
      <c r="H156" s="11">
        <f>SUM(H146:H155)</f>
        <v>33</v>
      </c>
      <c r="I156" s="11"/>
    </row>
    <row r="157" spans="1:9" x14ac:dyDescent="0.2">
      <c r="A157" s="8" t="s">
        <v>0</v>
      </c>
      <c r="B157" s="5">
        <f>B146+1</f>
        <v>46120</v>
      </c>
      <c r="C157" s="74" t="s">
        <v>1111</v>
      </c>
      <c r="D157" s="6" t="s">
        <v>334</v>
      </c>
      <c r="E157" s="6" t="s">
        <v>168</v>
      </c>
      <c r="F157" s="6">
        <v>1</v>
      </c>
      <c r="G157" s="6"/>
      <c r="H157" s="6">
        <v>4.5</v>
      </c>
      <c r="I157" s="6"/>
    </row>
    <row r="158" spans="1:9" x14ac:dyDescent="0.2">
      <c r="A158" s="8" t="s">
        <v>1</v>
      </c>
      <c r="B158" s="5"/>
      <c r="C158" s="74" t="s">
        <v>1112</v>
      </c>
      <c r="D158" s="6" t="s">
        <v>170</v>
      </c>
      <c r="E158" s="6" t="s">
        <v>165</v>
      </c>
      <c r="F158" s="6">
        <v>1</v>
      </c>
      <c r="G158" s="6"/>
      <c r="H158" s="6">
        <v>6</v>
      </c>
      <c r="I158" s="6"/>
    </row>
    <row r="159" spans="1:9" x14ac:dyDescent="0.2">
      <c r="A159" s="8" t="s">
        <v>2</v>
      </c>
      <c r="B159" s="5"/>
      <c r="C159" s="74" t="s">
        <v>1113</v>
      </c>
      <c r="D159" s="6" t="s">
        <v>839</v>
      </c>
      <c r="E159" s="6" t="s">
        <v>190</v>
      </c>
      <c r="F159" s="6">
        <v>1</v>
      </c>
      <c r="G159" s="6"/>
      <c r="H159" s="6">
        <v>5</v>
      </c>
      <c r="I159" s="6"/>
    </row>
    <row r="160" spans="1:9" x14ac:dyDescent="0.2">
      <c r="A160" s="8" t="s">
        <v>3</v>
      </c>
      <c r="B160" s="5"/>
      <c r="C160" s="74" t="s">
        <v>1114</v>
      </c>
      <c r="D160" s="6" t="s">
        <v>170</v>
      </c>
      <c r="E160" s="6" t="s">
        <v>165</v>
      </c>
      <c r="F160" s="6">
        <v>1</v>
      </c>
      <c r="G160" s="6"/>
      <c r="H160" s="6">
        <v>4</v>
      </c>
      <c r="I160" s="6"/>
    </row>
    <row r="161" spans="1:9" x14ac:dyDescent="0.2">
      <c r="A161" s="8" t="s">
        <v>4</v>
      </c>
      <c r="B161" s="5"/>
      <c r="C161" s="74" t="s">
        <v>1115</v>
      </c>
      <c r="D161" s="6" t="s">
        <v>188</v>
      </c>
      <c r="E161" s="6" t="s">
        <v>190</v>
      </c>
      <c r="F161" s="6">
        <v>1</v>
      </c>
      <c r="G161" s="6"/>
      <c r="H161" s="6">
        <v>6</v>
      </c>
      <c r="I161" s="6"/>
    </row>
    <row r="162" spans="1:9" hidden="1" x14ac:dyDescent="0.2">
      <c r="A162" s="8" t="s">
        <v>5</v>
      </c>
      <c r="B162" s="5"/>
      <c r="C162" s="74"/>
      <c r="D162" s="6"/>
      <c r="E162" s="6"/>
      <c r="F162" s="6"/>
      <c r="G162" s="6"/>
      <c r="H162" s="6"/>
      <c r="I162" s="6"/>
    </row>
    <row r="163" spans="1:9" hidden="1" x14ac:dyDescent="0.2">
      <c r="A163" s="8" t="s">
        <v>6</v>
      </c>
      <c r="B163" s="5"/>
      <c r="C163" s="74"/>
      <c r="D163" s="6"/>
      <c r="E163" s="6"/>
      <c r="F163" s="6"/>
      <c r="G163" s="6"/>
      <c r="H163" s="6"/>
      <c r="I163" s="6"/>
    </row>
    <row r="164" spans="1:9" hidden="1" x14ac:dyDescent="0.2">
      <c r="A164" s="8" t="s">
        <v>7</v>
      </c>
      <c r="B164" s="5"/>
      <c r="C164" s="74"/>
      <c r="D164" s="6"/>
      <c r="E164" s="6"/>
      <c r="F164" s="6"/>
      <c r="G164" s="6"/>
      <c r="H164" s="6"/>
      <c r="I164" s="6"/>
    </row>
    <row r="165" spans="1:9" hidden="1" x14ac:dyDescent="0.2">
      <c r="A165" s="8" t="s">
        <v>8</v>
      </c>
      <c r="B165" s="5"/>
      <c r="C165" s="74"/>
      <c r="D165" s="6"/>
      <c r="E165" s="6"/>
      <c r="F165" s="6"/>
      <c r="G165" s="6"/>
      <c r="H165" s="6"/>
      <c r="I165" s="6"/>
    </row>
    <row r="166" spans="1:9" hidden="1" x14ac:dyDescent="0.2">
      <c r="A166" s="8" t="s">
        <v>9</v>
      </c>
      <c r="B166" s="5"/>
      <c r="C166" s="74"/>
      <c r="D166" s="6"/>
      <c r="E166" s="6"/>
      <c r="F166" s="6"/>
      <c r="G166" s="6"/>
      <c r="H166" s="6"/>
      <c r="I166" s="6"/>
    </row>
    <row r="167" spans="1:9" x14ac:dyDescent="0.2">
      <c r="A167" s="312" t="s">
        <v>10</v>
      </c>
      <c r="B167" s="313"/>
      <c r="C167" s="313"/>
      <c r="D167" s="313"/>
      <c r="E167" s="314"/>
      <c r="F167" s="11">
        <f>SUM(F157:F166)</f>
        <v>5</v>
      </c>
      <c r="G167" s="11">
        <f>SUM(G157:G166)</f>
        <v>0</v>
      </c>
      <c r="H167" s="11">
        <f>SUM(H157:H166)</f>
        <v>25.5</v>
      </c>
      <c r="I167" s="11"/>
    </row>
    <row r="168" spans="1:9" s="25" customFormat="1" ht="18" x14ac:dyDescent="0.2">
      <c r="A168" s="315" t="s">
        <v>39</v>
      </c>
      <c r="B168" s="316"/>
      <c r="C168" s="316"/>
      <c r="D168" s="316"/>
      <c r="E168" s="317"/>
      <c r="F168" s="22">
        <f>F101+F112+F123+F134+F145+F156+F167+F84</f>
        <v>74</v>
      </c>
      <c r="G168" s="22">
        <f>G101+G112+G123+G134+G145+G156+G167+G84</f>
        <v>17</v>
      </c>
      <c r="H168" s="22">
        <f>H101+H112+H123+H134+H145+H156+H167+H84</f>
        <v>480.75</v>
      </c>
      <c r="I168" s="22"/>
    </row>
    <row r="169" spans="1:9" ht="21.95" customHeight="1" x14ac:dyDescent="0.2">
      <c r="A169" s="319" t="s">
        <v>14</v>
      </c>
      <c r="B169" s="319"/>
      <c r="C169" s="319"/>
      <c r="D169" s="319"/>
      <c r="E169" s="319"/>
      <c r="F169" s="319"/>
      <c r="G169" s="319"/>
      <c r="H169" s="319"/>
      <c r="I169" s="319"/>
    </row>
    <row r="170" spans="1:9" s="53" customFormat="1" ht="20.100000000000001" customHeight="1" x14ac:dyDescent="0.2">
      <c r="A170" s="323" t="s">
        <v>86</v>
      </c>
      <c r="B170" s="323"/>
      <c r="C170" s="323"/>
      <c r="D170" s="323"/>
      <c r="E170" s="323"/>
      <c r="F170" s="50" t="str">
        <f>F86</f>
        <v>เมษายน</v>
      </c>
      <c r="G170" s="50" t="s">
        <v>87</v>
      </c>
      <c r="H170" s="51">
        <f>H86</f>
        <v>2569</v>
      </c>
      <c r="I170" s="52"/>
    </row>
    <row r="171" spans="1:9" s="3" customFormat="1" ht="20.100000000000001" customHeight="1" x14ac:dyDescent="0.35">
      <c r="A171" s="318" t="s">
        <v>38</v>
      </c>
      <c r="B171" s="318"/>
      <c r="C171" s="318"/>
      <c r="D171" s="2"/>
      <c r="F171" s="4"/>
      <c r="G171" s="4"/>
      <c r="H171" s="4" t="s">
        <v>21</v>
      </c>
      <c r="I171" s="40">
        <f>I87+1</f>
        <v>3</v>
      </c>
    </row>
    <row r="172" spans="1:9" s="3" customFormat="1" ht="20.100000000000001" customHeight="1" x14ac:dyDescent="0.35">
      <c r="A172" s="311" t="s">
        <v>68</v>
      </c>
      <c r="B172" s="311"/>
      <c r="C172" s="311"/>
      <c r="D172" s="2"/>
      <c r="E172" s="39" t="s">
        <v>81</v>
      </c>
      <c r="F172" s="308">
        <f>F88</f>
        <v>46107</v>
      </c>
      <c r="G172" s="308"/>
      <c r="H172" s="39" t="s">
        <v>82</v>
      </c>
      <c r="I172" s="34">
        <f>I88</f>
        <v>46136</v>
      </c>
    </row>
    <row r="173" spans="1:9" x14ac:dyDescent="0.2">
      <c r="A173" s="12" t="s">
        <v>23</v>
      </c>
      <c r="B173" s="13" t="s">
        <v>11</v>
      </c>
      <c r="C173" s="72" t="s">
        <v>26</v>
      </c>
      <c r="D173" s="12" t="s">
        <v>16</v>
      </c>
      <c r="E173" s="12" t="s">
        <v>17</v>
      </c>
      <c r="F173" s="310" t="s">
        <v>46</v>
      </c>
      <c r="G173" s="310"/>
      <c r="H173" s="310"/>
      <c r="I173" s="12" t="s">
        <v>19</v>
      </c>
    </row>
    <row r="174" spans="1:9" x14ac:dyDescent="0.2">
      <c r="A174" s="15"/>
      <c r="B174" s="16"/>
      <c r="C174" s="73"/>
      <c r="D174" s="15"/>
      <c r="E174" s="15"/>
      <c r="F174" s="21" t="s">
        <v>113</v>
      </c>
      <c r="G174" s="21" t="s">
        <v>114</v>
      </c>
      <c r="H174" s="21" t="s">
        <v>20</v>
      </c>
      <c r="I174" s="15"/>
    </row>
    <row r="175" spans="1:9" x14ac:dyDescent="0.2">
      <c r="A175" s="8" t="s">
        <v>0</v>
      </c>
      <c r="B175" s="5">
        <f>B157+1</f>
        <v>46121</v>
      </c>
      <c r="C175" s="74" t="s">
        <v>1167</v>
      </c>
      <c r="D175" s="6" t="s">
        <v>342</v>
      </c>
      <c r="E175" s="6" t="s">
        <v>165</v>
      </c>
      <c r="F175" s="6">
        <v>1</v>
      </c>
      <c r="G175" s="6"/>
      <c r="H175" s="6">
        <v>6</v>
      </c>
      <c r="I175" s="6"/>
    </row>
    <row r="176" spans="1:9" x14ac:dyDescent="0.2">
      <c r="A176" s="8" t="s">
        <v>1</v>
      </c>
      <c r="B176" s="5"/>
      <c r="C176" s="74" t="s">
        <v>1168</v>
      </c>
      <c r="D176" s="6" t="s">
        <v>342</v>
      </c>
      <c r="E176" s="6" t="s">
        <v>165</v>
      </c>
      <c r="F176" s="6">
        <v>1</v>
      </c>
      <c r="G176" s="6"/>
      <c r="H176" s="6">
        <v>6</v>
      </c>
      <c r="I176" s="6"/>
    </row>
    <row r="177" spans="1:9" x14ac:dyDescent="0.2">
      <c r="A177" s="8" t="s">
        <v>2</v>
      </c>
      <c r="B177" s="5"/>
      <c r="C177" s="74" t="s">
        <v>1169</v>
      </c>
      <c r="D177" s="6" t="s">
        <v>379</v>
      </c>
      <c r="E177" s="6" t="s">
        <v>165</v>
      </c>
      <c r="F177" s="6">
        <v>1</v>
      </c>
      <c r="G177" s="6"/>
      <c r="H177" s="6">
        <v>5</v>
      </c>
      <c r="I177" s="6"/>
    </row>
    <row r="178" spans="1:9" x14ac:dyDescent="0.2">
      <c r="A178" s="8" t="s">
        <v>3</v>
      </c>
      <c r="B178" s="5"/>
      <c r="C178" s="74" t="s">
        <v>1138</v>
      </c>
      <c r="D178" s="6" t="s">
        <v>206</v>
      </c>
      <c r="E178" s="6" t="s">
        <v>632</v>
      </c>
      <c r="F178" s="6">
        <v>1</v>
      </c>
      <c r="G178" s="6"/>
      <c r="H178" s="6">
        <v>6</v>
      </c>
      <c r="I178" s="6"/>
    </row>
    <row r="179" spans="1:9" x14ac:dyDescent="0.2">
      <c r="A179" s="8" t="s">
        <v>4</v>
      </c>
      <c r="B179" s="5"/>
      <c r="C179" s="74" t="s">
        <v>1170</v>
      </c>
      <c r="D179" s="6" t="s">
        <v>206</v>
      </c>
      <c r="E179" s="6" t="s">
        <v>632</v>
      </c>
      <c r="F179" s="6">
        <v>1</v>
      </c>
      <c r="G179" s="6"/>
      <c r="H179" s="6">
        <v>6</v>
      </c>
      <c r="I179" s="6"/>
    </row>
    <row r="180" spans="1:9" x14ac:dyDescent="0.2">
      <c r="A180" s="8" t="s">
        <v>5</v>
      </c>
      <c r="B180" s="5"/>
      <c r="C180" s="74" t="s">
        <v>1171</v>
      </c>
      <c r="D180" s="6" t="s">
        <v>253</v>
      </c>
      <c r="E180" s="6" t="s">
        <v>165</v>
      </c>
      <c r="F180" s="6">
        <v>1</v>
      </c>
      <c r="G180" s="6"/>
      <c r="H180" s="6">
        <v>3.5</v>
      </c>
      <c r="I180" s="6"/>
    </row>
    <row r="181" spans="1:9" hidden="1" x14ac:dyDescent="0.2">
      <c r="A181" s="8" t="s">
        <v>6</v>
      </c>
      <c r="B181" s="5"/>
      <c r="C181" s="74"/>
      <c r="D181" s="6"/>
      <c r="E181" s="6"/>
      <c r="F181" s="6"/>
      <c r="G181" s="6"/>
      <c r="H181" s="6"/>
      <c r="I181" s="6"/>
    </row>
    <row r="182" spans="1:9" hidden="1" x14ac:dyDescent="0.2">
      <c r="A182" s="8" t="s">
        <v>7</v>
      </c>
      <c r="B182" s="5"/>
      <c r="C182" s="74"/>
      <c r="D182" s="6"/>
      <c r="E182" s="6"/>
      <c r="F182" s="6"/>
      <c r="G182" s="6"/>
      <c r="H182" s="6"/>
      <c r="I182" s="6"/>
    </row>
    <row r="183" spans="1:9" hidden="1" x14ac:dyDescent="0.2">
      <c r="A183" s="8" t="s">
        <v>8</v>
      </c>
      <c r="B183" s="5"/>
      <c r="C183" s="74"/>
      <c r="D183" s="6"/>
      <c r="E183" s="6"/>
      <c r="F183" s="6"/>
      <c r="G183" s="6"/>
      <c r="H183" s="6"/>
      <c r="I183" s="6"/>
    </row>
    <row r="184" spans="1:9" hidden="1" x14ac:dyDescent="0.2">
      <c r="A184" s="8" t="s">
        <v>9</v>
      </c>
      <c r="B184" s="5"/>
      <c r="C184" s="74"/>
      <c r="D184" s="6"/>
      <c r="E184" s="6"/>
      <c r="F184" s="6"/>
      <c r="G184" s="6"/>
      <c r="H184" s="6"/>
      <c r="I184" s="6"/>
    </row>
    <row r="185" spans="1:9" x14ac:dyDescent="0.2">
      <c r="A185" s="312" t="s">
        <v>10</v>
      </c>
      <c r="B185" s="313"/>
      <c r="C185" s="313"/>
      <c r="D185" s="313"/>
      <c r="E185" s="314"/>
      <c r="F185" s="11">
        <f>SUM(F175:F184)</f>
        <v>6</v>
      </c>
      <c r="G185" s="11">
        <f>SUM(G175:G184)</f>
        <v>0</v>
      </c>
      <c r="H185" s="11">
        <f>SUM(H175:H184)</f>
        <v>32.5</v>
      </c>
      <c r="I185" s="11"/>
    </row>
    <row r="186" spans="1:9" x14ac:dyDescent="0.2">
      <c r="A186" s="8" t="s">
        <v>0</v>
      </c>
      <c r="B186" s="5">
        <f>B175+1</f>
        <v>46122</v>
      </c>
      <c r="C186" s="74" t="s">
        <v>1222</v>
      </c>
      <c r="D186" s="6" t="s">
        <v>250</v>
      </c>
      <c r="E186" s="6" t="s">
        <v>168</v>
      </c>
      <c r="F186" s="6">
        <v>1</v>
      </c>
      <c r="G186" s="6"/>
      <c r="H186" s="6">
        <v>5</v>
      </c>
      <c r="I186" s="6"/>
    </row>
    <row r="187" spans="1:9" x14ac:dyDescent="0.2">
      <c r="A187" s="8" t="s">
        <v>1</v>
      </c>
      <c r="B187" s="5"/>
      <c r="C187" s="74" t="s">
        <v>1211</v>
      </c>
      <c r="D187" s="6" t="s">
        <v>759</v>
      </c>
      <c r="E187" s="6" t="s">
        <v>190</v>
      </c>
      <c r="F187" s="6">
        <v>1</v>
      </c>
      <c r="G187" s="6"/>
      <c r="H187" s="6">
        <v>5</v>
      </c>
      <c r="I187" s="6"/>
    </row>
    <row r="188" spans="1:9" x14ac:dyDescent="0.2">
      <c r="A188" s="8" t="s">
        <v>2</v>
      </c>
      <c r="B188" s="5"/>
      <c r="C188" s="74" t="s">
        <v>1227</v>
      </c>
      <c r="D188" s="6" t="s">
        <v>188</v>
      </c>
      <c r="E188" s="6" t="s">
        <v>165</v>
      </c>
      <c r="F188" s="6">
        <v>1</v>
      </c>
      <c r="G188" s="6"/>
      <c r="H188" s="6">
        <v>6</v>
      </c>
      <c r="I188" s="6"/>
    </row>
    <row r="189" spans="1:9" x14ac:dyDescent="0.2">
      <c r="A189" s="8" t="s">
        <v>3</v>
      </c>
      <c r="B189" s="5"/>
      <c r="C189" s="74" t="s">
        <v>1212</v>
      </c>
      <c r="D189" s="6" t="s">
        <v>188</v>
      </c>
      <c r="E189" s="6" t="s">
        <v>165</v>
      </c>
      <c r="F189" s="6">
        <v>1</v>
      </c>
      <c r="G189" s="6"/>
      <c r="H189" s="6">
        <v>6</v>
      </c>
      <c r="I189" s="6"/>
    </row>
    <row r="190" spans="1:9" x14ac:dyDescent="0.2">
      <c r="A190" s="8" t="s">
        <v>4</v>
      </c>
      <c r="B190" s="5"/>
      <c r="C190" s="74" t="s">
        <v>1228</v>
      </c>
      <c r="D190" s="6" t="s">
        <v>832</v>
      </c>
      <c r="E190" s="6" t="s">
        <v>168</v>
      </c>
      <c r="F190" s="6"/>
      <c r="G190" s="6">
        <v>1</v>
      </c>
      <c r="H190" s="6">
        <v>5</v>
      </c>
      <c r="I190" s="6"/>
    </row>
    <row r="191" spans="1:9" x14ac:dyDescent="0.2">
      <c r="A191" s="8" t="s">
        <v>5</v>
      </c>
      <c r="B191" s="5"/>
      <c r="C191" s="74" t="s">
        <v>1229</v>
      </c>
      <c r="D191" s="6" t="s">
        <v>188</v>
      </c>
      <c r="E191" s="6" t="s">
        <v>165</v>
      </c>
      <c r="F191" s="6"/>
      <c r="G191" s="6">
        <v>1</v>
      </c>
      <c r="H191" s="6">
        <v>6</v>
      </c>
      <c r="I191" s="6"/>
    </row>
    <row r="192" spans="1:9" hidden="1" x14ac:dyDescent="0.2">
      <c r="A192" s="8" t="s">
        <v>6</v>
      </c>
      <c r="B192" s="5"/>
      <c r="C192" s="74"/>
      <c r="D192" s="6"/>
      <c r="E192" s="6"/>
      <c r="F192" s="6"/>
      <c r="G192" s="6"/>
      <c r="H192" s="6"/>
      <c r="I192" s="6"/>
    </row>
    <row r="193" spans="1:9" hidden="1" x14ac:dyDescent="0.2">
      <c r="A193" s="8" t="s">
        <v>7</v>
      </c>
      <c r="B193" s="5"/>
      <c r="C193" s="74"/>
      <c r="D193" s="6"/>
      <c r="E193" s="6"/>
      <c r="F193" s="6"/>
      <c r="G193" s="6"/>
      <c r="H193" s="6"/>
      <c r="I193" s="6"/>
    </row>
    <row r="194" spans="1:9" hidden="1" x14ac:dyDescent="0.2">
      <c r="A194" s="8" t="s">
        <v>8</v>
      </c>
      <c r="B194" s="5"/>
      <c r="C194" s="74"/>
      <c r="D194" s="6"/>
      <c r="E194" s="6"/>
      <c r="F194" s="6"/>
      <c r="G194" s="6"/>
      <c r="H194" s="6"/>
      <c r="I194" s="6"/>
    </row>
    <row r="195" spans="1:9" hidden="1" x14ac:dyDescent="0.2">
      <c r="A195" s="8" t="s">
        <v>9</v>
      </c>
      <c r="B195" s="5"/>
      <c r="C195" s="74"/>
      <c r="D195" s="6"/>
      <c r="E195" s="6"/>
      <c r="F195" s="6"/>
      <c r="G195" s="6"/>
      <c r="H195" s="6"/>
      <c r="I195" s="6"/>
    </row>
    <row r="196" spans="1:9" x14ac:dyDescent="0.2">
      <c r="A196" s="312" t="s">
        <v>10</v>
      </c>
      <c r="B196" s="313"/>
      <c r="C196" s="313"/>
      <c r="D196" s="313"/>
      <c r="E196" s="314"/>
      <c r="F196" s="11">
        <f>SUM(F186:F195)</f>
        <v>4</v>
      </c>
      <c r="G196" s="11">
        <f>SUM(G186:G195)</f>
        <v>2</v>
      </c>
      <c r="H196" s="11">
        <f>SUM(H186:H195)</f>
        <v>33</v>
      </c>
      <c r="I196" s="11"/>
    </row>
    <row r="197" spans="1:9" x14ac:dyDescent="0.2">
      <c r="A197" s="8" t="s">
        <v>0</v>
      </c>
      <c r="B197" s="5">
        <f>B186+1</f>
        <v>46123</v>
      </c>
      <c r="C197" s="74" t="s">
        <v>1262</v>
      </c>
      <c r="D197" s="6" t="s">
        <v>342</v>
      </c>
      <c r="E197" s="6" t="s">
        <v>165</v>
      </c>
      <c r="F197" s="6">
        <v>1</v>
      </c>
      <c r="G197" s="6"/>
      <c r="H197" s="6">
        <v>6</v>
      </c>
      <c r="I197" s="6"/>
    </row>
    <row r="198" spans="1:9" x14ac:dyDescent="0.2">
      <c r="A198" s="8" t="s">
        <v>1</v>
      </c>
      <c r="B198" s="5"/>
      <c r="C198" s="74" t="s">
        <v>1270</v>
      </c>
      <c r="D198" s="6" t="s">
        <v>342</v>
      </c>
      <c r="E198" s="6" t="s">
        <v>165</v>
      </c>
      <c r="F198" s="6">
        <v>1</v>
      </c>
      <c r="G198" s="6"/>
      <c r="H198" s="6">
        <v>6</v>
      </c>
      <c r="I198" s="6"/>
    </row>
    <row r="199" spans="1:9" x14ac:dyDescent="0.2">
      <c r="A199" s="8" t="s">
        <v>2</v>
      </c>
      <c r="B199" s="5"/>
      <c r="C199" s="74" t="s">
        <v>1271</v>
      </c>
      <c r="D199" s="6" t="s">
        <v>347</v>
      </c>
      <c r="E199" s="6" t="s">
        <v>441</v>
      </c>
      <c r="F199" s="6">
        <v>1</v>
      </c>
      <c r="G199" s="6"/>
      <c r="H199" s="6">
        <v>6</v>
      </c>
      <c r="I199" s="6"/>
    </row>
    <row r="200" spans="1:9" x14ac:dyDescent="0.2">
      <c r="A200" s="8" t="s">
        <v>3</v>
      </c>
      <c r="B200" s="5"/>
      <c r="C200" s="74" t="s">
        <v>1272</v>
      </c>
      <c r="D200" s="6" t="s">
        <v>347</v>
      </c>
      <c r="E200" s="6" t="s">
        <v>441</v>
      </c>
      <c r="F200" s="6">
        <v>1</v>
      </c>
      <c r="G200" s="6"/>
      <c r="H200" s="6">
        <v>6</v>
      </c>
      <c r="I200" s="6"/>
    </row>
    <row r="201" spans="1:9" hidden="1" x14ac:dyDescent="0.2">
      <c r="A201" s="8" t="s">
        <v>4</v>
      </c>
      <c r="B201" s="5"/>
      <c r="C201" s="74"/>
      <c r="D201" s="6"/>
      <c r="E201" s="6"/>
      <c r="F201" s="6"/>
      <c r="G201" s="6"/>
      <c r="H201" s="6"/>
      <c r="I201" s="6"/>
    </row>
    <row r="202" spans="1:9" hidden="1" x14ac:dyDescent="0.2">
      <c r="A202" s="8" t="s">
        <v>5</v>
      </c>
      <c r="B202" s="5"/>
      <c r="C202" s="74"/>
      <c r="D202" s="6"/>
      <c r="E202" s="6"/>
      <c r="F202" s="6"/>
      <c r="G202" s="6"/>
      <c r="H202" s="6"/>
      <c r="I202" s="6"/>
    </row>
    <row r="203" spans="1:9" hidden="1" x14ac:dyDescent="0.2">
      <c r="A203" s="8" t="s">
        <v>6</v>
      </c>
      <c r="B203" s="5"/>
      <c r="C203" s="74"/>
      <c r="D203" s="6"/>
      <c r="E203" s="6"/>
      <c r="F203" s="6"/>
      <c r="G203" s="6"/>
      <c r="H203" s="6"/>
      <c r="I203" s="6"/>
    </row>
    <row r="204" spans="1:9" hidden="1" x14ac:dyDescent="0.2">
      <c r="A204" s="8" t="s">
        <v>7</v>
      </c>
      <c r="B204" s="5"/>
      <c r="C204" s="74"/>
      <c r="D204" s="6"/>
      <c r="E204" s="6"/>
      <c r="F204" s="6"/>
      <c r="G204" s="6"/>
      <c r="H204" s="6"/>
      <c r="I204" s="6"/>
    </row>
    <row r="205" spans="1:9" hidden="1" x14ac:dyDescent="0.2">
      <c r="A205" s="8" t="s">
        <v>8</v>
      </c>
      <c r="B205" s="5"/>
      <c r="C205" s="74"/>
      <c r="D205" s="6"/>
      <c r="E205" s="6"/>
      <c r="F205" s="6"/>
      <c r="G205" s="6"/>
      <c r="H205" s="6"/>
      <c r="I205" s="6"/>
    </row>
    <row r="206" spans="1:9" hidden="1" x14ac:dyDescent="0.2">
      <c r="A206" s="8" t="s">
        <v>9</v>
      </c>
      <c r="B206" s="5"/>
      <c r="C206" s="74"/>
      <c r="D206" s="6"/>
      <c r="E206" s="6"/>
      <c r="F206" s="6"/>
      <c r="G206" s="6"/>
      <c r="H206" s="6"/>
      <c r="I206" s="6"/>
    </row>
    <row r="207" spans="1:9" x14ac:dyDescent="0.2">
      <c r="A207" s="312" t="s">
        <v>10</v>
      </c>
      <c r="B207" s="313"/>
      <c r="C207" s="313"/>
      <c r="D207" s="313"/>
      <c r="E207" s="314"/>
      <c r="F207" s="11">
        <f>SUM(F197:F206)</f>
        <v>4</v>
      </c>
      <c r="G207" s="11">
        <f>SUM(G197:G206)</f>
        <v>0</v>
      </c>
      <c r="H207" s="11">
        <f>SUM(H197:H206)</f>
        <v>24</v>
      </c>
      <c r="I207" s="11"/>
    </row>
    <row r="208" spans="1:9" hidden="1" x14ac:dyDescent="0.2">
      <c r="A208" s="8" t="s">
        <v>0</v>
      </c>
      <c r="B208" s="5">
        <f>B197+1</f>
        <v>46124</v>
      </c>
      <c r="C208" s="75"/>
      <c r="D208" s="6"/>
      <c r="E208" s="6"/>
      <c r="F208" s="6"/>
      <c r="G208" s="6"/>
      <c r="H208" s="6"/>
      <c r="I208" s="6"/>
    </row>
    <row r="209" spans="1:9" hidden="1" x14ac:dyDescent="0.2">
      <c r="A209" s="8" t="s">
        <v>1</v>
      </c>
      <c r="B209" s="5"/>
      <c r="C209" s="75"/>
      <c r="D209" s="6"/>
      <c r="E209" s="6"/>
      <c r="F209" s="6"/>
      <c r="G209" s="6"/>
      <c r="H209" s="6"/>
      <c r="I209" s="6"/>
    </row>
    <row r="210" spans="1:9" hidden="1" x14ac:dyDescent="0.2">
      <c r="A210" s="8" t="s">
        <v>2</v>
      </c>
      <c r="B210" s="5"/>
      <c r="C210" s="75"/>
      <c r="D210" s="6"/>
      <c r="E210" s="6"/>
      <c r="F210" s="6"/>
      <c r="G210" s="6"/>
      <c r="H210" s="6"/>
      <c r="I210" s="6"/>
    </row>
    <row r="211" spans="1:9" hidden="1" x14ac:dyDescent="0.2">
      <c r="A211" s="8" t="s">
        <v>3</v>
      </c>
      <c r="B211" s="5"/>
      <c r="C211" s="75"/>
      <c r="D211" s="6"/>
      <c r="E211" s="6"/>
      <c r="F211" s="6"/>
      <c r="G211" s="6"/>
      <c r="H211" s="6"/>
      <c r="I211" s="6"/>
    </row>
    <row r="212" spans="1:9" hidden="1" x14ac:dyDescent="0.2">
      <c r="A212" s="8" t="s">
        <v>4</v>
      </c>
      <c r="B212" s="5"/>
      <c r="C212" s="75"/>
      <c r="D212" s="6"/>
      <c r="E212" s="6"/>
      <c r="F212" s="6"/>
      <c r="G212" s="6"/>
      <c r="H212" s="6"/>
      <c r="I212" s="6"/>
    </row>
    <row r="213" spans="1:9" hidden="1" x14ac:dyDescent="0.2">
      <c r="A213" s="8" t="s">
        <v>5</v>
      </c>
      <c r="B213" s="5"/>
      <c r="C213" s="75"/>
      <c r="D213" s="6"/>
      <c r="E213" s="6"/>
      <c r="F213" s="6"/>
      <c r="G213" s="6"/>
      <c r="H213" s="6"/>
      <c r="I213" s="6"/>
    </row>
    <row r="214" spans="1:9" hidden="1" x14ac:dyDescent="0.2">
      <c r="A214" s="8" t="s">
        <v>6</v>
      </c>
      <c r="B214" s="5"/>
      <c r="C214" s="75"/>
      <c r="D214" s="6"/>
      <c r="E214" s="6"/>
      <c r="F214" s="6"/>
      <c r="G214" s="6"/>
      <c r="H214" s="6"/>
      <c r="I214" s="6"/>
    </row>
    <row r="215" spans="1:9" hidden="1" x14ac:dyDescent="0.2">
      <c r="A215" s="8" t="s">
        <v>7</v>
      </c>
      <c r="B215" s="5"/>
      <c r="C215" s="74"/>
      <c r="D215" s="6"/>
      <c r="E215" s="6"/>
      <c r="F215" s="6"/>
      <c r="G215" s="6"/>
      <c r="H215" s="6"/>
      <c r="I215" s="6"/>
    </row>
    <row r="216" spans="1:9" hidden="1" x14ac:dyDescent="0.2">
      <c r="A216" s="8" t="s">
        <v>8</v>
      </c>
      <c r="B216" s="5"/>
      <c r="C216" s="74"/>
      <c r="D216" s="6"/>
      <c r="E216" s="6"/>
      <c r="F216" s="6"/>
      <c r="G216" s="6"/>
      <c r="H216" s="6"/>
      <c r="I216" s="6"/>
    </row>
    <row r="217" spans="1:9" hidden="1" x14ac:dyDescent="0.2">
      <c r="A217" s="8" t="s">
        <v>9</v>
      </c>
      <c r="B217" s="5"/>
      <c r="C217" s="74"/>
      <c r="D217" s="6"/>
      <c r="E217" s="6"/>
      <c r="F217" s="6"/>
      <c r="G217" s="6"/>
      <c r="H217" s="6"/>
      <c r="I217" s="6"/>
    </row>
    <row r="218" spans="1:9" hidden="1" x14ac:dyDescent="0.2">
      <c r="A218" s="312" t="s">
        <v>10</v>
      </c>
      <c r="B218" s="313"/>
      <c r="C218" s="313"/>
      <c r="D218" s="313"/>
      <c r="E218" s="314"/>
      <c r="F218" s="11">
        <f>SUM(F208:F217)</f>
        <v>0</v>
      </c>
      <c r="G218" s="11">
        <f>SUM(G208:G217)</f>
        <v>0</v>
      </c>
      <c r="H218" s="11">
        <f>SUM(H208:H217)</f>
        <v>0</v>
      </c>
      <c r="I218" s="11"/>
    </row>
    <row r="219" spans="1:9" hidden="1" x14ac:dyDescent="0.2">
      <c r="A219" s="8" t="s">
        <v>0</v>
      </c>
      <c r="B219" s="5">
        <f>B208+1</f>
        <v>46125</v>
      </c>
      <c r="C219" s="75"/>
      <c r="D219" s="6"/>
      <c r="E219" s="6"/>
      <c r="F219" s="6"/>
      <c r="G219" s="6"/>
      <c r="H219" s="6"/>
      <c r="I219" s="6"/>
    </row>
    <row r="220" spans="1:9" hidden="1" x14ac:dyDescent="0.2">
      <c r="A220" s="8" t="s">
        <v>1</v>
      </c>
      <c r="B220" s="5"/>
      <c r="C220" s="75"/>
      <c r="D220" s="6"/>
      <c r="E220" s="6"/>
      <c r="F220" s="6"/>
      <c r="G220" s="6"/>
      <c r="H220" s="6"/>
      <c r="I220" s="6"/>
    </row>
    <row r="221" spans="1:9" hidden="1" x14ac:dyDescent="0.2">
      <c r="A221" s="8" t="s">
        <v>2</v>
      </c>
      <c r="B221" s="5"/>
      <c r="C221" s="75"/>
      <c r="D221" s="6"/>
      <c r="E221" s="6"/>
      <c r="F221" s="6"/>
      <c r="G221" s="6"/>
      <c r="H221" s="6"/>
      <c r="I221" s="6"/>
    </row>
    <row r="222" spans="1:9" hidden="1" x14ac:dyDescent="0.2">
      <c r="A222" s="8" t="s">
        <v>3</v>
      </c>
      <c r="B222" s="5"/>
      <c r="C222" s="75"/>
      <c r="D222" s="6"/>
      <c r="E222" s="6"/>
      <c r="F222" s="6"/>
      <c r="G222" s="6"/>
      <c r="H222" s="6"/>
      <c r="I222" s="6"/>
    </row>
    <row r="223" spans="1:9" hidden="1" x14ac:dyDescent="0.2">
      <c r="A223" s="8" t="s">
        <v>4</v>
      </c>
      <c r="B223" s="5"/>
      <c r="C223" s="75"/>
      <c r="D223" s="6"/>
      <c r="E223" s="6"/>
      <c r="F223" s="6"/>
      <c r="G223" s="6"/>
      <c r="H223" s="6"/>
      <c r="I223" s="6"/>
    </row>
    <row r="224" spans="1:9" hidden="1" x14ac:dyDescent="0.2">
      <c r="A224" s="8" t="s">
        <v>5</v>
      </c>
      <c r="B224" s="5"/>
      <c r="C224" s="75"/>
      <c r="D224" s="6"/>
      <c r="E224" s="6"/>
      <c r="F224" s="6"/>
      <c r="G224" s="6"/>
      <c r="H224" s="6"/>
      <c r="I224" s="6"/>
    </row>
    <row r="225" spans="1:9" hidden="1" x14ac:dyDescent="0.2">
      <c r="A225" s="8" t="s">
        <v>6</v>
      </c>
      <c r="B225" s="5"/>
      <c r="C225" s="74"/>
      <c r="D225" s="6"/>
      <c r="E225" s="6"/>
      <c r="F225" s="6"/>
      <c r="G225" s="6"/>
      <c r="H225" s="6"/>
      <c r="I225" s="6"/>
    </row>
    <row r="226" spans="1:9" hidden="1" x14ac:dyDescent="0.2">
      <c r="A226" s="8" t="s">
        <v>7</v>
      </c>
      <c r="B226" s="5"/>
      <c r="C226" s="74"/>
      <c r="D226" s="6"/>
      <c r="E226" s="6"/>
      <c r="F226" s="6"/>
      <c r="G226" s="6"/>
      <c r="H226" s="6"/>
      <c r="I226" s="6"/>
    </row>
    <row r="227" spans="1:9" hidden="1" x14ac:dyDescent="0.2">
      <c r="A227" s="8" t="s">
        <v>8</v>
      </c>
      <c r="B227" s="5"/>
      <c r="C227" s="74"/>
      <c r="D227" s="6"/>
      <c r="E227" s="6"/>
      <c r="F227" s="6"/>
      <c r="G227" s="6"/>
      <c r="H227" s="6"/>
      <c r="I227" s="6"/>
    </row>
    <row r="228" spans="1:9" hidden="1" x14ac:dyDescent="0.2">
      <c r="A228" s="8" t="s">
        <v>9</v>
      </c>
      <c r="B228" s="5"/>
      <c r="C228" s="74"/>
      <c r="D228" s="6"/>
      <c r="E228" s="6"/>
      <c r="F228" s="6"/>
      <c r="G228" s="6"/>
      <c r="H228" s="6"/>
      <c r="I228" s="6"/>
    </row>
    <row r="229" spans="1:9" hidden="1" x14ac:dyDescent="0.2">
      <c r="A229" s="312" t="s">
        <v>10</v>
      </c>
      <c r="B229" s="313"/>
      <c r="C229" s="313"/>
      <c r="D229" s="313"/>
      <c r="E229" s="314"/>
      <c r="F229" s="11">
        <f>SUM(F219:F228)</f>
        <v>0</v>
      </c>
      <c r="G229" s="11">
        <f>SUM(G219:G228)</f>
        <v>0</v>
      </c>
      <c r="H229" s="11">
        <f>SUM(H219:H228)</f>
        <v>0</v>
      </c>
      <c r="I229" s="11"/>
    </row>
    <row r="230" spans="1:9" hidden="1" x14ac:dyDescent="0.2">
      <c r="A230" s="8" t="s">
        <v>0</v>
      </c>
      <c r="B230" s="5">
        <f>B219+1</f>
        <v>46126</v>
      </c>
      <c r="C230" s="75"/>
      <c r="D230" s="6"/>
      <c r="E230" s="6"/>
      <c r="F230" s="6"/>
      <c r="G230" s="6"/>
      <c r="H230" s="6"/>
      <c r="I230" s="6"/>
    </row>
    <row r="231" spans="1:9" hidden="1" x14ac:dyDescent="0.2">
      <c r="A231" s="8" t="s">
        <v>1</v>
      </c>
      <c r="B231" s="5"/>
      <c r="C231" s="75"/>
      <c r="D231" s="6"/>
      <c r="E231" s="6"/>
      <c r="F231" s="6"/>
      <c r="G231" s="6"/>
      <c r="H231" s="6"/>
      <c r="I231" s="6"/>
    </row>
    <row r="232" spans="1:9" hidden="1" x14ac:dyDescent="0.2">
      <c r="A232" s="8" t="s">
        <v>2</v>
      </c>
      <c r="B232" s="5"/>
      <c r="C232" s="75"/>
      <c r="D232" s="6"/>
      <c r="E232" s="6"/>
      <c r="F232" s="6"/>
      <c r="G232" s="6"/>
      <c r="H232" s="6"/>
      <c r="I232" s="6"/>
    </row>
    <row r="233" spans="1:9" hidden="1" x14ac:dyDescent="0.2">
      <c r="A233" s="8" t="s">
        <v>3</v>
      </c>
      <c r="B233" s="5"/>
      <c r="C233" s="75"/>
      <c r="D233" s="6"/>
      <c r="E233" s="6"/>
      <c r="F233" s="6"/>
      <c r="G233" s="6"/>
      <c r="H233" s="6"/>
      <c r="I233" s="6"/>
    </row>
    <row r="234" spans="1:9" hidden="1" x14ac:dyDescent="0.2">
      <c r="A234" s="8" t="s">
        <v>4</v>
      </c>
      <c r="B234" s="5"/>
      <c r="C234" s="75"/>
      <c r="D234" s="6"/>
      <c r="E234" s="6"/>
      <c r="F234" s="6"/>
      <c r="G234" s="6"/>
      <c r="H234" s="6"/>
      <c r="I234" s="6"/>
    </row>
    <row r="235" spans="1:9" hidden="1" x14ac:dyDescent="0.2">
      <c r="A235" s="8" t="s">
        <v>5</v>
      </c>
      <c r="B235" s="5"/>
      <c r="C235" s="75"/>
      <c r="D235" s="6"/>
      <c r="E235" s="6"/>
      <c r="F235" s="6"/>
      <c r="G235" s="6"/>
      <c r="H235" s="6"/>
      <c r="I235" s="6"/>
    </row>
    <row r="236" spans="1:9" hidden="1" x14ac:dyDescent="0.2">
      <c r="A236" s="8" t="s">
        <v>6</v>
      </c>
      <c r="B236" s="5"/>
      <c r="C236" s="75"/>
      <c r="D236" s="6"/>
      <c r="E236" s="6"/>
      <c r="F236" s="6"/>
      <c r="G236" s="6"/>
      <c r="H236" s="6"/>
      <c r="I236" s="6"/>
    </row>
    <row r="237" spans="1:9" hidden="1" x14ac:dyDescent="0.2">
      <c r="A237" s="8" t="s">
        <v>7</v>
      </c>
      <c r="B237" s="5"/>
      <c r="C237" s="75"/>
      <c r="D237" s="6"/>
      <c r="E237" s="6"/>
      <c r="F237" s="6"/>
      <c r="G237" s="6"/>
      <c r="H237" s="6"/>
      <c r="I237" s="6"/>
    </row>
    <row r="238" spans="1:9" hidden="1" x14ac:dyDescent="0.2">
      <c r="A238" s="8" t="s">
        <v>8</v>
      </c>
      <c r="B238" s="5"/>
      <c r="C238" s="75"/>
      <c r="D238" s="6"/>
      <c r="E238" s="6"/>
      <c r="F238" s="6"/>
      <c r="G238" s="6"/>
      <c r="H238" s="6"/>
      <c r="I238" s="6"/>
    </row>
    <row r="239" spans="1:9" hidden="1" x14ac:dyDescent="0.2">
      <c r="A239" s="8" t="s">
        <v>9</v>
      </c>
      <c r="B239" s="5"/>
      <c r="C239" s="75"/>
      <c r="D239" s="6"/>
      <c r="E239" s="6"/>
      <c r="F239" s="6"/>
      <c r="G239" s="6"/>
      <c r="H239" s="6"/>
      <c r="I239" s="6"/>
    </row>
    <row r="240" spans="1:9" hidden="1" x14ac:dyDescent="0.2">
      <c r="A240" s="312" t="s">
        <v>10</v>
      </c>
      <c r="B240" s="313"/>
      <c r="C240" s="313"/>
      <c r="D240" s="313"/>
      <c r="E240" s="314"/>
      <c r="F240" s="11">
        <f>SUM(F230:F239)</f>
        <v>0</v>
      </c>
      <c r="G240" s="11">
        <f>SUM(G230:G239)</f>
        <v>0</v>
      </c>
      <c r="H240" s="11">
        <f>SUM(H230:H239)</f>
        <v>0</v>
      </c>
      <c r="I240" s="11"/>
    </row>
    <row r="241" spans="1:9" hidden="1" x14ac:dyDescent="0.2">
      <c r="A241" s="8" t="s">
        <v>0</v>
      </c>
      <c r="B241" s="5">
        <f>B230+1</f>
        <v>46127</v>
      </c>
      <c r="C241" s="74"/>
      <c r="D241" s="6"/>
      <c r="E241" s="6"/>
      <c r="F241" s="6"/>
      <c r="G241" s="6"/>
      <c r="H241" s="6"/>
      <c r="I241" s="6"/>
    </row>
    <row r="242" spans="1:9" hidden="1" x14ac:dyDescent="0.2">
      <c r="A242" s="8" t="s">
        <v>1</v>
      </c>
      <c r="B242" s="5"/>
      <c r="C242" s="74"/>
      <c r="D242" s="6"/>
      <c r="E242" s="6"/>
      <c r="F242" s="6"/>
      <c r="G242" s="6"/>
      <c r="H242" s="6"/>
      <c r="I242" s="6"/>
    </row>
    <row r="243" spans="1:9" hidden="1" x14ac:dyDescent="0.2">
      <c r="A243" s="8" t="s">
        <v>2</v>
      </c>
      <c r="B243" s="5"/>
      <c r="C243" s="74"/>
      <c r="D243" s="6"/>
      <c r="E243" s="6"/>
      <c r="F243" s="6"/>
      <c r="G243" s="6"/>
      <c r="H243" s="6"/>
      <c r="I243" s="6"/>
    </row>
    <row r="244" spans="1:9" hidden="1" x14ac:dyDescent="0.2">
      <c r="A244" s="8" t="s">
        <v>3</v>
      </c>
      <c r="B244" s="5"/>
      <c r="C244" s="74"/>
      <c r="D244" s="6"/>
      <c r="E244" s="6"/>
      <c r="F244" s="6"/>
      <c r="G244" s="6"/>
      <c r="H244" s="6"/>
      <c r="I244" s="6"/>
    </row>
    <row r="245" spans="1:9" hidden="1" x14ac:dyDescent="0.2">
      <c r="A245" s="8" t="s">
        <v>4</v>
      </c>
      <c r="B245" s="5"/>
      <c r="C245" s="74"/>
      <c r="D245" s="6"/>
      <c r="E245" s="6"/>
      <c r="F245" s="6"/>
      <c r="G245" s="6"/>
      <c r="H245" s="6"/>
      <c r="I245" s="6"/>
    </row>
    <row r="246" spans="1:9" hidden="1" x14ac:dyDescent="0.2">
      <c r="A246" s="8" t="s">
        <v>5</v>
      </c>
      <c r="B246" s="5"/>
      <c r="C246" s="74"/>
      <c r="D246" s="6"/>
      <c r="E246" s="6"/>
      <c r="F246" s="6"/>
      <c r="G246" s="6"/>
      <c r="H246" s="6"/>
      <c r="I246" s="6"/>
    </row>
    <row r="247" spans="1:9" hidden="1" x14ac:dyDescent="0.2">
      <c r="A247" s="8" t="s">
        <v>6</v>
      </c>
      <c r="B247" s="5"/>
      <c r="C247" s="74"/>
      <c r="D247" s="6"/>
      <c r="E247" s="6"/>
      <c r="F247" s="6"/>
      <c r="G247" s="6"/>
      <c r="H247" s="6"/>
      <c r="I247" s="6"/>
    </row>
    <row r="248" spans="1:9" hidden="1" x14ac:dyDescent="0.2">
      <c r="A248" s="8" t="s">
        <v>7</v>
      </c>
      <c r="B248" s="5"/>
      <c r="C248" s="74"/>
      <c r="D248" s="6"/>
      <c r="E248" s="6"/>
      <c r="F248" s="6"/>
      <c r="G248" s="6"/>
      <c r="H248" s="6"/>
      <c r="I248" s="6"/>
    </row>
    <row r="249" spans="1:9" hidden="1" x14ac:dyDescent="0.2">
      <c r="A249" s="8" t="s">
        <v>8</v>
      </c>
      <c r="B249" s="5"/>
      <c r="C249" s="74"/>
      <c r="D249" s="6"/>
      <c r="E249" s="6"/>
      <c r="F249" s="6"/>
      <c r="G249" s="6"/>
      <c r="H249" s="6"/>
      <c r="I249" s="6"/>
    </row>
    <row r="250" spans="1:9" hidden="1" x14ac:dyDescent="0.2">
      <c r="A250" s="8" t="s">
        <v>9</v>
      </c>
      <c r="B250" s="5"/>
      <c r="C250" s="74"/>
      <c r="D250" s="6"/>
      <c r="E250" s="6"/>
      <c r="F250" s="6"/>
      <c r="G250" s="6"/>
      <c r="H250" s="6"/>
      <c r="I250" s="6"/>
    </row>
    <row r="251" spans="1:9" hidden="1" x14ac:dyDescent="0.2">
      <c r="A251" s="312" t="s">
        <v>10</v>
      </c>
      <c r="B251" s="313"/>
      <c r="C251" s="313"/>
      <c r="D251" s="313"/>
      <c r="E251" s="314"/>
      <c r="F251" s="11">
        <f>SUM(F241:F250)</f>
        <v>0</v>
      </c>
      <c r="G251" s="11">
        <f>SUM(G241:G250)</f>
        <v>0</v>
      </c>
      <c r="H251" s="11">
        <f>SUM(H241:H250)</f>
        <v>0</v>
      </c>
      <c r="I251" s="11"/>
    </row>
    <row r="252" spans="1:9" s="25" customFormat="1" ht="18" x14ac:dyDescent="0.2">
      <c r="A252" s="315" t="s">
        <v>39</v>
      </c>
      <c r="B252" s="316"/>
      <c r="C252" s="316"/>
      <c r="D252" s="316"/>
      <c r="E252" s="317"/>
      <c r="F252" s="22">
        <f>F185+F196+F207+F218+F229+F240+F251+F168</f>
        <v>88</v>
      </c>
      <c r="G252" s="22">
        <f>G185+G196+G207+G218+G229+G240+G251+G168</f>
        <v>19</v>
      </c>
      <c r="H252" s="22">
        <f>H185+H196+H207+H218+H229+H240+H251+H168</f>
        <v>570.25</v>
      </c>
      <c r="I252" s="22"/>
    </row>
    <row r="253" spans="1:9" ht="21.95" customHeight="1" x14ac:dyDescent="0.2">
      <c r="A253" s="319" t="s">
        <v>14</v>
      </c>
      <c r="B253" s="319"/>
      <c r="C253" s="319"/>
      <c r="D253" s="319"/>
      <c r="E253" s="319"/>
      <c r="F253" s="319"/>
      <c r="G253" s="319"/>
      <c r="H253" s="319"/>
      <c r="I253" s="319"/>
    </row>
    <row r="254" spans="1:9" s="53" customFormat="1" ht="20.100000000000001" customHeight="1" x14ac:dyDescent="0.2">
      <c r="A254" s="323" t="s">
        <v>86</v>
      </c>
      <c r="B254" s="323"/>
      <c r="C254" s="323"/>
      <c r="D254" s="323"/>
      <c r="E254" s="323"/>
      <c r="F254" s="50" t="str">
        <f>F170</f>
        <v>เมษายน</v>
      </c>
      <c r="G254" s="50" t="s">
        <v>87</v>
      </c>
      <c r="H254" s="51">
        <f>H170</f>
        <v>2569</v>
      </c>
      <c r="I254" s="52"/>
    </row>
    <row r="255" spans="1:9" s="3" customFormat="1" ht="20.100000000000001" customHeight="1" x14ac:dyDescent="0.35">
      <c r="A255" s="318" t="s">
        <v>38</v>
      </c>
      <c r="B255" s="318"/>
      <c r="C255" s="318"/>
      <c r="D255" s="2"/>
      <c r="F255" s="4"/>
      <c r="G255" s="4"/>
      <c r="H255" s="4" t="s">
        <v>21</v>
      </c>
      <c r="I255" s="40">
        <f>I171+1</f>
        <v>4</v>
      </c>
    </row>
    <row r="256" spans="1:9" s="3" customFormat="1" ht="20.100000000000001" customHeight="1" x14ac:dyDescent="0.35">
      <c r="A256" s="311" t="s">
        <v>68</v>
      </c>
      <c r="B256" s="311"/>
      <c r="C256" s="311"/>
      <c r="D256" s="2"/>
      <c r="E256" s="39" t="s">
        <v>81</v>
      </c>
      <c r="F256" s="308">
        <f>F172</f>
        <v>46107</v>
      </c>
      <c r="G256" s="308"/>
      <c r="H256" s="39" t="s">
        <v>82</v>
      </c>
      <c r="I256" s="34">
        <f>I172</f>
        <v>46136</v>
      </c>
    </row>
    <row r="257" spans="1:9" x14ac:dyDescent="0.2">
      <c r="A257" s="12" t="s">
        <v>23</v>
      </c>
      <c r="B257" s="13" t="s">
        <v>11</v>
      </c>
      <c r="C257" s="72" t="s">
        <v>26</v>
      </c>
      <c r="D257" s="12" t="s">
        <v>16</v>
      </c>
      <c r="E257" s="12" t="s">
        <v>17</v>
      </c>
      <c r="F257" s="310" t="s">
        <v>46</v>
      </c>
      <c r="G257" s="310"/>
      <c r="H257" s="310"/>
      <c r="I257" s="12" t="s">
        <v>19</v>
      </c>
    </row>
    <row r="258" spans="1:9" x14ac:dyDescent="0.2">
      <c r="A258" s="15"/>
      <c r="B258" s="16"/>
      <c r="C258" s="73"/>
      <c r="D258" s="15"/>
      <c r="E258" s="15"/>
      <c r="F258" s="21" t="s">
        <v>113</v>
      </c>
      <c r="G258" s="21" t="s">
        <v>114</v>
      </c>
      <c r="H258" s="21" t="s">
        <v>20</v>
      </c>
      <c r="I258" s="15"/>
    </row>
    <row r="259" spans="1:9" hidden="1" x14ac:dyDescent="0.2">
      <c r="A259" s="8" t="s">
        <v>0</v>
      </c>
      <c r="B259" s="5">
        <f>B241+1</f>
        <v>46128</v>
      </c>
      <c r="C259" s="74"/>
      <c r="D259" s="6"/>
      <c r="E259" s="6"/>
      <c r="F259" s="6"/>
      <c r="G259" s="6"/>
      <c r="H259" s="6"/>
      <c r="I259" s="6"/>
    </row>
    <row r="260" spans="1:9" hidden="1" x14ac:dyDescent="0.2">
      <c r="A260" s="8" t="s">
        <v>1</v>
      </c>
      <c r="B260" s="5"/>
      <c r="C260" s="74"/>
      <c r="D260" s="6"/>
      <c r="E260" s="6"/>
      <c r="F260" s="6"/>
      <c r="G260" s="6"/>
      <c r="H260" s="6"/>
      <c r="I260" s="6"/>
    </row>
    <row r="261" spans="1:9" hidden="1" x14ac:dyDescent="0.2">
      <c r="A261" s="8" t="s">
        <v>2</v>
      </c>
      <c r="B261" s="5"/>
      <c r="C261" s="74"/>
      <c r="D261" s="6"/>
      <c r="E261" s="6"/>
      <c r="F261" s="6"/>
      <c r="G261" s="6"/>
      <c r="H261" s="6"/>
      <c r="I261" s="6"/>
    </row>
    <row r="262" spans="1:9" hidden="1" x14ac:dyDescent="0.2">
      <c r="A262" s="8" t="s">
        <v>3</v>
      </c>
      <c r="B262" s="5"/>
      <c r="C262" s="74"/>
      <c r="D262" s="6"/>
      <c r="E262" s="6"/>
      <c r="F262" s="6"/>
      <c r="G262" s="6"/>
      <c r="H262" s="6"/>
      <c r="I262" s="6"/>
    </row>
    <row r="263" spans="1:9" hidden="1" x14ac:dyDescent="0.2">
      <c r="A263" s="8" t="s">
        <v>4</v>
      </c>
      <c r="B263" s="5"/>
      <c r="C263" s="74"/>
      <c r="D263" s="6"/>
      <c r="E263" s="6"/>
      <c r="F263" s="6"/>
      <c r="G263" s="6"/>
      <c r="H263" s="6"/>
      <c r="I263" s="6"/>
    </row>
    <row r="264" spans="1:9" hidden="1" x14ac:dyDescent="0.2">
      <c r="A264" s="8" t="s">
        <v>5</v>
      </c>
      <c r="B264" s="5"/>
      <c r="C264" s="74"/>
      <c r="D264" s="6"/>
      <c r="E264" s="6"/>
      <c r="F264" s="6"/>
      <c r="G264" s="6"/>
      <c r="H264" s="6"/>
      <c r="I264" s="6"/>
    </row>
    <row r="265" spans="1:9" hidden="1" x14ac:dyDescent="0.2">
      <c r="A265" s="8" t="s">
        <v>6</v>
      </c>
      <c r="B265" s="5"/>
      <c r="C265" s="74"/>
      <c r="D265" s="6"/>
      <c r="E265" s="6"/>
      <c r="F265" s="6"/>
      <c r="G265" s="6"/>
      <c r="H265" s="6"/>
      <c r="I265" s="6"/>
    </row>
    <row r="266" spans="1:9" hidden="1" x14ac:dyDescent="0.2">
      <c r="A266" s="8" t="s">
        <v>7</v>
      </c>
      <c r="B266" s="5"/>
      <c r="C266" s="74"/>
      <c r="D266" s="6"/>
      <c r="E266" s="6"/>
      <c r="F266" s="6"/>
      <c r="G266" s="6"/>
      <c r="H266" s="6"/>
      <c r="I266" s="6"/>
    </row>
    <row r="267" spans="1:9" hidden="1" x14ac:dyDescent="0.2">
      <c r="A267" s="8" t="s">
        <v>8</v>
      </c>
      <c r="B267" s="5"/>
      <c r="C267" s="74"/>
      <c r="D267" s="6"/>
      <c r="E267" s="6"/>
      <c r="F267" s="6"/>
      <c r="G267" s="6"/>
      <c r="H267" s="6"/>
      <c r="I267" s="6"/>
    </row>
    <row r="268" spans="1:9" hidden="1" x14ac:dyDescent="0.2">
      <c r="A268" s="8" t="s">
        <v>9</v>
      </c>
      <c r="B268" s="5"/>
      <c r="C268" s="74"/>
      <c r="D268" s="6"/>
      <c r="E268" s="6"/>
      <c r="F268" s="6"/>
      <c r="G268" s="6"/>
      <c r="H268" s="6"/>
      <c r="I268" s="6"/>
    </row>
    <row r="269" spans="1:9" hidden="1" x14ac:dyDescent="0.2">
      <c r="A269" s="312" t="s">
        <v>10</v>
      </c>
      <c r="B269" s="313"/>
      <c r="C269" s="313"/>
      <c r="D269" s="313"/>
      <c r="E269" s="314"/>
      <c r="F269" s="11">
        <f>SUM(F259:F268)</f>
        <v>0</v>
      </c>
      <c r="G269" s="11">
        <f>SUM(G259:G268)</f>
        <v>0</v>
      </c>
      <c r="H269" s="11">
        <f>SUM(H259:H268)</f>
        <v>0</v>
      </c>
      <c r="I269" s="11"/>
    </row>
    <row r="270" spans="1:9" hidden="1" x14ac:dyDescent="0.2">
      <c r="A270" s="8" t="s">
        <v>0</v>
      </c>
      <c r="B270" s="5">
        <f>B259+1</f>
        <v>46129</v>
      </c>
      <c r="C270" s="74"/>
      <c r="D270" s="6"/>
      <c r="E270" s="6"/>
      <c r="F270" s="6"/>
      <c r="G270" s="6"/>
      <c r="H270" s="6"/>
      <c r="I270" s="6"/>
    </row>
    <row r="271" spans="1:9" hidden="1" x14ac:dyDescent="0.2">
      <c r="A271" s="8" t="s">
        <v>1</v>
      </c>
      <c r="B271" s="5"/>
      <c r="C271" s="74"/>
      <c r="D271" s="6"/>
      <c r="E271" s="6"/>
      <c r="F271" s="6"/>
      <c r="G271" s="6"/>
      <c r="H271" s="6"/>
      <c r="I271" s="6"/>
    </row>
    <row r="272" spans="1:9" hidden="1" x14ac:dyDescent="0.2">
      <c r="A272" s="8" t="s">
        <v>2</v>
      </c>
      <c r="B272" s="5"/>
      <c r="C272" s="74"/>
      <c r="D272" s="6"/>
      <c r="E272" s="6"/>
      <c r="F272" s="6"/>
      <c r="G272" s="6"/>
      <c r="H272" s="6"/>
      <c r="I272" s="6"/>
    </row>
    <row r="273" spans="1:9" hidden="1" x14ac:dyDescent="0.2">
      <c r="A273" s="8" t="s">
        <v>3</v>
      </c>
      <c r="B273" s="5"/>
      <c r="C273" s="74"/>
      <c r="D273" s="6"/>
      <c r="E273" s="6"/>
      <c r="F273" s="6"/>
      <c r="G273" s="6"/>
      <c r="H273" s="6"/>
      <c r="I273" s="6"/>
    </row>
    <row r="274" spans="1:9" hidden="1" x14ac:dyDescent="0.2">
      <c r="A274" s="8" t="s">
        <v>4</v>
      </c>
      <c r="B274" s="5"/>
      <c r="C274" s="74"/>
      <c r="D274" s="6"/>
      <c r="E274" s="6"/>
      <c r="F274" s="6"/>
      <c r="G274" s="6"/>
      <c r="H274" s="6"/>
      <c r="I274" s="6"/>
    </row>
    <row r="275" spans="1:9" hidden="1" x14ac:dyDescent="0.2">
      <c r="A275" s="8" t="s">
        <v>5</v>
      </c>
      <c r="B275" s="5"/>
      <c r="C275" s="74"/>
      <c r="D275" s="6"/>
      <c r="E275" s="6"/>
      <c r="F275" s="6"/>
      <c r="G275" s="6"/>
      <c r="H275" s="6"/>
      <c r="I275" s="6"/>
    </row>
    <row r="276" spans="1:9" hidden="1" x14ac:dyDescent="0.2">
      <c r="A276" s="8" t="s">
        <v>6</v>
      </c>
      <c r="B276" s="5"/>
      <c r="C276" s="74"/>
      <c r="D276" s="6"/>
      <c r="E276" s="6"/>
      <c r="F276" s="6"/>
      <c r="G276" s="6"/>
      <c r="H276" s="6"/>
      <c r="I276" s="6"/>
    </row>
    <row r="277" spans="1:9" hidden="1" x14ac:dyDescent="0.2">
      <c r="A277" s="8" t="s">
        <v>7</v>
      </c>
      <c r="B277" s="5"/>
      <c r="C277" s="74"/>
      <c r="D277" s="6"/>
      <c r="E277" s="6"/>
      <c r="F277" s="6"/>
      <c r="G277" s="6"/>
      <c r="H277" s="6"/>
      <c r="I277" s="6"/>
    </row>
    <row r="278" spans="1:9" hidden="1" x14ac:dyDescent="0.2">
      <c r="A278" s="8" t="s">
        <v>8</v>
      </c>
      <c r="B278" s="5"/>
      <c r="C278" s="74"/>
      <c r="D278" s="6"/>
      <c r="E278" s="6"/>
      <c r="F278" s="6"/>
      <c r="G278" s="6"/>
      <c r="H278" s="6"/>
      <c r="I278" s="6"/>
    </row>
    <row r="279" spans="1:9" hidden="1" x14ac:dyDescent="0.2">
      <c r="A279" s="8" t="s">
        <v>9</v>
      </c>
      <c r="B279" s="5"/>
      <c r="C279" s="74"/>
      <c r="D279" s="6"/>
      <c r="E279" s="6"/>
      <c r="F279" s="6"/>
      <c r="G279" s="6"/>
      <c r="H279" s="6"/>
      <c r="I279" s="6"/>
    </row>
    <row r="280" spans="1:9" hidden="1" x14ac:dyDescent="0.2">
      <c r="A280" s="312" t="s">
        <v>10</v>
      </c>
      <c r="B280" s="313"/>
      <c r="C280" s="313"/>
      <c r="D280" s="313"/>
      <c r="E280" s="314"/>
      <c r="F280" s="11">
        <f>SUM(F270:F279)</f>
        <v>0</v>
      </c>
      <c r="G280" s="11">
        <f>SUM(G270:G279)</f>
        <v>0</v>
      </c>
      <c r="H280" s="11">
        <f>SUM(H270:H279)</f>
        <v>0</v>
      </c>
      <c r="I280" s="11"/>
    </row>
    <row r="281" spans="1:9" hidden="1" x14ac:dyDescent="0.2">
      <c r="A281" s="8" t="s">
        <v>0</v>
      </c>
      <c r="B281" s="5">
        <f>B270+1</f>
        <v>46130</v>
      </c>
      <c r="C281" s="74"/>
      <c r="D281" s="6"/>
      <c r="E281" s="6"/>
      <c r="F281" s="6"/>
      <c r="G281" s="6"/>
      <c r="H281" s="6"/>
      <c r="I281" s="6"/>
    </row>
    <row r="282" spans="1:9" hidden="1" x14ac:dyDescent="0.2">
      <c r="A282" s="8" t="s">
        <v>1</v>
      </c>
      <c r="B282" s="5"/>
      <c r="C282" s="74"/>
      <c r="D282" s="6"/>
      <c r="E282" s="6"/>
      <c r="F282" s="6"/>
      <c r="G282" s="6"/>
      <c r="H282" s="6"/>
      <c r="I282" s="6"/>
    </row>
    <row r="283" spans="1:9" hidden="1" x14ac:dyDescent="0.2">
      <c r="A283" s="8" t="s">
        <v>2</v>
      </c>
      <c r="B283" s="5"/>
      <c r="C283" s="74"/>
      <c r="D283" s="6"/>
      <c r="E283" s="6"/>
      <c r="F283" s="6"/>
      <c r="G283" s="6"/>
      <c r="H283" s="6"/>
      <c r="I283" s="6"/>
    </row>
    <row r="284" spans="1:9" hidden="1" x14ac:dyDescent="0.2">
      <c r="A284" s="8" t="s">
        <v>3</v>
      </c>
      <c r="B284" s="5"/>
      <c r="C284" s="74"/>
      <c r="D284" s="6"/>
      <c r="E284" s="6"/>
      <c r="F284" s="6"/>
      <c r="G284" s="6"/>
      <c r="H284" s="6"/>
      <c r="I284" s="6"/>
    </row>
    <row r="285" spans="1:9" hidden="1" x14ac:dyDescent="0.2">
      <c r="A285" s="8" t="s">
        <v>4</v>
      </c>
      <c r="B285" s="5"/>
      <c r="C285" s="74"/>
      <c r="D285" s="6"/>
      <c r="E285" s="6"/>
      <c r="F285" s="6"/>
      <c r="G285" s="6"/>
      <c r="H285" s="6"/>
      <c r="I285" s="6"/>
    </row>
    <row r="286" spans="1:9" hidden="1" x14ac:dyDescent="0.2">
      <c r="A286" s="8" t="s">
        <v>5</v>
      </c>
      <c r="B286" s="5"/>
      <c r="C286" s="74"/>
      <c r="D286" s="6"/>
      <c r="E286" s="6"/>
      <c r="F286" s="6"/>
      <c r="G286" s="6"/>
      <c r="H286" s="6"/>
      <c r="I286" s="6"/>
    </row>
    <row r="287" spans="1:9" hidden="1" x14ac:dyDescent="0.2">
      <c r="A287" s="8" t="s">
        <v>6</v>
      </c>
      <c r="B287" s="5"/>
      <c r="C287" s="74"/>
      <c r="D287" s="6"/>
      <c r="E287" s="6"/>
      <c r="F287" s="6"/>
      <c r="G287" s="6"/>
      <c r="H287" s="6"/>
      <c r="I287" s="6"/>
    </row>
    <row r="288" spans="1:9" hidden="1" x14ac:dyDescent="0.2">
      <c r="A288" s="8" t="s">
        <v>7</v>
      </c>
      <c r="B288" s="5"/>
      <c r="C288" s="74"/>
      <c r="D288" s="6"/>
      <c r="E288" s="6"/>
      <c r="F288" s="6"/>
      <c r="G288" s="6"/>
      <c r="H288" s="6"/>
      <c r="I288" s="6"/>
    </row>
    <row r="289" spans="1:9" hidden="1" x14ac:dyDescent="0.2">
      <c r="A289" s="8" t="s">
        <v>8</v>
      </c>
      <c r="B289" s="5"/>
      <c r="C289" s="74"/>
      <c r="D289" s="6"/>
      <c r="E289" s="6"/>
      <c r="F289" s="6"/>
      <c r="G289" s="6"/>
      <c r="H289" s="6"/>
      <c r="I289" s="6"/>
    </row>
    <row r="290" spans="1:9" hidden="1" x14ac:dyDescent="0.2">
      <c r="A290" s="8" t="s">
        <v>9</v>
      </c>
      <c r="B290" s="5"/>
      <c r="C290" s="74"/>
      <c r="D290" s="6"/>
      <c r="E290" s="6"/>
      <c r="F290" s="6"/>
      <c r="G290" s="6"/>
      <c r="H290" s="6"/>
      <c r="I290" s="6"/>
    </row>
    <row r="291" spans="1:9" hidden="1" x14ac:dyDescent="0.2">
      <c r="A291" s="312" t="s">
        <v>10</v>
      </c>
      <c r="B291" s="313"/>
      <c r="C291" s="313"/>
      <c r="D291" s="313"/>
      <c r="E291" s="314"/>
      <c r="F291" s="11">
        <f>SUM(F281:F290)</f>
        <v>0</v>
      </c>
      <c r="G291" s="11">
        <f>SUM(G281:G290)</f>
        <v>0</v>
      </c>
      <c r="H291" s="11">
        <f>SUM(H281:H290)</f>
        <v>0</v>
      </c>
      <c r="I291" s="11"/>
    </row>
    <row r="292" spans="1:9" x14ac:dyDescent="0.2">
      <c r="A292" s="8" t="s">
        <v>0</v>
      </c>
      <c r="B292" s="5">
        <f>B281+1</f>
        <v>46131</v>
      </c>
      <c r="C292" s="75" t="s">
        <v>1284</v>
      </c>
      <c r="D292" s="6" t="s">
        <v>170</v>
      </c>
      <c r="E292" s="6" t="s">
        <v>165</v>
      </c>
      <c r="F292" s="6">
        <v>1</v>
      </c>
      <c r="G292" s="6"/>
      <c r="H292" s="6">
        <v>4</v>
      </c>
      <c r="I292" s="6"/>
    </row>
    <row r="293" spans="1:9" hidden="1" x14ac:dyDescent="0.2">
      <c r="A293" s="8" t="s">
        <v>1</v>
      </c>
      <c r="B293" s="5"/>
      <c r="C293" s="75"/>
      <c r="D293" s="6"/>
      <c r="E293" s="6"/>
      <c r="F293" s="6"/>
      <c r="G293" s="6"/>
      <c r="H293" s="6"/>
      <c r="I293" s="6"/>
    </row>
    <row r="294" spans="1:9" hidden="1" x14ac:dyDescent="0.2">
      <c r="A294" s="8" t="s">
        <v>2</v>
      </c>
      <c r="B294" s="5"/>
      <c r="C294" s="75"/>
      <c r="D294" s="6"/>
      <c r="E294" s="6"/>
      <c r="F294" s="6"/>
      <c r="G294" s="6"/>
      <c r="H294" s="6"/>
      <c r="I294" s="6"/>
    </row>
    <row r="295" spans="1:9" hidden="1" x14ac:dyDescent="0.2">
      <c r="A295" s="8" t="s">
        <v>3</v>
      </c>
      <c r="B295" s="5"/>
      <c r="C295" s="75"/>
      <c r="D295" s="6"/>
      <c r="E295" s="6"/>
      <c r="F295" s="6"/>
      <c r="G295" s="6"/>
      <c r="H295" s="6"/>
      <c r="I295" s="6"/>
    </row>
    <row r="296" spans="1:9" hidden="1" x14ac:dyDescent="0.2">
      <c r="A296" s="8" t="s">
        <v>4</v>
      </c>
      <c r="B296" s="5"/>
      <c r="C296" s="75"/>
      <c r="D296" s="6"/>
      <c r="E296" s="6"/>
      <c r="F296" s="6"/>
      <c r="G296" s="6"/>
      <c r="H296" s="6"/>
      <c r="I296" s="6"/>
    </row>
    <row r="297" spans="1:9" hidden="1" x14ac:dyDescent="0.2">
      <c r="A297" s="8" t="s">
        <v>5</v>
      </c>
      <c r="B297" s="5"/>
      <c r="C297" s="75"/>
      <c r="D297" s="6"/>
      <c r="E297" s="6"/>
      <c r="F297" s="6"/>
      <c r="G297" s="6"/>
      <c r="H297" s="6"/>
      <c r="I297" s="6"/>
    </row>
    <row r="298" spans="1:9" hidden="1" x14ac:dyDescent="0.2">
      <c r="A298" s="8" t="s">
        <v>6</v>
      </c>
      <c r="B298" s="5"/>
      <c r="C298" s="75"/>
      <c r="D298" s="6"/>
      <c r="E298" s="6"/>
      <c r="F298" s="6"/>
      <c r="G298" s="6"/>
      <c r="H298" s="6"/>
      <c r="I298" s="6"/>
    </row>
    <row r="299" spans="1:9" hidden="1" x14ac:dyDescent="0.2">
      <c r="A299" s="8" t="s">
        <v>7</v>
      </c>
      <c r="B299" s="5"/>
      <c r="C299" s="74"/>
      <c r="D299" s="6"/>
      <c r="E299" s="6"/>
      <c r="F299" s="6"/>
      <c r="G299" s="6"/>
      <c r="H299" s="6"/>
      <c r="I299" s="6"/>
    </row>
    <row r="300" spans="1:9" hidden="1" x14ac:dyDescent="0.2">
      <c r="A300" s="8" t="s">
        <v>8</v>
      </c>
      <c r="B300" s="5"/>
      <c r="C300" s="74"/>
      <c r="D300" s="6"/>
      <c r="E300" s="6"/>
      <c r="F300" s="6"/>
      <c r="G300" s="6"/>
      <c r="H300" s="6"/>
      <c r="I300" s="6"/>
    </row>
    <row r="301" spans="1:9" hidden="1" x14ac:dyDescent="0.2">
      <c r="A301" s="8" t="s">
        <v>9</v>
      </c>
      <c r="B301" s="5"/>
      <c r="C301" s="74"/>
      <c r="D301" s="6"/>
      <c r="E301" s="6"/>
      <c r="F301" s="6"/>
      <c r="G301" s="6"/>
      <c r="H301" s="6"/>
      <c r="I301" s="6"/>
    </row>
    <row r="302" spans="1:9" x14ac:dyDescent="0.2">
      <c r="A302" s="312" t="s">
        <v>10</v>
      </c>
      <c r="B302" s="313"/>
      <c r="C302" s="313"/>
      <c r="D302" s="313"/>
      <c r="E302" s="314"/>
      <c r="F302" s="11">
        <f>SUM(F292:F301)</f>
        <v>1</v>
      </c>
      <c r="G302" s="11">
        <f>SUM(G292:G301)</f>
        <v>0</v>
      </c>
      <c r="H302" s="11">
        <f>SUM(H292:H301)</f>
        <v>4</v>
      </c>
      <c r="I302" s="11"/>
    </row>
    <row r="303" spans="1:9" x14ac:dyDescent="0.2">
      <c r="A303" s="8" t="s">
        <v>0</v>
      </c>
      <c r="B303" s="5">
        <f>B292+1</f>
        <v>46132</v>
      </c>
      <c r="C303" s="75" t="s">
        <v>1352</v>
      </c>
      <c r="D303" s="6" t="s">
        <v>188</v>
      </c>
      <c r="E303" s="6" t="s">
        <v>165</v>
      </c>
      <c r="F303" s="6">
        <v>1</v>
      </c>
      <c r="G303" s="6"/>
      <c r="H303" s="6">
        <v>6</v>
      </c>
      <c r="I303" s="6"/>
    </row>
    <row r="304" spans="1:9" x14ac:dyDescent="0.2">
      <c r="A304" s="8" t="s">
        <v>1</v>
      </c>
      <c r="B304" s="5"/>
      <c r="C304" s="75" t="s">
        <v>1353</v>
      </c>
      <c r="D304" s="6" t="s">
        <v>170</v>
      </c>
      <c r="E304" s="6" t="s">
        <v>165</v>
      </c>
      <c r="F304" s="6">
        <v>1</v>
      </c>
      <c r="G304" s="6"/>
      <c r="H304" s="6">
        <v>6</v>
      </c>
      <c r="I304" s="6"/>
    </row>
    <row r="305" spans="1:9" x14ac:dyDescent="0.2">
      <c r="A305" s="8" t="s">
        <v>2</v>
      </c>
      <c r="B305" s="5"/>
      <c r="C305" s="75" t="s">
        <v>1354</v>
      </c>
      <c r="D305" s="6" t="s">
        <v>188</v>
      </c>
      <c r="E305" s="6" t="s">
        <v>165</v>
      </c>
      <c r="F305" s="6">
        <v>1</v>
      </c>
      <c r="G305" s="6"/>
      <c r="H305" s="6">
        <v>6</v>
      </c>
      <c r="I305" s="6"/>
    </row>
    <row r="306" spans="1:9" x14ac:dyDescent="0.2">
      <c r="A306" s="8" t="s">
        <v>3</v>
      </c>
      <c r="B306" s="5"/>
      <c r="C306" s="75" t="s">
        <v>1355</v>
      </c>
      <c r="D306" s="6" t="s">
        <v>188</v>
      </c>
      <c r="E306" s="6" t="s">
        <v>165</v>
      </c>
      <c r="F306" s="6">
        <v>1</v>
      </c>
      <c r="G306" s="6"/>
      <c r="H306" s="6">
        <v>6</v>
      </c>
      <c r="I306" s="6"/>
    </row>
    <row r="307" spans="1:9" x14ac:dyDescent="0.2">
      <c r="A307" s="8" t="s">
        <v>4</v>
      </c>
      <c r="B307" s="5"/>
      <c r="C307" s="75" t="s">
        <v>1356</v>
      </c>
      <c r="D307" s="6" t="s">
        <v>188</v>
      </c>
      <c r="E307" s="6" t="s">
        <v>165</v>
      </c>
      <c r="F307" s="6">
        <v>1</v>
      </c>
      <c r="G307" s="6"/>
      <c r="H307" s="6">
        <v>6</v>
      </c>
      <c r="I307" s="6"/>
    </row>
    <row r="308" spans="1:9" x14ac:dyDescent="0.2">
      <c r="A308" s="8" t="s">
        <v>5</v>
      </c>
      <c r="B308" s="5"/>
      <c r="C308" s="75" t="s">
        <v>1357</v>
      </c>
      <c r="D308" s="6" t="s">
        <v>342</v>
      </c>
      <c r="E308" s="6" t="s">
        <v>165</v>
      </c>
      <c r="F308" s="6">
        <v>1</v>
      </c>
      <c r="G308" s="6"/>
      <c r="H308" s="6">
        <v>4</v>
      </c>
      <c r="I308" s="6"/>
    </row>
    <row r="309" spans="1:9" hidden="1" x14ac:dyDescent="0.2">
      <c r="A309" s="8" t="s">
        <v>6</v>
      </c>
      <c r="B309" s="5"/>
      <c r="C309" s="74"/>
      <c r="D309" s="6"/>
      <c r="E309" s="6"/>
      <c r="F309" s="6"/>
      <c r="G309" s="6"/>
      <c r="H309" s="6"/>
      <c r="I309" s="6"/>
    </row>
    <row r="310" spans="1:9" hidden="1" x14ac:dyDescent="0.2">
      <c r="A310" s="8" t="s">
        <v>7</v>
      </c>
      <c r="B310" s="5"/>
      <c r="C310" s="74"/>
      <c r="D310" s="6"/>
      <c r="E310" s="6"/>
      <c r="F310" s="6"/>
      <c r="G310" s="6"/>
      <c r="H310" s="6"/>
      <c r="I310" s="6"/>
    </row>
    <row r="311" spans="1:9" hidden="1" x14ac:dyDescent="0.2">
      <c r="A311" s="8" t="s">
        <v>8</v>
      </c>
      <c r="B311" s="5"/>
      <c r="C311" s="74"/>
      <c r="D311" s="6"/>
      <c r="E311" s="6"/>
      <c r="F311" s="6"/>
      <c r="G311" s="6"/>
      <c r="H311" s="6"/>
      <c r="I311" s="6"/>
    </row>
    <row r="312" spans="1:9" hidden="1" x14ac:dyDescent="0.2">
      <c r="A312" s="8" t="s">
        <v>9</v>
      </c>
      <c r="B312" s="5"/>
      <c r="C312" s="74"/>
      <c r="D312" s="6"/>
      <c r="E312" s="6"/>
      <c r="F312" s="6"/>
      <c r="G312" s="6"/>
      <c r="H312" s="6"/>
      <c r="I312" s="6"/>
    </row>
    <row r="313" spans="1:9" x14ac:dyDescent="0.2">
      <c r="A313" s="312" t="s">
        <v>10</v>
      </c>
      <c r="B313" s="313"/>
      <c r="C313" s="313"/>
      <c r="D313" s="313"/>
      <c r="E313" s="314"/>
      <c r="F313" s="11">
        <f>SUM(F303:F312)</f>
        <v>6</v>
      </c>
      <c r="G313" s="11">
        <f>SUM(G303:G312)</f>
        <v>0</v>
      </c>
      <c r="H313" s="11">
        <f>SUM(H303:H312)</f>
        <v>34</v>
      </c>
      <c r="I313" s="11"/>
    </row>
    <row r="314" spans="1:9" x14ac:dyDescent="0.2">
      <c r="A314" s="8" t="s">
        <v>0</v>
      </c>
      <c r="B314" s="5">
        <f>B303+1</f>
        <v>46133</v>
      </c>
      <c r="C314" s="75" t="s">
        <v>1424</v>
      </c>
      <c r="D314" s="6" t="s">
        <v>342</v>
      </c>
      <c r="E314" s="6" t="s">
        <v>165</v>
      </c>
      <c r="F314" s="6">
        <v>1</v>
      </c>
      <c r="G314" s="6"/>
      <c r="H314" s="6">
        <v>6</v>
      </c>
      <c r="I314" s="6"/>
    </row>
    <row r="315" spans="1:9" x14ac:dyDescent="0.2">
      <c r="A315" s="8" t="s">
        <v>1</v>
      </c>
      <c r="B315" s="5"/>
      <c r="C315" s="75" t="s">
        <v>1438</v>
      </c>
      <c r="D315" s="6" t="s">
        <v>170</v>
      </c>
      <c r="E315" s="6" t="s">
        <v>171</v>
      </c>
      <c r="F315" s="6">
        <v>1</v>
      </c>
      <c r="G315" s="6"/>
      <c r="H315" s="6">
        <v>6</v>
      </c>
      <c r="I315" s="6"/>
    </row>
    <row r="316" spans="1:9" x14ac:dyDescent="0.2">
      <c r="A316" s="8" t="s">
        <v>2</v>
      </c>
      <c r="B316" s="5"/>
      <c r="C316" s="75" t="s">
        <v>1439</v>
      </c>
      <c r="D316" s="6" t="s">
        <v>170</v>
      </c>
      <c r="E316" s="6" t="s">
        <v>171</v>
      </c>
      <c r="F316" s="6">
        <v>1</v>
      </c>
      <c r="G316" s="6"/>
      <c r="H316" s="6">
        <v>6</v>
      </c>
      <c r="I316" s="6"/>
    </row>
    <row r="317" spans="1:9" x14ac:dyDescent="0.2">
      <c r="A317" s="8" t="s">
        <v>3</v>
      </c>
      <c r="B317" s="5"/>
      <c r="C317" s="75" t="s">
        <v>1440</v>
      </c>
      <c r="D317" s="6" t="s">
        <v>170</v>
      </c>
      <c r="E317" s="6" t="s">
        <v>171</v>
      </c>
      <c r="F317" s="6">
        <v>1</v>
      </c>
      <c r="G317" s="6"/>
      <c r="H317" s="6">
        <v>6</v>
      </c>
      <c r="I317" s="6"/>
    </row>
    <row r="318" spans="1:9" x14ac:dyDescent="0.2">
      <c r="A318" s="8" t="s">
        <v>4</v>
      </c>
      <c r="B318" s="5"/>
      <c r="C318" s="75" t="s">
        <v>1441</v>
      </c>
      <c r="D318" s="6" t="s">
        <v>170</v>
      </c>
      <c r="E318" s="6" t="s">
        <v>171</v>
      </c>
      <c r="F318" s="6">
        <v>1</v>
      </c>
      <c r="G318" s="6"/>
      <c r="H318" s="6">
        <v>6</v>
      </c>
      <c r="I318" s="6"/>
    </row>
    <row r="319" spans="1:9" x14ac:dyDescent="0.2">
      <c r="A319" s="8" t="s">
        <v>5</v>
      </c>
      <c r="B319" s="5"/>
      <c r="C319" s="75" t="s">
        <v>1442</v>
      </c>
      <c r="D319" s="6" t="s">
        <v>170</v>
      </c>
      <c r="E319" s="6" t="s">
        <v>171</v>
      </c>
      <c r="F319" s="6"/>
      <c r="G319" s="6">
        <v>1</v>
      </c>
      <c r="H319" s="6">
        <v>6</v>
      </c>
      <c r="I319" s="6"/>
    </row>
    <row r="320" spans="1:9" x14ac:dyDescent="0.2">
      <c r="A320" s="8" t="s">
        <v>6</v>
      </c>
      <c r="B320" s="5"/>
      <c r="C320" s="75" t="s">
        <v>1443</v>
      </c>
      <c r="D320" s="6" t="s">
        <v>170</v>
      </c>
      <c r="E320" s="6" t="s">
        <v>171</v>
      </c>
      <c r="F320" s="6"/>
      <c r="G320" s="6">
        <v>1</v>
      </c>
      <c r="H320" s="6">
        <v>6</v>
      </c>
      <c r="I320" s="6"/>
    </row>
    <row r="321" spans="1:9" x14ac:dyDescent="0.2">
      <c r="A321" s="8" t="s">
        <v>7</v>
      </c>
      <c r="B321" s="5"/>
      <c r="C321" s="75" t="s">
        <v>1444</v>
      </c>
      <c r="D321" s="6" t="s">
        <v>170</v>
      </c>
      <c r="E321" s="6" t="s">
        <v>171</v>
      </c>
      <c r="F321" s="6"/>
      <c r="G321" s="6">
        <v>1</v>
      </c>
      <c r="H321" s="6">
        <v>6</v>
      </c>
      <c r="I321" s="6"/>
    </row>
    <row r="322" spans="1:9" hidden="1" x14ac:dyDescent="0.2">
      <c r="A322" s="8" t="s">
        <v>8</v>
      </c>
      <c r="B322" s="5"/>
      <c r="C322" s="75"/>
      <c r="D322" s="6"/>
      <c r="E322" s="6"/>
      <c r="F322" s="6"/>
      <c r="G322" s="6"/>
      <c r="H322" s="6"/>
      <c r="I322" s="6"/>
    </row>
    <row r="323" spans="1:9" hidden="1" x14ac:dyDescent="0.2">
      <c r="A323" s="8" t="s">
        <v>9</v>
      </c>
      <c r="B323" s="5"/>
      <c r="C323" s="75"/>
      <c r="D323" s="6"/>
      <c r="E323" s="6"/>
      <c r="F323" s="6"/>
      <c r="G323" s="6"/>
      <c r="H323" s="6"/>
      <c r="I323" s="6"/>
    </row>
    <row r="324" spans="1:9" x14ac:dyDescent="0.2">
      <c r="A324" s="312" t="s">
        <v>10</v>
      </c>
      <c r="B324" s="313"/>
      <c r="C324" s="313"/>
      <c r="D324" s="313"/>
      <c r="E324" s="314"/>
      <c r="F324" s="11">
        <f>SUM(F314:F323)</f>
        <v>5</v>
      </c>
      <c r="G324" s="11">
        <f>SUM(G314:G323)</f>
        <v>3</v>
      </c>
      <c r="H324" s="11">
        <f>SUM(H314:H323)</f>
        <v>48</v>
      </c>
      <c r="I324" s="11"/>
    </row>
    <row r="325" spans="1:9" x14ac:dyDescent="0.2">
      <c r="A325" s="8" t="s">
        <v>0</v>
      </c>
      <c r="B325" s="5">
        <f>B314+1</f>
        <v>46134</v>
      </c>
      <c r="C325" s="74" t="s">
        <v>1491</v>
      </c>
      <c r="D325" s="6" t="s">
        <v>334</v>
      </c>
      <c r="E325" s="6" t="s">
        <v>168</v>
      </c>
      <c r="F325" s="6">
        <v>1</v>
      </c>
      <c r="G325" s="6"/>
      <c r="H325" s="6">
        <v>4</v>
      </c>
      <c r="I325" s="6"/>
    </row>
    <row r="326" spans="1:9" x14ac:dyDescent="0.2">
      <c r="A326" s="8" t="s">
        <v>1</v>
      </c>
      <c r="B326" s="5"/>
      <c r="C326" s="74" t="s">
        <v>1492</v>
      </c>
      <c r="D326" s="6" t="s">
        <v>211</v>
      </c>
      <c r="E326" s="6" t="s">
        <v>165</v>
      </c>
      <c r="F326" s="6">
        <v>1</v>
      </c>
      <c r="G326" s="6"/>
      <c r="H326" s="6">
        <v>6</v>
      </c>
      <c r="I326" s="6"/>
    </row>
    <row r="327" spans="1:9" x14ac:dyDescent="0.2">
      <c r="A327" s="8" t="s">
        <v>2</v>
      </c>
      <c r="B327" s="5"/>
      <c r="C327" s="74" t="s">
        <v>1483</v>
      </c>
      <c r="D327" s="6" t="s">
        <v>170</v>
      </c>
      <c r="E327" s="6" t="s">
        <v>165</v>
      </c>
      <c r="F327" s="6">
        <v>1</v>
      </c>
      <c r="G327" s="6"/>
      <c r="H327" s="6">
        <v>6</v>
      </c>
      <c r="I327" s="6"/>
    </row>
    <row r="328" spans="1:9" x14ac:dyDescent="0.2">
      <c r="A328" s="8" t="s">
        <v>3</v>
      </c>
      <c r="B328" s="5"/>
      <c r="C328" s="74" t="s">
        <v>1461</v>
      </c>
      <c r="D328" s="6" t="s">
        <v>170</v>
      </c>
      <c r="E328" s="6" t="s">
        <v>171</v>
      </c>
      <c r="F328" s="6">
        <v>1</v>
      </c>
      <c r="G328" s="6"/>
      <c r="H328" s="6">
        <v>6</v>
      </c>
      <c r="I328" s="6"/>
    </row>
    <row r="329" spans="1:9" x14ac:dyDescent="0.2">
      <c r="A329" s="8" t="s">
        <v>4</v>
      </c>
      <c r="B329" s="5"/>
      <c r="C329" s="74" t="s">
        <v>1467</v>
      </c>
      <c r="D329" s="6" t="s">
        <v>170</v>
      </c>
      <c r="E329" s="6" t="s">
        <v>171</v>
      </c>
      <c r="F329" s="6">
        <v>1</v>
      </c>
      <c r="G329" s="6"/>
      <c r="H329" s="6">
        <v>6</v>
      </c>
      <c r="I329" s="6"/>
    </row>
    <row r="330" spans="1:9" hidden="1" x14ac:dyDescent="0.2">
      <c r="A330" s="8" t="s">
        <v>5</v>
      </c>
      <c r="B330" s="5"/>
      <c r="C330" s="74"/>
      <c r="D330" s="6"/>
      <c r="E330" s="6"/>
      <c r="F330" s="6"/>
      <c r="G330" s="6"/>
      <c r="H330" s="6"/>
      <c r="I330" s="6"/>
    </row>
    <row r="331" spans="1:9" hidden="1" x14ac:dyDescent="0.2">
      <c r="A331" s="8" t="s">
        <v>6</v>
      </c>
      <c r="B331" s="5"/>
      <c r="C331" s="74"/>
      <c r="D331" s="6"/>
      <c r="E331" s="6"/>
      <c r="F331" s="6"/>
      <c r="G331" s="6"/>
      <c r="H331" s="6"/>
      <c r="I331" s="6"/>
    </row>
    <row r="332" spans="1:9" hidden="1" x14ac:dyDescent="0.2">
      <c r="A332" s="8" t="s">
        <v>7</v>
      </c>
      <c r="B332" s="5"/>
      <c r="C332" s="74"/>
      <c r="D332" s="6"/>
      <c r="E332" s="6"/>
      <c r="F332" s="6"/>
      <c r="G332" s="6"/>
      <c r="H332" s="6"/>
      <c r="I332" s="6"/>
    </row>
    <row r="333" spans="1:9" hidden="1" x14ac:dyDescent="0.2">
      <c r="A333" s="8" t="s">
        <v>8</v>
      </c>
      <c r="B333" s="5"/>
      <c r="C333" s="74"/>
      <c r="D333" s="6"/>
      <c r="E333" s="6"/>
      <c r="F333" s="6"/>
      <c r="G333" s="6"/>
      <c r="H333" s="6"/>
      <c r="I333" s="6"/>
    </row>
    <row r="334" spans="1:9" hidden="1" x14ac:dyDescent="0.2">
      <c r="A334" s="8" t="s">
        <v>9</v>
      </c>
      <c r="B334" s="5"/>
      <c r="C334" s="74"/>
      <c r="D334" s="6"/>
      <c r="E334" s="6"/>
      <c r="F334" s="6"/>
      <c r="G334" s="6"/>
      <c r="H334" s="6"/>
      <c r="I334" s="6"/>
    </row>
    <row r="335" spans="1:9" x14ac:dyDescent="0.2">
      <c r="A335" s="312" t="s">
        <v>10</v>
      </c>
      <c r="B335" s="313"/>
      <c r="C335" s="313"/>
      <c r="D335" s="313"/>
      <c r="E335" s="314"/>
      <c r="F335" s="11">
        <f>SUM(F325:F334)</f>
        <v>5</v>
      </c>
      <c r="G335" s="11">
        <f>SUM(G325:G334)</f>
        <v>0</v>
      </c>
      <c r="H335" s="11">
        <f>SUM(H325:H334)</f>
        <v>28</v>
      </c>
      <c r="I335" s="11"/>
    </row>
    <row r="336" spans="1:9" s="25" customFormat="1" ht="18" x14ac:dyDescent="0.2">
      <c r="A336" s="315" t="s">
        <v>39</v>
      </c>
      <c r="B336" s="316"/>
      <c r="C336" s="316"/>
      <c r="D336" s="316"/>
      <c r="E336" s="317"/>
      <c r="F336" s="22">
        <f>F269+F280+F291+F302+F313+F324+F335+F252</f>
        <v>105</v>
      </c>
      <c r="G336" s="22">
        <f>G269+G280+G291+G302+G313+G324+G335+G252</f>
        <v>22</v>
      </c>
      <c r="H336" s="22">
        <f>H269+H280+H291+H302+H313+H324+H335+H252</f>
        <v>684.25</v>
      </c>
      <c r="I336" s="22"/>
    </row>
    <row r="337" spans="1:9" ht="21.95" customHeight="1" x14ac:dyDescent="0.2">
      <c r="A337" s="319" t="s">
        <v>14</v>
      </c>
      <c r="B337" s="319"/>
      <c r="C337" s="319"/>
      <c r="D337" s="319"/>
      <c r="E337" s="319"/>
      <c r="F337" s="319"/>
      <c r="G337" s="319"/>
      <c r="H337" s="319"/>
      <c r="I337" s="319"/>
    </row>
    <row r="338" spans="1:9" s="53" customFormat="1" ht="20.100000000000001" customHeight="1" x14ac:dyDescent="0.2">
      <c r="A338" s="323" t="s">
        <v>86</v>
      </c>
      <c r="B338" s="323"/>
      <c r="C338" s="323"/>
      <c r="D338" s="323"/>
      <c r="E338" s="323"/>
      <c r="F338" s="50" t="str">
        <f>F254</f>
        <v>เมษายน</v>
      </c>
      <c r="G338" s="50" t="s">
        <v>87</v>
      </c>
      <c r="H338" s="51">
        <f>H254</f>
        <v>2569</v>
      </c>
      <c r="I338" s="52"/>
    </row>
    <row r="339" spans="1:9" s="3" customFormat="1" ht="20.100000000000001" customHeight="1" x14ac:dyDescent="0.35">
      <c r="A339" s="318" t="s">
        <v>38</v>
      </c>
      <c r="B339" s="318"/>
      <c r="C339" s="318"/>
      <c r="D339" s="2"/>
      <c r="F339" s="4"/>
      <c r="G339" s="4"/>
      <c r="H339" s="4" t="s">
        <v>21</v>
      </c>
      <c r="I339" s="40">
        <f>I255+1</f>
        <v>5</v>
      </c>
    </row>
    <row r="340" spans="1:9" s="3" customFormat="1" ht="20.100000000000001" customHeight="1" x14ac:dyDescent="0.35">
      <c r="A340" s="311" t="s">
        <v>68</v>
      </c>
      <c r="B340" s="311"/>
      <c r="C340" s="311"/>
      <c r="D340" s="2"/>
      <c r="E340" s="39" t="s">
        <v>81</v>
      </c>
      <c r="F340" s="308">
        <f>F256</f>
        <v>46107</v>
      </c>
      <c r="G340" s="308"/>
      <c r="H340" s="39" t="s">
        <v>82</v>
      </c>
      <c r="I340" s="34">
        <f>I256</f>
        <v>46136</v>
      </c>
    </row>
    <row r="341" spans="1:9" x14ac:dyDescent="0.2">
      <c r="A341" s="12" t="s">
        <v>23</v>
      </c>
      <c r="B341" s="13" t="s">
        <v>11</v>
      </c>
      <c r="C341" s="72" t="s">
        <v>26</v>
      </c>
      <c r="D341" s="12" t="s">
        <v>16</v>
      </c>
      <c r="E341" s="12" t="s">
        <v>17</v>
      </c>
      <c r="F341" s="310" t="s">
        <v>18</v>
      </c>
      <c r="G341" s="310"/>
      <c r="H341" s="310"/>
      <c r="I341" s="12" t="s">
        <v>19</v>
      </c>
    </row>
    <row r="342" spans="1:9" x14ac:dyDescent="0.2">
      <c r="A342" s="15"/>
      <c r="B342" s="16"/>
      <c r="C342" s="73"/>
      <c r="D342" s="15"/>
      <c r="E342" s="15"/>
      <c r="F342" s="21" t="s">
        <v>113</v>
      </c>
      <c r="G342" s="21" t="s">
        <v>114</v>
      </c>
      <c r="H342" s="21" t="s">
        <v>20</v>
      </c>
      <c r="I342" s="15"/>
    </row>
    <row r="343" spans="1:9" x14ac:dyDescent="0.2">
      <c r="A343" s="8" t="s">
        <v>0</v>
      </c>
      <c r="B343" s="5">
        <f>B325+1</f>
        <v>46135</v>
      </c>
      <c r="C343" s="74" t="s">
        <v>1559</v>
      </c>
      <c r="D343" s="6" t="s">
        <v>188</v>
      </c>
      <c r="E343" s="6" t="s">
        <v>165</v>
      </c>
      <c r="F343" s="6">
        <v>1</v>
      </c>
      <c r="G343" s="6"/>
      <c r="H343" s="6">
        <v>6</v>
      </c>
      <c r="I343" s="6"/>
    </row>
    <row r="344" spans="1:9" x14ac:dyDescent="0.2">
      <c r="A344" s="8" t="s">
        <v>1</v>
      </c>
      <c r="B344" s="5"/>
      <c r="C344" s="74" t="s">
        <v>1560</v>
      </c>
      <c r="D344" s="6" t="s">
        <v>178</v>
      </c>
      <c r="E344" s="6" t="s">
        <v>165</v>
      </c>
      <c r="F344" s="6">
        <v>1</v>
      </c>
      <c r="G344" s="6"/>
      <c r="H344" s="6">
        <v>6</v>
      </c>
      <c r="I344" s="6"/>
    </row>
    <row r="345" spans="1:9" x14ac:dyDescent="0.2">
      <c r="A345" s="8" t="s">
        <v>2</v>
      </c>
      <c r="B345" s="5"/>
      <c r="C345" s="74" t="s">
        <v>1561</v>
      </c>
      <c r="D345" s="6" t="s">
        <v>332</v>
      </c>
      <c r="E345" s="6" t="s">
        <v>216</v>
      </c>
      <c r="F345" s="6">
        <v>1</v>
      </c>
      <c r="G345" s="6"/>
      <c r="H345" s="6">
        <v>5</v>
      </c>
      <c r="I345" s="6"/>
    </row>
    <row r="346" spans="1:9" x14ac:dyDescent="0.2">
      <c r="A346" s="8" t="s">
        <v>3</v>
      </c>
      <c r="B346" s="5"/>
      <c r="C346" s="74" t="s">
        <v>1562</v>
      </c>
      <c r="D346" s="6" t="s">
        <v>170</v>
      </c>
      <c r="E346" s="6" t="s">
        <v>165</v>
      </c>
      <c r="F346" s="6">
        <v>1</v>
      </c>
      <c r="G346" s="6"/>
      <c r="H346" s="6">
        <v>6</v>
      </c>
      <c r="I346" s="6"/>
    </row>
    <row r="347" spans="1:9" x14ac:dyDescent="0.2">
      <c r="A347" s="8" t="s">
        <v>4</v>
      </c>
      <c r="B347" s="5"/>
      <c r="C347" s="74" t="s">
        <v>1563</v>
      </c>
      <c r="D347" s="6" t="s">
        <v>170</v>
      </c>
      <c r="E347" s="6" t="s">
        <v>165</v>
      </c>
      <c r="F347" s="6">
        <v>1</v>
      </c>
      <c r="G347" s="6"/>
      <c r="H347" s="6">
        <v>6</v>
      </c>
      <c r="I347" s="6"/>
    </row>
    <row r="348" spans="1:9" x14ac:dyDescent="0.2">
      <c r="A348" s="8" t="s">
        <v>5</v>
      </c>
      <c r="B348" s="5"/>
      <c r="C348" s="74" t="s">
        <v>1564</v>
      </c>
      <c r="D348" s="6" t="s">
        <v>188</v>
      </c>
      <c r="E348" s="6" t="s">
        <v>165</v>
      </c>
      <c r="F348" s="6"/>
      <c r="G348" s="6">
        <v>1</v>
      </c>
      <c r="H348" s="6">
        <v>6</v>
      </c>
      <c r="I348" s="6"/>
    </row>
    <row r="349" spans="1:9" x14ac:dyDescent="0.2">
      <c r="A349" s="8" t="s">
        <v>6</v>
      </c>
      <c r="B349" s="5"/>
      <c r="C349" s="74" t="s">
        <v>1565</v>
      </c>
      <c r="D349" s="6" t="s">
        <v>361</v>
      </c>
      <c r="E349" s="6" t="s">
        <v>168</v>
      </c>
      <c r="F349" s="6"/>
      <c r="G349" s="6">
        <v>1</v>
      </c>
      <c r="H349" s="6">
        <v>3</v>
      </c>
      <c r="I349" s="6"/>
    </row>
    <row r="350" spans="1:9" hidden="1" x14ac:dyDescent="0.2">
      <c r="A350" s="8" t="s">
        <v>7</v>
      </c>
      <c r="B350" s="5"/>
      <c r="C350" s="74"/>
      <c r="D350" s="6"/>
      <c r="E350" s="6"/>
      <c r="F350" s="6"/>
      <c r="G350" s="6"/>
      <c r="H350" s="6"/>
      <c r="I350" s="6"/>
    </row>
    <row r="351" spans="1:9" hidden="1" x14ac:dyDescent="0.2">
      <c r="A351" s="8" t="s">
        <v>8</v>
      </c>
      <c r="B351" s="5"/>
      <c r="C351" s="74"/>
      <c r="D351" s="6"/>
      <c r="E351" s="6"/>
      <c r="F351" s="6"/>
      <c r="G351" s="6"/>
      <c r="H351" s="6"/>
      <c r="I351" s="6"/>
    </row>
    <row r="352" spans="1:9" hidden="1" x14ac:dyDescent="0.2">
      <c r="A352" s="8" t="s">
        <v>9</v>
      </c>
      <c r="B352" s="5"/>
      <c r="C352" s="74"/>
      <c r="D352" s="6"/>
      <c r="E352" s="6"/>
      <c r="F352" s="6"/>
      <c r="G352" s="6"/>
      <c r="H352" s="6"/>
      <c r="I352" s="6"/>
    </row>
    <row r="353" spans="1:9" hidden="1" x14ac:dyDescent="0.2">
      <c r="A353" s="8" t="s">
        <v>99</v>
      </c>
      <c r="B353" s="5"/>
      <c r="C353" s="74"/>
      <c r="D353" s="6"/>
      <c r="E353" s="6"/>
      <c r="F353" s="6"/>
      <c r="G353" s="6"/>
      <c r="H353" s="6"/>
      <c r="I353" s="6"/>
    </row>
    <row r="354" spans="1:9" x14ac:dyDescent="0.2">
      <c r="A354" s="312" t="s">
        <v>10</v>
      </c>
      <c r="B354" s="313"/>
      <c r="C354" s="313"/>
      <c r="D354" s="313"/>
      <c r="E354" s="314"/>
      <c r="F354" s="11">
        <f>SUM(F343:F353)</f>
        <v>5</v>
      </c>
      <c r="G354" s="11">
        <f>SUM(G343:G353)</f>
        <v>2</v>
      </c>
      <c r="H354" s="11">
        <f>SUM(H343:H353)</f>
        <v>38</v>
      </c>
      <c r="I354" s="11"/>
    </row>
    <row r="355" spans="1:9" x14ac:dyDescent="0.2">
      <c r="A355" s="8" t="s">
        <v>0</v>
      </c>
      <c r="B355" s="5">
        <f>B343+1</f>
        <v>46136</v>
      </c>
      <c r="C355" s="74" t="s">
        <v>1635</v>
      </c>
      <c r="D355" s="6" t="s">
        <v>170</v>
      </c>
      <c r="E355" s="6" t="s">
        <v>171</v>
      </c>
      <c r="F355" s="6">
        <v>1</v>
      </c>
      <c r="G355" s="6"/>
      <c r="H355" s="6">
        <v>6</v>
      </c>
      <c r="I355" s="6"/>
    </row>
    <row r="356" spans="1:9" x14ac:dyDescent="0.2">
      <c r="A356" s="8" t="s">
        <v>1</v>
      </c>
      <c r="B356" s="5"/>
      <c r="C356" s="74" t="s">
        <v>1636</v>
      </c>
      <c r="D356" s="6" t="s">
        <v>170</v>
      </c>
      <c r="E356" s="6" t="s">
        <v>171</v>
      </c>
      <c r="F356" s="6">
        <v>1</v>
      </c>
      <c r="G356" s="6"/>
      <c r="H356" s="6">
        <v>6</v>
      </c>
      <c r="I356" s="6"/>
    </row>
    <row r="357" spans="1:9" x14ac:dyDescent="0.2">
      <c r="A357" s="8" t="s">
        <v>2</v>
      </c>
      <c r="B357" s="5"/>
      <c r="C357" s="74" t="s">
        <v>1637</v>
      </c>
      <c r="D357" s="6" t="s">
        <v>170</v>
      </c>
      <c r="E357" s="6" t="s">
        <v>171</v>
      </c>
      <c r="F357" s="6">
        <v>1</v>
      </c>
      <c r="G357" s="6"/>
      <c r="H357" s="6">
        <v>6</v>
      </c>
      <c r="I357" s="6"/>
    </row>
    <row r="358" spans="1:9" x14ac:dyDescent="0.2">
      <c r="A358" s="8" t="s">
        <v>3</v>
      </c>
      <c r="B358" s="5"/>
      <c r="C358" s="74" t="s">
        <v>1612</v>
      </c>
      <c r="D358" s="6" t="s">
        <v>170</v>
      </c>
      <c r="E358" s="6" t="s">
        <v>171</v>
      </c>
      <c r="F358" s="6">
        <v>1</v>
      </c>
      <c r="G358" s="6"/>
      <c r="H358" s="6">
        <v>6</v>
      </c>
      <c r="I358" s="6"/>
    </row>
    <row r="359" spans="1:9" x14ac:dyDescent="0.2">
      <c r="A359" s="8" t="s">
        <v>4</v>
      </c>
      <c r="B359" s="5"/>
      <c r="C359" s="74" t="s">
        <v>1616</v>
      </c>
      <c r="D359" s="6" t="s">
        <v>361</v>
      </c>
      <c r="E359" s="6" t="s">
        <v>168</v>
      </c>
      <c r="F359" s="6">
        <v>1</v>
      </c>
      <c r="G359" s="6"/>
      <c r="H359" s="6">
        <v>4.5</v>
      </c>
      <c r="I359" s="6"/>
    </row>
    <row r="360" spans="1:9" hidden="1" x14ac:dyDescent="0.2">
      <c r="A360" s="8" t="s">
        <v>5</v>
      </c>
      <c r="B360" s="5"/>
      <c r="C360" s="74"/>
      <c r="D360" s="6"/>
      <c r="E360" s="6"/>
      <c r="F360" s="6"/>
      <c r="G360" s="6"/>
      <c r="H360" s="6"/>
      <c r="I360" s="6"/>
    </row>
    <row r="361" spans="1:9" hidden="1" x14ac:dyDescent="0.2">
      <c r="A361" s="8" t="s">
        <v>6</v>
      </c>
      <c r="B361" s="5"/>
      <c r="C361" s="74"/>
      <c r="D361" s="6"/>
      <c r="E361" s="6"/>
      <c r="F361" s="6"/>
      <c r="G361" s="6"/>
      <c r="H361" s="6"/>
      <c r="I361" s="6"/>
    </row>
    <row r="362" spans="1:9" hidden="1" x14ac:dyDescent="0.2">
      <c r="A362" s="8" t="s">
        <v>7</v>
      </c>
      <c r="B362" s="5"/>
      <c r="C362" s="74"/>
      <c r="D362" s="6"/>
      <c r="E362" s="6"/>
      <c r="F362" s="6"/>
      <c r="G362" s="6"/>
      <c r="H362" s="6"/>
      <c r="I362" s="6"/>
    </row>
    <row r="363" spans="1:9" hidden="1" x14ac:dyDescent="0.2">
      <c r="A363" s="8" t="s">
        <v>8</v>
      </c>
      <c r="B363" s="5"/>
      <c r="C363" s="74"/>
      <c r="D363" s="6"/>
      <c r="E363" s="6"/>
      <c r="F363" s="6"/>
      <c r="G363" s="6"/>
      <c r="H363" s="6"/>
      <c r="I363" s="6"/>
    </row>
    <row r="364" spans="1:9" hidden="1" x14ac:dyDescent="0.2">
      <c r="A364" s="8" t="s">
        <v>9</v>
      </c>
      <c r="B364" s="5"/>
      <c r="C364" s="74"/>
      <c r="D364" s="6"/>
      <c r="E364" s="6"/>
      <c r="F364" s="6"/>
      <c r="G364" s="6"/>
      <c r="H364" s="6"/>
      <c r="I364" s="6"/>
    </row>
    <row r="365" spans="1:9" x14ac:dyDescent="0.2">
      <c r="A365" s="312" t="s">
        <v>10</v>
      </c>
      <c r="B365" s="313"/>
      <c r="C365" s="313"/>
      <c r="D365" s="313"/>
      <c r="E365" s="314"/>
      <c r="F365" s="11">
        <f>SUM(F355:F364)</f>
        <v>5</v>
      </c>
      <c r="G365" s="11">
        <f>SUM(G355:G364)</f>
        <v>0</v>
      </c>
      <c r="H365" s="11">
        <f>SUM(H355:H364)</f>
        <v>28.5</v>
      </c>
      <c r="I365" s="11"/>
    </row>
    <row r="366" spans="1:9" hidden="1" x14ac:dyDescent="0.2">
      <c r="A366" s="8" t="s">
        <v>0</v>
      </c>
      <c r="B366" s="5">
        <f>B355+1</f>
        <v>46137</v>
      </c>
      <c r="C366" s="74"/>
      <c r="D366" s="6"/>
      <c r="E366" s="6"/>
      <c r="F366" s="6"/>
      <c r="G366" s="6"/>
      <c r="H366" s="6"/>
      <c r="I366" s="6"/>
    </row>
    <row r="367" spans="1:9" hidden="1" x14ac:dyDescent="0.2">
      <c r="A367" s="8" t="s">
        <v>1</v>
      </c>
      <c r="B367" s="5"/>
      <c r="C367" s="74"/>
      <c r="D367" s="6"/>
      <c r="E367" s="6"/>
      <c r="F367" s="6"/>
      <c r="G367" s="6"/>
      <c r="H367" s="6"/>
      <c r="I367" s="6"/>
    </row>
    <row r="368" spans="1:9" hidden="1" x14ac:dyDescent="0.2">
      <c r="A368" s="8" t="s">
        <v>2</v>
      </c>
      <c r="B368" s="5"/>
      <c r="C368" s="74"/>
      <c r="D368" s="6"/>
      <c r="E368" s="6"/>
      <c r="F368" s="6"/>
      <c r="G368" s="6"/>
      <c r="H368" s="6"/>
      <c r="I368" s="6"/>
    </row>
    <row r="369" spans="1:9" hidden="1" x14ac:dyDescent="0.2">
      <c r="A369" s="8" t="s">
        <v>3</v>
      </c>
      <c r="B369" s="5"/>
      <c r="C369" s="75"/>
      <c r="D369" s="6"/>
      <c r="E369" s="6"/>
      <c r="F369" s="6"/>
      <c r="G369" s="6"/>
      <c r="H369" s="6"/>
      <c r="I369" s="6"/>
    </row>
    <row r="370" spans="1:9" hidden="1" x14ac:dyDescent="0.2">
      <c r="A370" s="8" t="s">
        <v>4</v>
      </c>
      <c r="B370" s="5"/>
      <c r="C370" s="74"/>
      <c r="D370" s="6"/>
      <c r="E370" s="6"/>
      <c r="F370" s="6"/>
      <c r="G370" s="6"/>
      <c r="H370" s="6"/>
      <c r="I370" s="6"/>
    </row>
    <row r="371" spans="1:9" hidden="1" x14ac:dyDescent="0.2">
      <c r="A371" s="8" t="s">
        <v>5</v>
      </c>
      <c r="B371" s="5"/>
      <c r="C371" s="74"/>
      <c r="D371" s="6"/>
      <c r="E371" s="6"/>
      <c r="F371" s="6"/>
      <c r="G371" s="6"/>
      <c r="H371" s="6"/>
      <c r="I371" s="6"/>
    </row>
    <row r="372" spans="1:9" hidden="1" x14ac:dyDescent="0.2">
      <c r="A372" s="8" t="s">
        <v>6</v>
      </c>
      <c r="B372" s="5"/>
      <c r="C372" s="74"/>
      <c r="D372" s="6"/>
      <c r="E372" s="6"/>
      <c r="F372" s="6"/>
      <c r="G372" s="6"/>
      <c r="H372" s="6"/>
      <c r="I372" s="6"/>
    </row>
    <row r="373" spans="1:9" hidden="1" x14ac:dyDescent="0.2">
      <c r="A373" s="8" t="s">
        <v>7</v>
      </c>
      <c r="B373" s="5"/>
      <c r="C373" s="74"/>
      <c r="D373" s="6"/>
      <c r="E373" s="6"/>
      <c r="F373" s="6"/>
      <c r="G373" s="6"/>
      <c r="H373" s="6"/>
      <c r="I373" s="6"/>
    </row>
    <row r="374" spans="1:9" hidden="1" x14ac:dyDescent="0.2">
      <c r="A374" s="8" t="s">
        <v>8</v>
      </c>
      <c r="B374" s="5"/>
      <c r="C374" s="74"/>
      <c r="D374" s="6"/>
      <c r="E374" s="6"/>
      <c r="F374" s="6"/>
      <c r="G374" s="6"/>
      <c r="H374" s="6"/>
      <c r="I374" s="6"/>
    </row>
    <row r="375" spans="1:9" hidden="1" x14ac:dyDescent="0.2">
      <c r="A375" s="8" t="s">
        <v>9</v>
      </c>
      <c r="B375" s="5"/>
      <c r="C375" s="74"/>
      <c r="D375" s="6"/>
      <c r="E375" s="6"/>
      <c r="F375" s="6"/>
      <c r="G375" s="6"/>
      <c r="H375" s="6"/>
      <c r="I375" s="6"/>
    </row>
    <row r="376" spans="1:9" hidden="1" x14ac:dyDescent="0.2">
      <c r="A376" s="312" t="s">
        <v>10</v>
      </c>
      <c r="B376" s="313"/>
      <c r="C376" s="313"/>
      <c r="D376" s="313"/>
      <c r="E376" s="314"/>
      <c r="F376" s="11">
        <f>SUM(F366:F375)</f>
        <v>0</v>
      </c>
      <c r="G376" s="11">
        <f>SUM(G366:G375)</f>
        <v>0</v>
      </c>
      <c r="H376" s="11">
        <f>SUM(H366:H375)</f>
        <v>0</v>
      </c>
      <c r="I376" s="11"/>
    </row>
    <row r="377" spans="1:9" hidden="1" x14ac:dyDescent="0.2">
      <c r="A377" s="8" t="s">
        <v>0</v>
      </c>
      <c r="B377" s="5">
        <f>B366+1</f>
        <v>46138</v>
      </c>
      <c r="C377" s="75"/>
      <c r="D377" s="6"/>
      <c r="E377" s="6"/>
      <c r="F377" s="6"/>
      <c r="G377" s="6"/>
      <c r="H377" s="6"/>
      <c r="I377" s="6"/>
    </row>
    <row r="378" spans="1:9" hidden="1" x14ac:dyDescent="0.2">
      <c r="A378" s="8" t="s">
        <v>1</v>
      </c>
      <c r="B378" s="5"/>
      <c r="C378" s="75"/>
      <c r="D378" s="6"/>
      <c r="E378" s="6"/>
      <c r="F378" s="6"/>
      <c r="G378" s="6"/>
      <c r="H378" s="6"/>
      <c r="I378" s="6"/>
    </row>
    <row r="379" spans="1:9" hidden="1" x14ac:dyDescent="0.2">
      <c r="A379" s="8" t="s">
        <v>2</v>
      </c>
      <c r="B379" s="5"/>
      <c r="C379" s="75"/>
      <c r="D379" s="6"/>
      <c r="E379" s="6"/>
      <c r="F379" s="6"/>
      <c r="G379" s="6"/>
      <c r="H379" s="6"/>
      <c r="I379" s="6"/>
    </row>
    <row r="380" spans="1:9" hidden="1" x14ac:dyDescent="0.2">
      <c r="A380" s="8" t="s">
        <v>3</v>
      </c>
      <c r="B380" s="5"/>
      <c r="C380" s="75"/>
      <c r="D380" s="6"/>
      <c r="E380" s="6"/>
      <c r="F380" s="6"/>
      <c r="G380" s="6"/>
      <c r="H380" s="6"/>
      <c r="I380" s="6"/>
    </row>
    <row r="381" spans="1:9" hidden="1" x14ac:dyDescent="0.2">
      <c r="A381" s="8" t="s">
        <v>4</v>
      </c>
      <c r="B381" s="5"/>
      <c r="C381" s="75"/>
      <c r="D381" s="6"/>
      <c r="E381" s="6"/>
      <c r="F381" s="6"/>
      <c r="G381" s="6"/>
      <c r="H381" s="6"/>
      <c r="I381" s="6"/>
    </row>
    <row r="382" spans="1:9" hidden="1" x14ac:dyDescent="0.2">
      <c r="A382" s="8" t="s">
        <v>5</v>
      </c>
      <c r="B382" s="5"/>
      <c r="C382" s="75"/>
      <c r="D382" s="6"/>
      <c r="E382" s="6"/>
      <c r="F382" s="6"/>
      <c r="G382" s="6"/>
      <c r="H382" s="6"/>
      <c r="I382" s="6"/>
    </row>
    <row r="383" spans="1:9" hidden="1" x14ac:dyDescent="0.2">
      <c r="A383" s="8" t="s">
        <v>6</v>
      </c>
      <c r="B383" s="5"/>
      <c r="C383" s="75"/>
      <c r="D383" s="6"/>
      <c r="E383" s="6"/>
      <c r="F383" s="6"/>
      <c r="G383" s="6"/>
      <c r="H383" s="6"/>
      <c r="I383" s="6"/>
    </row>
    <row r="384" spans="1:9" hidden="1" x14ac:dyDescent="0.2">
      <c r="A384" s="8" t="s">
        <v>7</v>
      </c>
      <c r="B384" s="5"/>
      <c r="C384" s="74"/>
      <c r="D384" s="6"/>
      <c r="E384" s="6"/>
      <c r="F384" s="6"/>
      <c r="G384" s="6"/>
      <c r="H384" s="6"/>
      <c r="I384" s="6"/>
    </row>
    <row r="385" spans="1:9" hidden="1" x14ac:dyDescent="0.2">
      <c r="A385" s="8" t="s">
        <v>8</v>
      </c>
      <c r="B385" s="5"/>
      <c r="C385" s="74"/>
      <c r="D385" s="6"/>
      <c r="E385" s="6"/>
      <c r="F385" s="6"/>
      <c r="G385" s="6"/>
      <c r="H385" s="6"/>
      <c r="I385" s="6"/>
    </row>
    <row r="386" spans="1:9" hidden="1" x14ac:dyDescent="0.2">
      <c r="A386" s="8" t="s">
        <v>9</v>
      </c>
      <c r="B386" s="5"/>
      <c r="C386" s="74"/>
      <c r="D386" s="6"/>
      <c r="E386" s="6"/>
      <c r="F386" s="6"/>
      <c r="G386" s="6"/>
      <c r="H386" s="6"/>
      <c r="I386" s="6"/>
    </row>
    <row r="387" spans="1:9" hidden="1" x14ac:dyDescent="0.2">
      <c r="A387" s="312" t="s">
        <v>10</v>
      </c>
      <c r="B387" s="313"/>
      <c r="C387" s="313"/>
      <c r="D387" s="313"/>
      <c r="E387" s="314"/>
      <c r="F387" s="11">
        <f>SUM(F377:F386)</f>
        <v>0</v>
      </c>
      <c r="G387" s="11">
        <f>SUM(G377:G386)</f>
        <v>0</v>
      </c>
      <c r="H387" s="11">
        <f>SUM(H377:H386)</f>
        <v>0</v>
      </c>
      <c r="I387" s="11"/>
    </row>
    <row r="388" spans="1:9" hidden="1" x14ac:dyDescent="0.2">
      <c r="A388" s="8" t="s">
        <v>0</v>
      </c>
      <c r="B388" s="5">
        <f>B377+1</f>
        <v>46139</v>
      </c>
      <c r="C388" s="75"/>
      <c r="D388" s="6"/>
      <c r="E388" s="6"/>
      <c r="F388" s="6"/>
      <c r="G388" s="6"/>
      <c r="H388" s="6"/>
      <c r="I388" s="6"/>
    </row>
    <row r="389" spans="1:9" hidden="1" x14ac:dyDescent="0.2">
      <c r="A389" s="8" t="s">
        <v>1</v>
      </c>
      <c r="B389" s="5"/>
      <c r="C389" s="75"/>
      <c r="D389" s="6"/>
      <c r="E389" s="6"/>
      <c r="F389" s="6"/>
      <c r="G389" s="6"/>
      <c r="H389" s="6"/>
      <c r="I389" s="6"/>
    </row>
    <row r="390" spans="1:9" hidden="1" x14ac:dyDescent="0.2">
      <c r="A390" s="8" t="s">
        <v>2</v>
      </c>
      <c r="B390" s="5"/>
      <c r="C390" s="75"/>
      <c r="D390" s="6"/>
      <c r="E390" s="6"/>
      <c r="F390" s="6"/>
      <c r="G390" s="6"/>
      <c r="H390" s="6"/>
      <c r="I390" s="6"/>
    </row>
    <row r="391" spans="1:9" hidden="1" x14ac:dyDescent="0.2">
      <c r="A391" s="8" t="s">
        <v>3</v>
      </c>
      <c r="B391" s="5"/>
      <c r="C391" s="75"/>
      <c r="D391" s="6"/>
      <c r="E391" s="6"/>
      <c r="F391" s="6"/>
      <c r="G391" s="6"/>
      <c r="H391" s="6"/>
      <c r="I391" s="6"/>
    </row>
    <row r="392" spans="1:9" hidden="1" x14ac:dyDescent="0.2">
      <c r="A392" s="8" t="s">
        <v>4</v>
      </c>
      <c r="B392" s="5"/>
      <c r="C392" s="75"/>
      <c r="D392" s="6"/>
      <c r="E392" s="6"/>
      <c r="F392" s="6"/>
      <c r="G392" s="6"/>
      <c r="H392" s="6"/>
      <c r="I392" s="6"/>
    </row>
    <row r="393" spans="1:9" hidden="1" x14ac:dyDescent="0.2">
      <c r="A393" s="8" t="s">
        <v>5</v>
      </c>
      <c r="B393" s="5"/>
      <c r="C393" s="75"/>
      <c r="D393" s="6"/>
      <c r="E393" s="6"/>
      <c r="F393" s="6"/>
      <c r="G393" s="6"/>
      <c r="H393" s="6"/>
      <c r="I393" s="6"/>
    </row>
    <row r="394" spans="1:9" hidden="1" x14ac:dyDescent="0.2">
      <c r="A394" s="8" t="s">
        <v>6</v>
      </c>
      <c r="B394" s="5"/>
      <c r="C394" s="74"/>
      <c r="D394" s="6"/>
      <c r="E394" s="6"/>
      <c r="F394" s="6"/>
      <c r="G394" s="6"/>
      <c r="H394" s="6"/>
      <c r="I394" s="6"/>
    </row>
    <row r="395" spans="1:9" hidden="1" x14ac:dyDescent="0.2">
      <c r="A395" s="8" t="s">
        <v>7</v>
      </c>
      <c r="B395" s="5"/>
      <c r="C395" s="74"/>
      <c r="D395" s="6"/>
      <c r="E395" s="6"/>
      <c r="F395" s="6"/>
      <c r="G395" s="6"/>
      <c r="H395" s="6"/>
      <c r="I395" s="6"/>
    </row>
    <row r="396" spans="1:9" hidden="1" x14ac:dyDescent="0.2">
      <c r="A396" s="8" t="s">
        <v>8</v>
      </c>
      <c r="B396" s="5"/>
      <c r="C396" s="74"/>
      <c r="D396" s="6"/>
      <c r="E396" s="6"/>
      <c r="F396" s="6"/>
      <c r="G396" s="6"/>
      <c r="H396" s="6"/>
      <c r="I396" s="6"/>
    </row>
    <row r="397" spans="1:9" hidden="1" x14ac:dyDescent="0.2">
      <c r="A397" s="8" t="s">
        <v>9</v>
      </c>
      <c r="B397" s="5"/>
      <c r="C397" s="74"/>
      <c r="D397" s="6"/>
      <c r="E397" s="6"/>
      <c r="F397" s="6"/>
      <c r="G397" s="6"/>
      <c r="H397" s="6"/>
      <c r="I397" s="6"/>
    </row>
    <row r="398" spans="1:9" hidden="1" x14ac:dyDescent="0.2">
      <c r="A398" s="312" t="s">
        <v>10</v>
      </c>
      <c r="B398" s="313"/>
      <c r="C398" s="313"/>
      <c r="D398" s="313"/>
      <c r="E398" s="314"/>
      <c r="F398" s="11">
        <f>SUM(F388:F397)</f>
        <v>0</v>
      </c>
      <c r="G398" s="11">
        <f>SUM(G388:G397)</f>
        <v>0</v>
      </c>
      <c r="H398" s="11">
        <f>SUM(H388:H397)</f>
        <v>0</v>
      </c>
      <c r="I398" s="11"/>
    </row>
    <row r="399" spans="1:9" hidden="1" x14ac:dyDescent="0.2">
      <c r="A399" s="8" t="s">
        <v>0</v>
      </c>
      <c r="B399" s="5">
        <f>B388+1</f>
        <v>46140</v>
      </c>
      <c r="C399" s="75"/>
      <c r="D399" s="6"/>
      <c r="E399" s="6"/>
      <c r="F399" s="6"/>
      <c r="G399" s="6"/>
      <c r="H399" s="6"/>
      <c r="I399" s="6"/>
    </row>
    <row r="400" spans="1:9" hidden="1" x14ac:dyDescent="0.2">
      <c r="A400" s="8" t="s">
        <v>1</v>
      </c>
      <c r="B400" s="5"/>
      <c r="C400" s="75"/>
      <c r="D400" s="6"/>
      <c r="E400" s="6"/>
      <c r="F400" s="6"/>
      <c r="G400" s="6"/>
      <c r="H400" s="6"/>
      <c r="I400" s="6"/>
    </row>
    <row r="401" spans="1:9" hidden="1" x14ac:dyDescent="0.2">
      <c r="A401" s="8" t="s">
        <v>2</v>
      </c>
      <c r="B401" s="5"/>
      <c r="C401" s="75"/>
      <c r="D401" s="6"/>
      <c r="E401" s="6"/>
      <c r="F401" s="6"/>
      <c r="G401" s="6"/>
      <c r="H401" s="6"/>
      <c r="I401" s="6"/>
    </row>
    <row r="402" spans="1:9" hidden="1" x14ac:dyDescent="0.2">
      <c r="A402" s="8" t="s">
        <v>3</v>
      </c>
      <c r="B402" s="5"/>
      <c r="C402" s="75"/>
      <c r="D402" s="6"/>
      <c r="E402" s="6"/>
      <c r="F402" s="6"/>
      <c r="G402" s="6"/>
      <c r="H402" s="6"/>
      <c r="I402" s="6"/>
    </row>
    <row r="403" spans="1:9" hidden="1" x14ac:dyDescent="0.2">
      <c r="A403" s="8" t="s">
        <v>4</v>
      </c>
      <c r="B403" s="5"/>
      <c r="C403" s="75"/>
      <c r="D403" s="6"/>
      <c r="E403" s="6"/>
      <c r="F403" s="6"/>
      <c r="G403" s="6"/>
      <c r="H403" s="6"/>
      <c r="I403" s="6"/>
    </row>
    <row r="404" spans="1:9" hidden="1" x14ac:dyDescent="0.2">
      <c r="A404" s="8" t="s">
        <v>5</v>
      </c>
      <c r="B404" s="5"/>
      <c r="C404" s="75"/>
      <c r="D404" s="6"/>
      <c r="E404" s="6"/>
      <c r="F404" s="6"/>
      <c r="G404" s="6"/>
      <c r="H404" s="6"/>
      <c r="I404" s="6"/>
    </row>
    <row r="405" spans="1:9" hidden="1" x14ac:dyDescent="0.2">
      <c r="A405" s="8" t="s">
        <v>6</v>
      </c>
      <c r="B405" s="5"/>
      <c r="C405" s="75"/>
      <c r="D405" s="6"/>
      <c r="E405" s="6"/>
      <c r="F405" s="6"/>
      <c r="G405" s="6"/>
      <c r="H405" s="6"/>
      <c r="I405" s="6"/>
    </row>
    <row r="406" spans="1:9" hidden="1" x14ac:dyDescent="0.2">
      <c r="A406" s="8" t="s">
        <v>7</v>
      </c>
      <c r="B406" s="5"/>
      <c r="C406" s="75"/>
      <c r="D406" s="6"/>
      <c r="E406" s="6"/>
      <c r="F406" s="6"/>
      <c r="G406" s="6"/>
      <c r="H406" s="6"/>
      <c r="I406" s="6"/>
    </row>
    <row r="407" spans="1:9" hidden="1" x14ac:dyDescent="0.2">
      <c r="A407" s="8" t="s">
        <v>8</v>
      </c>
      <c r="B407" s="5"/>
      <c r="C407" s="75"/>
      <c r="D407" s="6"/>
      <c r="E407" s="6"/>
      <c r="F407" s="6"/>
      <c r="G407" s="6"/>
      <c r="H407" s="6"/>
      <c r="I407" s="6"/>
    </row>
    <row r="408" spans="1:9" hidden="1" x14ac:dyDescent="0.2">
      <c r="A408" s="8" t="s">
        <v>9</v>
      </c>
      <c r="B408" s="5"/>
      <c r="C408" s="75"/>
      <c r="D408" s="6"/>
      <c r="E408" s="6"/>
      <c r="F408" s="6"/>
      <c r="G408" s="6"/>
      <c r="H408" s="6"/>
      <c r="I408" s="6"/>
    </row>
    <row r="409" spans="1:9" hidden="1" x14ac:dyDescent="0.2">
      <c r="A409" s="312" t="s">
        <v>10</v>
      </c>
      <c r="B409" s="313"/>
      <c r="C409" s="313"/>
      <c r="D409" s="313"/>
      <c r="E409" s="314"/>
      <c r="F409" s="11">
        <f>SUM(F399:F408)</f>
        <v>0</v>
      </c>
      <c r="G409" s="11">
        <f>SUM(G399:G408)</f>
        <v>0</v>
      </c>
      <c r="H409" s="11">
        <f>SUM(H399:H408)</f>
        <v>0</v>
      </c>
      <c r="I409" s="11"/>
    </row>
    <row r="410" spans="1:9" hidden="1" x14ac:dyDescent="0.2">
      <c r="A410" s="8" t="s">
        <v>0</v>
      </c>
      <c r="B410" s="5"/>
      <c r="C410" s="74"/>
      <c r="D410" s="6"/>
      <c r="E410" s="6"/>
      <c r="F410" s="6"/>
      <c r="G410" s="6"/>
      <c r="H410" s="6"/>
      <c r="I410" s="6"/>
    </row>
    <row r="411" spans="1:9" hidden="1" x14ac:dyDescent="0.2">
      <c r="A411" s="8" t="s">
        <v>1</v>
      </c>
      <c r="B411" s="5"/>
      <c r="C411" s="74"/>
      <c r="D411" s="6"/>
      <c r="E411" s="6"/>
      <c r="F411" s="6"/>
      <c r="G411" s="6"/>
      <c r="H411" s="6"/>
      <c r="I411" s="6"/>
    </row>
    <row r="412" spans="1:9" hidden="1" x14ac:dyDescent="0.2">
      <c r="A412" s="8" t="s">
        <v>2</v>
      </c>
      <c r="B412" s="5"/>
      <c r="C412" s="74"/>
      <c r="D412" s="6"/>
      <c r="E412" s="6"/>
      <c r="F412" s="6"/>
      <c r="G412" s="6"/>
      <c r="H412" s="6"/>
      <c r="I412" s="6"/>
    </row>
    <row r="413" spans="1:9" hidden="1" x14ac:dyDescent="0.2">
      <c r="A413" s="8" t="s">
        <v>3</v>
      </c>
      <c r="B413" s="5"/>
      <c r="C413" s="74"/>
      <c r="D413" s="6"/>
      <c r="E413" s="6"/>
      <c r="F413" s="6"/>
      <c r="G413" s="6"/>
      <c r="H413" s="6"/>
      <c r="I413" s="6"/>
    </row>
    <row r="414" spans="1:9" hidden="1" x14ac:dyDescent="0.2">
      <c r="A414" s="8" t="s">
        <v>4</v>
      </c>
      <c r="B414" s="5"/>
      <c r="C414" s="74"/>
      <c r="D414" s="6"/>
      <c r="E414" s="6"/>
      <c r="F414" s="6"/>
      <c r="G414" s="6"/>
      <c r="H414" s="6"/>
      <c r="I414" s="6"/>
    </row>
    <row r="415" spans="1:9" hidden="1" x14ac:dyDescent="0.2">
      <c r="A415" s="8" t="s">
        <v>5</v>
      </c>
      <c r="B415" s="5"/>
      <c r="C415" s="74"/>
      <c r="D415" s="6"/>
      <c r="E415" s="6"/>
      <c r="F415" s="6"/>
      <c r="G415" s="6"/>
      <c r="H415" s="6"/>
      <c r="I415" s="6"/>
    </row>
    <row r="416" spans="1:9" hidden="1" x14ac:dyDescent="0.2">
      <c r="A416" s="8" t="s">
        <v>6</v>
      </c>
      <c r="B416" s="5"/>
      <c r="C416" s="74"/>
      <c r="D416" s="6"/>
      <c r="E416" s="6"/>
      <c r="F416" s="6"/>
      <c r="G416" s="6"/>
      <c r="H416" s="6"/>
      <c r="I416" s="6"/>
    </row>
    <row r="417" spans="1:9" hidden="1" x14ac:dyDescent="0.2">
      <c r="A417" s="8" t="s">
        <v>7</v>
      </c>
      <c r="B417" s="5"/>
      <c r="C417" s="74"/>
      <c r="D417" s="6"/>
      <c r="E417" s="6"/>
      <c r="F417" s="6"/>
      <c r="G417" s="6"/>
      <c r="H417" s="6"/>
      <c r="I417" s="6"/>
    </row>
    <row r="418" spans="1:9" hidden="1" x14ac:dyDescent="0.2">
      <c r="A418" s="8" t="s">
        <v>8</v>
      </c>
      <c r="B418" s="5"/>
      <c r="C418" s="74"/>
      <c r="D418" s="6"/>
      <c r="E418" s="6"/>
      <c r="F418" s="6"/>
      <c r="G418" s="6"/>
      <c r="H418" s="6"/>
      <c r="I418" s="6"/>
    </row>
    <row r="419" spans="1:9" hidden="1" x14ac:dyDescent="0.2">
      <c r="A419" s="8" t="s">
        <v>9</v>
      </c>
      <c r="B419" s="5"/>
      <c r="C419" s="74"/>
      <c r="D419" s="6"/>
      <c r="E419" s="6"/>
      <c r="F419" s="6"/>
      <c r="G419" s="6"/>
      <c r="H419" s="6"/>
      <c r="I419" s="6"/>
    </row>
    <row r="420" spans="1:9" hidden="1" x14ac:dyDescent="0.2">
      <c r="A420" s="312" t="s">
        <v>10</v>
      </c>
      <c r="B420" s="313"/>
      <c r="C420" s="313"/>
      <c r="D420" s="313"/>
      <c r="E420" s="314"/>
      <c r="F420" s="11">
        <f>SUM(F410:F419)</f>
        <v>0</v>
      </c>
      <c r="G420" s="11">
        <f>SUM(G410:G419)</f>
        <v>0</v>
      </c>
      <c r="H420" s="11">
        <f>SUM(H410:H419)</f>
        <v>0</v>
      </c>
      <c r="I420" s="11"/>
    </row>
    <row r="421" spans="1:9" s="25" customFormat="1" ht="18" x14ac:dyDescent="0.2">
      <c r="A421" s="315" t="s">
        <v>39</v>
      </c>
      <c r="B421" s="316"/>
      <c r="C421" s="316"/>
      <c r="D421" s="316"/>
      <c r="E421" s="317"/>
      <c r="F421" s="22">
        <f>F354+F365+F376+F387+F398+F409+F420+F336</f>
        <v>115</v>
      </c>
      <c r="G421" s="22">
        <f>G354+G365+G376+G387+G398+G409+G420+G336</f>
        <v>24</v>
      </c>
      <c r="H421" s="22">
        <f>H354+H365+H376+H387+H398+H409+H420+H336</f>
        <v>750.75</v>
      </c>
      <c r="I421" s="22"/>
    </row>
  </sheetData>
  <mergeCells count="70">
    <mergeCell ref="F5:H5"/>
    <mergeCell ref="A1:I1"/>
    <mergeCell ref="A2:E2"/>
    <mergeCell ref="A3:C3"/>
    <mergeCell ref="A4:C4"/>
    <mergeCell ref="F4:G4"/>
    <mergeCell ref="A88:C88"/>
    <mergeCell ref="F88:G88"/>
    <mergeCell ref="A17:E17"/>
    <mergeCell ref="A28:E28"/>
    <mergeCell ref="A39:E39"/>
    <mergeCell ref="A50:E50"/>
    <mergeCell ref="A61:E61"/>
    <mergeCell ref="A72:E72"/>
    <mergeCell ref="A83:E83"/>
    <mergeCell ref="A84:E84"/>
    <mergeCell ref="A85:I85"/>
    <mergeCell ref="A86:E86"/>
    <mergeCell ref="A87:C87"/>
    <mergeCell ref="A171:C171"/>
    <mergeCell ref="F89:H89"/>
    <mergeCell ref="A101:E101"/>
    <mergeCell ref="A112:E112"/>
    <mergeCell ref="A123:E123"/>
    <mergeCell ref="A134:E134"/>
    <mergeCell ref="A145:E145"/>
    <mergeCell ref="A156:E156"/>
    <mergeCell ref="A167:E167"/>
    <mergeCell ref="A168:E168"/>
    <mergeCell ref="A169:I169"/>
    <mergeCell ref="A170:E170"/>
    <mergeCell ref="A253:I253"/>
    <mergeCell ref="A172:C172"/>
    <mergeCell ref="F172:G172"/>
    <mergeCell ref="F173:H173"/>
    <mergeCell ref="A185:E185"/>
    <mergeCell ref="A196:E196"/>
    <mergeCell ref="A207:E207"/>
    <mergeCell ref="A218:E218"/>
    <mergeCell ref="A229:E229"/>
    <mergeCell ref="A240:E240"/>
    <mergeCell ref="A251:E251"/>
    <mergeCell ref="A252:E252"/>
    <mergeCell ref="A335:E335"/>
    <mergeCell ref="A254:E254"/>
    <mergeCell ref="A255:C255"/>
    <mergeCell ref="A256:C256"/>
    <mergeCell ref="F256:G256"/>
    <mergeCell ref="F257:H257"/>
    <mergeCell ref="A269:E269"/>
    <mergeCell ref="A280:E280"/>
    <mergeCell ref="A291:E291"/>
    <mergeCell ref="A302:E302"/>
    <mergeCell ref="A313:E313"/>
    <mergeCell ref="A324:E324"/>
    <mergeCell ref="A336:E336"/>
    <mergeCell ref="A337:I337"/>
    <mergeCell ref="A338:E338"/>
    <mergeCell ref="A339:C339"/>
    <mergeCell ref="A340:C340"/>
    <mergeCell ref="F340:G340"/>
    <mergeCell ref="A409:E409"/>
    <mergeCell ref="A420:E420"/>
    <mergeCell ref="A421:E421"/>
    <mergeCell ref="F341:H341"/>
    <mergeCell ref="A354:E354"/>
    <mergeCell ref="A365:E365"/>
    <mergeCell ref="A376:E376"/>
    <mergeCell ref="A387:E387"/>
    <mergeCell ref="A398:E398"/>
  </mergeCells>
  <pageMargins left="0.59055118110236227" right="0.39370078740157483" top="0.59055118110236227" bottom="0.39370078740157483" header="0.31496062992125984" footer="0.31496062992125984"/>
  <pageSetup paperSize="9" scale="99" fitToHeight="5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1"/>
  <sheetViews>
    <sheetView topLeftCell="A341" zoomScale="150" zoomScaleNormal="150" workbookViewId="0">
      <selection activeCell="D422" sqref="D422"/>
    </sheetView>
  </sheetViews>
  <sheetFormatPr defaultColWidth="9" defaultRowHeight="17.25" x14ac:dyDescent="0.2"/>
  <cols>
    <col min="1" max="1" width="4" style="1" bestFit="1" customWidth="1"/>
    <col min="2" max="2" width="10.625" style="7" customWidth="1"/>
    <col min="3" max="3" width="11.25" style="76" customWidth="1"/>
    <col min="4" max="4" width="15.625" style="1" customWidth="1"/>
    <col min="5" max="5" width="10.625" style="1" customWidth="1"/>
    <col min="6" max="8" width="7.625" style="1" customWidth="1"/>
    <col min="9" max="9" width="18" style="1" customWidth="1"/>
    <col min="10" max="16384" width="9" style="1"/>
  </cols>
  <sheetData>
    <row r="1" spans="1:9" ht="21.95" customHeight="1" x14ac:dyDescent="0.2">
      <c r="A1" s="319" t="s">
        <v>14</v>
      </c>
      <c r="B1" s="319"/>
      <c r="C1" s="319"/>
      <c r="D1" s="319"/>
      <c r="E1" s="319"/>
      <c r="F1" s="319"/>
      <c r="G1" s="319"/>
      <c r="H1" s="319"/>
      <c r="I1" s="319"/>
    </row>
    <row r="2" spans="1:9" s="53" customFormat="1" ht="20.100000000000001" customHeight="1" x14ac:dyDescent="0.2">
      <c r="A2" s="323" t="s">
        <v>86</v>
      </c>
      <c r="B2" s="323"/>
      <c r="C2" s="323"/>
      <c r="D2" s="323"/>
      <c r="E2" s="323"/>
      <c r="F2" s="104" t="str">
        <f>'1'!$F$2</f>
        <v>เมษายน</v>
      </c>
      <c r="G2" s="50" t="s">
        <v>87</v>
      </c>
      <c r="H2" s="51">
        <f>'1'!$H$2</f>
        <v>2569</v>
      </c>
      <c r="I2" s="52"/>
    </row>
    <row r="3" spans="1:9" s="3" customFormat="1" ht="20.100000000000001" customHeight="1" x14ac:dyDescent="0.4">
      <c r="A3" s="318" t="s">
        <v>38</v>
      </c>
      <c r="B3" s="318"/>
      <c r="C3" s="318"/>
      <c r="D3" s="2"/>
      <c r="F3" s="4"/>
      <c r="G3" s="4"/>
      <c r="H3" s="4" t="s">
        <v>21</v>
      </c>
      <c r="I3" s="41">
        <v>1</v>
      </c>
    </row>
    <row r="4" spans="1:9" s="49" customFormat="1" ht="20.100000000000001" customHeight="1" x14ac:dyDescent="0.35">
      <c r="A4" s="327" t="s">
        <v>68</v>
      </c>
      <c r="B4" s="327"/>
      <c r="C4" s="327"/>
      <c r="D4" s="46"/>
      <c r="E4" s="47" t="s">
        <v>81</v>
      </c>
      <c r="F4" s="328">
        <f>'1'!$F$4</f>
        <v>46107</v>
      </c>
      <c r="G4" s="328"/>
      <c r="H4" s="47" t="s">
        <v>82</v>
      </c>
      <c r="I4" s="48">
        <f>'1'!$I$4</f>
        <v>46136</v>
      </c>
    </row>
    <row r="5" spans="1:9" x14ac:dyDescent="0.2">
      <c r="A5" s="12" t="s">
        <v>23</v>
      </c>
      <c r="B5" s="13" t="s">
        <v>11</v>
      </c>
      <c r="C5" s="72" t="s">
        <v>26</v>
      </c>
      <c r="D5" s="12" t="s">
        <v>16</v>
      </c>
      <c r="E5" s="12" t="s">
        <v>17</v>
      </c>
      <c r="F5" s="310" t="s">
        <v>46</v>
      </c>
      <c r="G5" s="310"/>
      <c r="H5" s="310"/>
      <c r="I5" s="12" t="s">
        <v>19</v>
      </c>
    </row>
    <row r="6" spans="1:9" x14ac:dyDescent="0.2">
      <c r="A6" s="15"/>
      <c r="B6" s="16"/>
      <c r="C6" s="73"/>
      <c r="D6" s="15"/>
      <c r="E6" s="15"/>
      <c r="F6" s="21" t="s">
        <v>113</v>
      </c>
      <c r="G6" s="21" t="s">
        <v>114</v>
      </c>
      <c r="H6" s="21" t="s">
        <v>20</v>
      </c>
      <c r="I6" s="15"/>
    </row>
    <row r="7" spans="1:9" x14ac:dyDescent="0.2">
      <c r="A7" s="8" t="s">
        <v>0</v>
      </c>
      <c r="B7" s="5">
        <f>'9'!B7</f>
        <v>46107</v>
      </c>
      <c r="C7" s="74" t="s">
        <v>237</v>
      </c>
      <c r="D7" s="6" t="s">
        <v>170</v>
      </c>
      <c r="E7" s="6" t="s">
        <v>171</v>
      </c>
      <c r="F7" s="6">
        <v>1</v>
      </c>
      <c r="G7" s="6"/>
      <c r="H7" s="6">
        <v>6</v>
      </c>
      <c r="I7" s="6"/>
    </row>
    <row r="8" spans="1:9" x14ac:dyDescent="0.2">
      <c r="A8" s="8" t="s">
        <v>1</v>
      </c>
      <c r="B8" s="5"/>
      <c r="C8" s="74" t="s">
        <v>238</v>
      </c>
      <c r="D8" s="6" t="s">
        <v>170</v>
      </c>
      <c r="E8" s="6" t="s">
        <v>171</v>
      </c>
      <c r="F8" s="6">
        <v>1</v>
      </c>
      <c r="G8" s="6"/>
      <c r="H8" s="6">
        <v>6</v>
      </c>
      <c r="I8" s="6"/>
    </row>
    <row r="9" spans="1:9" x14ac:dyDescent="0.2">
      <c r="A9" s="8" t="s">
        <v>2</v>
      </c>
      <c r="B9" s="5"/>
      <c r="C9" s="74" t="s">
        <v>239</v>
      </c>
      <c r="D9" s="6" t="s">
        <v>170</v>
      </c>
      <c r="E9" s="6" t="s">
        <v>171</v>
      </c>
      <c r="F9" s="54">
        <v>1</v>
      </c>
      <c r="G9" s="6"/>
      <c r="H9" s="6">
        <v>6</v>
      </c>
      <c r="I9" s="6"/>
    </row>
    <row r="10" spans="1:9" hidden="1" x14ac:dyDescent="0.2">
      <c r="A10" s="8" t="s">
        <v>3</v>
      </c>
      <c r="B10" s="5"/>
      <c r="C10" s="74"/>
      <c r="D10" s="6"/>
      <c r="E10" s="6"/>
      <c r="F10" s="6"/>
      <c r="G10" s="6"/>
      <c r="H10" s="6"/>
      <c r="I10" s="6"/>
    </row>
    <row r="11" spans="1:9" hidden="1" x14ac:dyDescent="0.2">
      <c r="A11" s="8" t="s">
        <v>4</v>
      </c>
      <c r="B11" s="5"/>
      <c r="C11" s="74"/>
      <c r="D11" s="6"/>
      <c r="E11" s="6"/>
      <c r="F11" s="6"/>
      <c r="G11" s="6"/>
      <c r="H11" s="6"/>
      <c r="I11" s="6"/>
    </row>
    <row r="12" spans="1:9" hidden="1" x14ac:dyDescent="0.2">
      <c r="A12" s="8" t="s">
        <v>5</v>
      </c>
      <c r="B12" s="5"/>
      <c r="C12" s="74"/>
      <c r="D12" s="6"/>
      <c r="E12" s="6"/>
      <c r="F12" s="6"/>
      <c r="G12" s="6"/>
      <c r="H12" s="6"/>
      <c r="I12" s="6"/>
    </row>
    <row r="13" spans="1:9" hidden="1" x14ac:dyDescent="0.2">
      <c r="A13" s="8" t="s">
        <v>6</v>
      </c>
      <c r="B13" s="5"/>
      <c r="C13" s="74"/>
      <c r="D13" s="6"/>
      <c r="E13" s="6"/>
      <c r="F13" s="6"/>
      <c r="G13" s="6"/>
      <c r="H13" s="6"/>
      <c r="I13" s="6"/>
    </row>
    <row r="14" spans="1:9" hidden="1" x14ac:dyDescent="0.2">
      <c r="A14" s="8" t="s">
        <v>7</v>
      </c>
      <c r="B14" s="5"/>
      <c r="C14" s="74"/>
      <c r="D14" s="6"/>
      <c r="E14" s="6"/>
      <c r="F14" s="6"/>
      <c r="G14" s="6"/>
      <c r="H14" s="6"/>
      <c r="I14" s="6"/>
    </row>
    <row r="15" spans="1:9" hidden="1" x14ac:dyDescent="0.2">
      <c r="A15" s="8" t="s">
        <v>8</v>
      </c>
      <c r="B15" s="5"/>
      <c r="C15" s="74"/>
      <c r="D15" s="6"/>
      <c r="E15" s="6"/>
      <c r="F15" s="6"/>
      <c r="G15" s="6"/>
      <c r="H15" s="6"/>
      <c r="I15" s="6"/>
    </row>
    <row r="16" spans="1:9" hidden="1" x14ac:dyDescent="0.2">
      <c r="A16" s="8" t="s">
        <v>9</v>
      </c>
      <c r="B16" s="5"/>
      <c r="C16" s="74"/>
      <c r="D16" s="6"/>
      <c r="E16" s="6"/>
      <c r="F16" s="6"/>
      <c r="G16" s="6"/>
      <c r="H16" s="6"/>
      <c r="I16" s="6"/>
    </row>
    <row r="17" spans="1:9" x14ac:dyDescent="0.2">
      <c r="A17" s="312" t="s">
        <v>10</v>
      </c>
      <c r="B17" s="313"/>
      <c r="C17" s="313"/>
      <c r="D17" s="313"/>
      <c r="E17" s="314"/>
      <c r="F17" s="11">
        <f>SUM(F7:F16)</f>
        <v>3</v>
      </c>
      <c r="G17" s="11">
        <f>SUM(G7:G16)</f>
        <v>0</v>
      </c>
      <c r="H17" s="11">
        <f>SUM(H7:H16)</f>
        <v>18</v>
      </c>
      <c r="I17" s="11"/>
    </row>
    <row r="18" spans="1:9" x14ac:dyDescent="0.2">
      <c r="A18" s="8" t="s">
        <v>0</v>
      </c>
      <c r="B18" s="5">
        <f>B7+1</f>
        <v>46108</v>
      </c>
      <c r="C18" s="75" t="s">
        <v>328</v>
      </c>
      <c r="D18" s="6" t="s">
        <v>211</v>
      </c>
      <c r="E18" s="6" t="s">
        <v>171</v>
      </c>
      <c r="F18" s="6">
        <v>1</v>
      </c>
      <c r="G18" s="6"/>
      <c r="H18" s="6">
        <v>1.5</v>
      </c>
      <c r="I18" s="6"/>
    </row>
    <row r="19" spans="1:9" x14ac:dyDescent="0.2">
      <c r="A19" s="8" t="s">
        <v>1</v>
      </c>
      <c r="B19" s="5"/>
      <c r="C19" s="75" t="s">
        <v>329</v>
      </c>
      <c r="D19" s="6" t="s">
        <v>202</v>
      </c>
      <c r="E19" s="6" t="s">
        <v>222</v>
      </c>
      <c r="F19" s="6">
        <v>1</v>
      </c>
      <c r="G19" s="6"/>
      <c r="H19" s="6">
        <v>2</v>
      </c>
      <c r="I19" s="6"/>
    </row>
    <row r="20" spans="1:9" x14ac:dyDescent="0.2">
      <c r="A20" s="8" t="s">
        <v>2</v>
      </c>
      <c r="B20" s="5"/>
      <c r="C20" s="75" t="s">
        <v>330</v>
      </c>
      <c r="D20" s="6" t="s">
        <v>170</v>
      </c>
      <c r="E20" s="6" t="s">
        <v>165</v>
      </c>
      <c r="F20" s="6">
        <v>1</v>
      </c>
      <c r="G20" s="6"/>
      <c r="H20" s="6">
        <v>2</v>
      </c>
      <c r="I20" s="6"/>
    </row>
    <row r="21" spans="1:9" x14ac:dyDescent="0.2">
      <c r="A21" s="8" t="s">
        <v>3</v>
      </c>
      <c r="B21" s="5"/>
      <c r="C21" s="75" t="s">
        <v>325</v>
      </c>
      <c r="D21" s="6" t="s">
        <v>170</v>
      </c>
      <c r="E21" s="6" t="s">
        <v>165</v>
      </c>
      <c r="F21" s="6"/>
      <c r="G21" s="6">
        <v>1</v>
      </c>
      <c r="H21" s="6">
        <v>2</v>
      </c>
      <c r="I21" s="6"/>
    </row>
    <row r="22" spans="1:9" hidden="1" x14ac:dyDescent="0.2">
      <c r="A22" s="8" t="s">
        <v>4</v>
      </c>
      <c r="B22" s="5"/>
      <c r="C22" s="75"/>
      <c r="D22" s="6"/>
      <c r="E22" s="6"/>
      <c r="F22" s="6"/>
      <c r="G22" s="6"/>
      <c r="H22" s="6"/>
      <c r="I22" s="6"/>
    </row>
    <row r="23" spans="1:9" hidden="1" x14ac:dyDescent="0.2">
      <c r="A23" s="8" t="s">
        <v>5</v>
      </c>
      <c r="B23" s="5"/>
      <c r="C23" s="75"/>
      <c r="D23" s="6"/>
      <c r="E23" s="6"/>
      <c r="F23" s="6"/>
      <c r="G23" s="6"/>
      <c r="H23" s="6"/>
      <c r="I23" s="6"/>
    </row>
    <row r="24" spans="1:9" hidden="1" x14ac:dyDescent="0.2">
      <c r="A24" s="8" t="s">
        <v>6</v>
      </c>
      <c r="B24" s="5"/>
      <c r="C24" s="75"/>
      <c r="D24" s="6"/>
      <c r="E24" s="6"/>
      <c r="F24" s="6"/>
      <c r="G24" s="6"/>
      <c r="H24" s="6"/>
      <c r="I24" s="6"/>
    </row>
    <row r="25" spans="1:9" hidden="1" x14ac:dyDescent="0.2">
      <c r="A25" s="8" t="s">
        <v>7</v>
      </c>
      <c r="B25" s="5"/>
      <c r="C25" s="75"/>
      <c r="D25" s="6"/>
      <c r="E25" s="6"/>
      <c r="F25" s="6"/>
      <c r="G25" s="6"/>
      <c r="H25" s="6"/>
      <c r="I25" s="6"/>
    </row>
    <row r="26" spans="1:9" hidden="1" x14ac:dyDescent="0.2">
      <c r="A26" s="8" t="s">
        <v>8</v>
      </c>
      <c r="B26" s="5"/>
      <c r="C26" s="74"/>
      <c r="D26" s="6"/>
      <c r="E26" s="6"/>
      <c r="F26" s="6"/>
      <c r="G26" s="6"/>
      <c r="H26" s="6"/>
      <c r="I26" s="6"/>
    </row>
    <row r="27" spans="1:9" hidden="1" x14ac:dyDescent="0.2">
      <c r="A27" s="8" t="s">
        <v>9</v>
      </c>
      <c r="B27" s="5"/>
      <c r="C27" s="74"/>
      <c r="D27" s="6"/>
      <c r="E27" s="6"/>
      <c r="F27" s="6"/>
      <c r="G27" s="6"/>
      <c r="H27" s="6"/>
      <c r="I27" s="6"/>
    </row>
    <row r="28" spans="1:9" x14ac:dyDescent="0.2">
      <c r="A28" s="312" t="s">
        <v>10</v>
      </c>
      <c r="B28" s="313"/>
      <c r="C28" s="313"/>
      <c r="D28" s="313"/>
      <c r="E28" s="314"/>
      <c r="F28" s="11">
        <f>SUM(F18:F27)</f>
        <v>3</v>
      </c>
      <c r="G28" s="11">
        <f>SUM(G18:G27)</f>
        <v>1</v>
      </c>
      <c r="H28" s="11">
        <f>SUM(H18:H27)</f>
        <v>7.5</v>
      </c>
      <c r="I28" s="11"/>
    </row>
    <row r="29" spans="1:9" hidden="1" x14ac:dyDescent="0.2">
      <c r="A29" s="8" t="s">
        <v>0</v>
      </c>
      <c r="B29" s="5">
        <f>B18+1</f>
        <v>46109</v>
      </c>
      <c r="C29" s="74"/>
      <c r="D29" s="6"/>
      <c r="E29" s="6"/>
      <c r="F29" s="6"/>
      <c r="G29" s="6"/>
      <c r="H29" s="6"/>
      <c r="I29" s="6"/>
    </row>
    <row r="30" spans="1:9" hidden="1" x14ac:dyDescent="0.2">
      <c r="A30" s="8" t="s">
        <v>1</v>
      </c>
      <c r="B30" s="5"/>
      <c r="C30" s="74"/>
      <c r="D30" s="6"/>
      <c r="E30" s="6"/>
      <c r="F30" s="6"/>
      <c r="G30" s="6"/>
      <c r="H30" s="6"/>
      <c r="I30" s="6"/>
    </row>
    <row r="31" spans="1:9" hidden="1" x14ac:dyDescent="0.2">
      <c r="A31" s="8" t="s">
        <v>2</v>
      </c>
      <c r="B31" s="5"/>
      <c r="C31" s="74"/>
      <c r="D31" s="6"/>
      <c r="E31" s="6"/>
      <c r="F31" s="6"/>
      <c r="G31" s="6"/>
      <c r="H31" s="6"/>
      <c r="I31" s="6"/>
    </row>
    <row r="32" spans="1:9" hidden="1" x14ac:dyDescent="0.2">
      <c r="A32" s="8" t="s">
        <v>3</v>
      </c>
      <c r="B32" s="5"/>
      <c r="C32" s="74"/>
      <c r="D32" s="6"/>
      <c r="E32" s="6"/>
      <c r="F32" s="6"/>
      <c r="G32" s="6"/>
      <c r="H32" s="6"/>
      <c r="I32" s="6"/>
    </row>
    <row r="33" spans="1:9" hidden="1" x14ac:dyDescent="0.2">
      <c r="A33" s="8" t="s">
        <v>4</v>
      </c>
      <c r="B33" s="5"/>
      <c r="C33" s="74"/>
      <c r="D33" s="6"/>
      <c r="E33" s="6"/>
      <c r="F33" s="6"/>
      <c r="G33" s="6"/>
      <c r="H33" s="6"/>
      <c r="I33" s="6"/>
    </row>
    <row r="34" spans="1:9" hidden="1" x14ac:dyDescent="0.2">
      <c r="A34" s="8" t="s">
        <v>5</v>
      </c>
      <c r="B34" s="5"/>
      <c r="C34" s="74"/>
      <c r="D34" s="6"/>
      <c r="E34" s="6"/>
      <c r="F34" s="6"/>
      <c r="G34" s="6"/>
      <c r="H34" s="6"/>
      <c r="I34" s="6"/>
    </row>
    <row r="35" spans="1:9" hidden="1" x14ac:dyDescent="0.2">
      <c r="A35" s="8" t="s">
        <v>6</v>
      </c>
      <c r="B35" s="5"/>
      <c r="C35" s="74"/>
      <c r="D35" s="6"/>
      <c r="E35" s="6"/>
      <c r="F35" s="6"/>
      <c r="G35" s="6"/>
      <c r="H35" s="6"/>
      <c r="I35" s="6"/>
    </row>
    <row r="36" spans="1:9" hidden="1" x14ac:dyDescent="0.2">
      <c r="A36" s="8" t="s">
        <v>7</v>
      </c>
      <c r="B36" s="5"/>
      <c r="C36" s="74"/>
      <c r="D36" s="6"/>
      <c r="E36" s="6"/>
      <c r="F36" s="6"/>
      <c r="G36" s="6"/>
      <c r="H36" s="6"/>
      <c r="I36" s="6"/>
    </row>
    <row r="37" spans="1:9" hidden="1" x14ac:dyDescent="0.2">
      <c r="A37" s="8" t="s">
        <v>8</v>
      </c>
      <c r="B37" s="5"/>
      <c r="C37" s="74"/>
      <c r="D37" s="6"/>
      <c r="E37" s="6"/>
      <c r="F37" s="6"/>
      <c r="G37" s="6"/>
      <c r="H37" s="6"/>
      <c r="I37" s="6"/>
    </row>
    <row r="38" spans="1:9" hidden="1" x14ac:dyDescent="0.2">
      <c r="A38" s="8" t="s">
        <v>9</v>
      </c>
      <c r="B38" s="5"/>
      <c r="C38" s="74"/>
      <c r="D38" s="6"/>
      <c r="E38" s="6"/>
      <c r="F38" s="6"/>
      <c r="G38" s="6"/>
      <c r="H38" s="6"/>
      <c r="I38" s="6"/>
    </row>
    <row r="39" spans="1:9" hidden="1" x14ac:dyDescent="0.2">
      <c r="A39" s="312" t="s">
        <v>10</v>
      </c>
      <c r="B39" s="313"/>
      <c r="C39" s="313"/>
      <c r="D39" s="313"/>
      <c r="E39" s="314"/>
      <c r="F39" s="11">
        <f>SUM(F29:F38)</f>
        <v>0</v>
      </c>
      <c r="G39" s="11">
        <f>SUM(G29:G38)</f>
        <v>0</v>
      </c>
      <c r="H39" s="11">
        <f>SUM(H29:H38)</f>
        <v>0</v>
      </c>
      <c r="I39" s="11"/>
    </row>
    <row r="40" spans="1:9" x14ac:dyDescent="0.2">
      <c r="A40" s="8" t="s">
        <v>0</v>
      </c>
      <c r="B40" s="5">
        <f>B29+1</f>
        <v>46110</v>
      </c>
      <c r="C40" s="75" t="s">
        <v>435</v>
      </c>
      <c r="D40" s="6" t="s">
        <v>242</v>
      </c>
      <c r="E40" s="6" t="s">
        <v>171</v>
      </c>
      <c r="F40" s="6">
        <v>1</v>
      </c>
      <c r="G40" s="6"/>
      <c r="H40" s="6">
        <v>5.5</v>
      </c>
      <c r="I40" s="6"/>
    </row>
    <row r="41" spans="1:9" x14ac:dyDescent="0.2">
      <c r="A41" s="8" t="s">
        <v>1</v>
      </c>
      <c r="B41" s="5"/>
      <c r="C41" s="75" t="s">
        <v>403</v>
      </c>
      <c r="D41" s="6" t="s">
        <v>242</v>
      </c>
      <c r="E41" s="6" t="s">
        <v>171</v>
      </c>
      <c r="F41" s="6">
        <v>1</v>
      </c>
      <c r="G41" s="6"/>
      <c r="H41" s="6">
        <v>5.5</v>
      </c>
      <c r="I41" s="6"/>
    </row>
    <row r="42" spans="1:9" x14ac:dyDescent="0.2">
      <c r="A42" s="8" t="s">
        <v>2</v>
      </c>
      <c r="B42" s="5"/>
      <c r="C42" s="75" t="s">
        <v>436</v>
      </c>
      <c r="D42" s="6" t="s">
        <v>242</v>
      </c>
      <c r="E42" s="6" t="s">
        <v>171</v>
      </c>
      <c r="F42" s="6">
        <v>1</v>
      </c>
      <c r="G42" s="6"/>
      <c r="H42" s="6">
        <v>5.5</v>
      </c>
      <c r="I42" s="6"/>
    </row>
    <row r="43" spans="1:9" x14ac:dyDescent="0.2">
      <c r="A43" s="8" t="s">
        <v>3</v>
      </c>
      <c r="B43" s="5"/>
      <c r="C43" s="75" t="s">
        <v>437</v>
      </c>
      <c r="D43" s="6" t="s">
        <v>188</v>
      </c>
      <c r="E43" s="6" t="s">
        <v>165</v>
      </c>
      <c r="F43" s="6">
        <v>1</v>
      </c>
      <c r="G43" s="6"/>
      <c r="H43" s="6">
        <v>5</v>
      </c>
      <c r="I43" s="6"/>
    </row>
    <row r="44" spans="1:9" x14ac:dyDescent="0.2">
      <c r="A44" s="8" t="s">
        <v>4</v>
      </c>
      <c r="B44" s="5"/>
      <c r="C44" s="75" t="s">
        <v>438</v>
      </c>
      <c r="D44" s="6" t="s">
        <v>371</v>
      </c>
      <c r="E44" s="6" t="s">
        <v>165</v>
      </c>
      <c r="F44" s="6"/>
      <c r="G44" s="6">
        <v>1</v>
      </c>
      <c r="H44" s="6">
        <v>6</v>
      </c>
      <c r="I44" s="6"/>
    </row>
    <row r="45" spans="1:9" hidden="1" x14ac:dyDescent="0.2">
      <c r="A45" s="8" t="s">
        <v>5</v>
      </c>
      <c r="B45" s="5"/>
      <c r="C45" s="75"/>
      <c r="D45" s="6"/>
      <c r="E45" s="6"/>
      <c r="F45" s="6"/>
      <c r="G45" s="6"/>
      <c r="H45" s="6"/>
      <c r="I45" s="6"/>
    </row>
    <row r="46" spans="1:9" hidden="1" x14ac:dyDescent="0.2">
      <c r="A46" s="8" t="s">
        <v>6</v>
      </c>
      <c r="B46" s="5"/>
      <c r="C46" s="75"/>
      <c r="D46" s="6"/>
      <c r="E46" s="6"/>
      <c r="F46" s="6"/>
      <c r="G46" s="6"/>
      <c r="H46" s="6"/>
      <c r="I46" s="6"/>
    </row>
    <row r="47" spans="1:9" hidden="1" x14ac:dyDescent="0.2">
      <c r="A47" s="8" t="s">
        <v>7</v>
      </c>
      <c r="B47" s="5"/>
      <c r="C47" s="74"/>
      <c r="D47" s="6"/>
      <c r="E47" s="6"/>
      <c r="F47" s="6"/>
      <c r="G47" s="6"/>
      <c r="H47" s="6"/>
      <c r="I47" s="6"/>
    </row>
    <row r="48" spans="1:9" hidden="1" x14ac:dyDescent="0.2">
      <c r="A48" s="8" t="s">
        <v>8</v>
      </c>
      <c r="B48" s="5"/>
      <c r="C48" s="74"/>
      <c r="D48" s="6"/>
      <c r="E48" s="6"/>
      <c r="F48" s="6"/>
      <c r="G48" s="6"/>
      <c r="H48" s="6"/>
      <c r="I48" s="6"/>
    </row>
    <row r="49" spans="1:9" hidden="1" x14ac:dyDescent="0.2">
      <c r="A49" s="8" t="s">
        <v>9</v>
      </c>
      <c r="B49" s="5"/>
      <c r="C49" s="74"/>
      <c r="D49" s="6"/>
      <c r="E49" s="6"/>
      <c r="F49" s="6"/>
      <c r="G49" s="6"/>
      <c r="H49" s="6"/>
      <c r="I49" s="6"/>
    </row>
    <row r="50" spans="1:9" x14ac:dyDescent="0.2">
      <c r="A50" s="312" t="s">
        <v>10</v>
      </c>
      <c r="B50" s="313"/>
      <c r="C50" s="313"/>
      <c r="D50" s="313"/>
      <c r="E50" s="314"/>
      <c r="F50" s="11">
        <f>SUM(F40:F49)</f>
        <v>4</v>
      </c>
      <c r="G50" s="11">
        <f>SUM(G40:G49)</f>
        <v>1</v>
      </c>
      <c r="H50" s="11">
        <f>SUM(H40:H49)</f>
        <v>27.5</v>
      </c>
      <c r="I50" s="11"/>
    </row>
    <row r="51" spans="1:9" hidden="1" x14ac:dyDescent="0.2">
      <c r="A51" s="8" t="s">
        <v>0</v>
      </c>
      <c r="B51" s="5">
        <f>B40+1</f>
        <v>46111</v>
      </c>
      <c r="C51" s="75"/>
      <c r="D51" s="6"/>
      <c r="E51" s="6"/>
      <c r="F51" s="6"/>
      <c r="G51" s="6"/>
      <c r="H51" s="6"/>
      <c r="I51" s="6"/>
    </row>
    <row r="52" spans="1:9" hidden="1" x14ac:dyDescent="0.2">
      <c r="A52" s="8" t="s">
        <v>1</v>
      </c>
      <c r="B52" s="5"/>
      <c r="C52" s="75"/>
      <c r="D52" s="6"/>
      <c r="E52" s="6"/>
      <c r="F52" s="6"/>
      <c r="G52" s="6"/>
      <c r="H52" s="6"/>
      <c r="I52" s="6"/>
    </row>
    <row r="53" spans="1:9" hidden="1" x14ac:dyDescent="0.2">
      <c r="A53" s="8" t="s">
        <v>2</v>
      </c>
      <c r="B53" s="5"/>
      <c r="C53" s="75"/>
      <c r="D53" s="6"/>
      <c r="E53" s="6"/>
      <c r="F53" s="6"/>
      <c r="G53" s="6"/>
      <c r="H53" s="6"/>
      <c r="I53" s="6"/>
    </row>
    <row r="54" spans="1:9" hidden="1" x14ac:dyDescent="0.2">
      <c r="A54" s="8" t="s">
        <v>3</v>
      </c>
      <c r="B54" s="5"/>
      <c r="C54" s="75"/>
      <c r="D54" s="6"/>
      <c r="E54" s="6"/>
      <c r="F54" s="6"/>
      <c r="G54" s="6"/>
      <c r="H54" s="6"/>
      <c r="I54" s="6"/>
    </row>
    <row r="55" spans="1:9" hidden="1" x14ac:dyDescent="0.2">
      <c r="A55" s="8" t="s">
        <v>4</v>
      </c>
      <c r="B55" s="5"/>
      <c r="C55" s="75"/>
      <c r="D55" s="6"/>
      <c r="E55" s="6"/>
      <c r="F55" s="6"/>
      <c r="G55" s="6"/>
      <c r="H55" s="6"/>
      <c r="I55" s="6"/>
    </row>
    <row r="56" spans="1:9" hidden="1" x14ac:dyDescent="0.2">
      <c r="A56" s="8" t="s">
        <v>5</v>
      </c>
      <c r="B56" s="5"/>
      <c r="C56" s="75"/>
      <c r="D56" s="6"/>
      <c r="E56" s="6"/>
      <c r="F56" s="6"/>
      <c r="G56" s="6"/>
      <c r="H56" s="6"/>
      <c r="I56" s="6"/>
    </row>
    <row r="57" spans="1:9" hidden="1" x14ac:dyDescent="0.2">
      <c r="A57" s="8" t="s">
        <v>6</v>
      </c>
      <c r="B57" s="5"/>
      <c r="C57" s="74"/>
      <c r="D57" s="6"/>
      <c r="E57" s="6"/>
      <c r="F57" s="6"/>
      <c r="G57" s="6"/>
      <c r="H57" s="6"/>
      <c r="I57" s="6"/>
    </row>
    <row r="58" spans="1:9" hidden="1" x14ac:dyDescent="0.2">
      <c r="A58" s="8" t="s">
        <v>7</v>
      </c>
      <c r="B58" s="5"/>
      <c r="C58" s="74"/>
      <c r="D58" s="6"/>
      <c r="E58" s="6"/>
      <c r="F58" s="6"/>
      <c r="G58" s="6"/>
      <c r="H58" s="6"/>
      <c r="I58" s="6"/>
    </row>
    <row r="59" spans="1:9" hidden="1" x14ac:dyDescent="0.2">
      <c r="A59" s="8" t="s">
        <v>8</v>
      </c>
      <c r="B59" s="5"/>
      <c r="C59" s="74"/>
      <c r="D59" s="6"/>
      <c r="E59" s="6"/>
      <c r="F59" s="6"/>
      <c r="G59" s="6"/>
      <c r="H59" s="6"/>
      <c r="I59" s="6"/>
    </row>
    <row r="60" spans="1:9" hidden="1" x14ac:dyDescent="0.2">
      <c r="A60" s="8" t="s">
        <v>9</v>
      </c>
      <c r="B60" s="5"/>
      <c r="C60" s="74"/>
      <c r="D60" s="6"/>
      <c r="E60" s="6"/>
      <c r="F60" s="6"/>
      <c r="G60" s="6"/>
      <c r="H60" s="6"/>
      <c r="I60" s="6"/>
    </row>
    <row r="61" spans="1:9" hidden="1" x14ac:dyDescent="0.2">
      <c r="A61" s="312" t="s">
        <v>10</v>
      </c>
      <c r="B61" s="313"/>
      <c r="C61" s="313"/>
      <c r="D61" s="313"/>
      <c r="E61" s="314"/>
      <c r="F61" s="11">
        <f>SUM(F51:F60)</f>
        <v>0</v>
      </c>
      <c r="G61" s="11">
        <f>SUM(G51:G60)</f>
        <v>0</v>
      </c>
      <c r="H61" s="11">
        <f>SUM(H51:H60)</f>
        <v>0</v>
      </c>
      <c r="I61" s="11"/>
    </row>
    <row r="62" spans="1:9" hidden="1" x14ac:dyDescent="0.2">
      <c r="A62" s="8" t="s">
        <v>0</v>
      </c>
      <c r="B62" s="5">
        <f>B51+1</f>
        <v>46112</v>
      </c>
      <c r="C62" s="74"/>
      <c r="D62" s="6"/>
      <c r="E62" s="6"/>
      <c r="F62" s="6"/>
      <c r="G62" s="6"/>
      <c r="H62" s="6"/>
      <c r="I62" s="6"/>
    </row>
    <row r="63" spans="1:9" hidden="1" x14ac:dyDescent="0.2">
      <c r="A63" s="8" t="s">
        <v>1</v>
      </c>
      <c r="B63" s="5"/>
      <c r="C63" s="74"/>
      <c r="D63" s="6"/>
      <c r="E63" s="6"/>
      <c r="F63" s="6"/>
      <c r="G63" s="6"/>
      <c r="H63" s="6"/>
      <c r="I63" s="6"/>
    </row>
    <row r="64" spans="1:9" hidden="1" x14ac:dyDescent="0.2">
      <c r="A64" s="8" t="s">
        <v>2</v>
      </c>
      <c r="B64" s="5"/>
      <c r="C64" s="74"/>
      <c r="D64" s="6"/>
      <c r="E64" s="6"/>
      <c r="F64" s="6"/>
      <c r="G64" s="6"/>
      <c r="H64" s="6"/>
      <c r="I64" s="6"/>
    </row>
    <row r="65" spans="1:9" hidden="1" x14ac:dyDescent="0.2">
      <c r="A65" s="8" t="s">
        <v>3</v>
      </c>
      <c r="B65" s="5"/>
      <c r="C65" s="74"/>
      <c r="D65" s="6"/>
      <c r="E65" s="6"/>
      <c r="F65" s="6"/>
      <c r="G65" s="6"/>
      <c r="H65" s="6"/>
      <c r="I65" s="6"/>
    </row>
    <row r="66" spans="1:9" hidden="1" x14ac:dyDescent="0.2">
      <c r="A66" s="8" t="s">
        <v>4</v>
      </c>
      <c r="B66" s="5"/>
      <c r="C66" s="74"/>
      <c r="D66" s="6"/>
      <c r="E66" s="6"/>
      <c r="F66" s="6"/>
      <c r="G66" s="6"/>
      <c r="H66" s="6"/>
      <c r="I66" s="6"/>
    </row>
    <row r="67" spans="1:9" hidden="1" x14ac:dyDescent="0.2">
      <c r="A67" s="8" t="s">
        <v>5</v>
      </c>
      <c r="B67" s="5"/>
      <c r="C67" s="74"/>
      <c r="D67" s="6"/>
      <c r="E67" s="6"/>
      <c r="F67" s="6"/>
      <c r="G67" s="6"/>
      <c r="H67" s="6"/>
      <c r="I67" s="6"/>
    </row>
    <row r="68" spans="1:9" hidden="1" x14ac:dyDescent="0.2">
      <c r="A68" s="8" t="s">
        <v>6</v>
      </c>
      <c r="B68" s="5"/>
      <c r="C68" s="74"/>
      <c r="D68" s="6"/>
      <c r="E68" s="6"/>
      <c r="F68" s="6"/>
      <c r="G68" s="6"/>
      <c r="H68" s="6"/>
      <c r="I68" s="6"/>
    </row>
    <row r="69" spans="1:9" hidden="1" x14ac:dyDescent="0.2">
      <c r="A69" s="8" t="s">
        <v>7</v>
      </c>
      <c r="B69" s="5"/>
      <c r="C69" s="74"/>
      <c r="D69" s="6"/>
      <c r="E69" s="6"/>
      <c r="F69" s="6"/>
      <c r="G69" s="6"/>
      <c r="H69" s="6"/>
      <c r="I69" s="6"/>
    </row>
    <row r="70" spans="1:9" hidden="1" x14ac:dyDescent="0.2">
      <c r="A70" s="8" t="s">
        <v>8</v>
      </c>
      <c r="B70" s="5"/>
      <c r="C70" s="74"/>
      <c r="D70" s="6"/>
      <c r="E70" s="6"/>
      <c r="F70" s="6"/>
      <c r="G70" s="6"/>
      <c r="H70" s="6"/>
      <c r="I70" s="6"/>
    </row>
    <row r="71" spans="1:9" hidden="1" x14ac:dyDescent="0.2">
      <c r="A71" s="8" t="s">
        <v>9</v>
      </c>
      <c r="B71" s="5"/>
      <c r="C71" s="75"/>
      <c r="D71" s="6"/>
      <c r="E71" s="6"/>
      <c r="F71" s="6"/>
      <c r="G71" s="6"/>
      <c r="H71" s="6"/>
      <c r="I71" s="6"/>
    </row>
    <row r="72" spans="1:9" hidden="1" x14ac:dyDescent="0.2">
      <c r="A72" s="312" t="s">
        <v>10</v>
      </c>
      <c r="B72" s="313"/>
      <c r="C72" s="313"/>
      <c r="D72" s="313"/>
      <c r="E72" s="314"/>
      <c r="F72" s="11">
        <f>SUM(F62:F71)</f>
        <v>0</v>
      </c>
      <c r="G72" s="11">
        <f>SUM(G62:G71)</f>
        <v>0</v>
      </c>
      <c r="H72" s="11">
        <f>SUM(H62:H71)</f>
        <v>0</v>
      </c>
      <c r="I72" s="11"/>
    </row>
    <row r="73" spans="1:9" hidden="1" x14ac:dyDescent="0.2">
      <c r="A73" s="8" t="s">
        <v>0</v>
      </c>
      <c r="B73" s="5">
        <f>B62+1</f>
        <v>46113</v>
      </c>
      <c r="C73" s="74"/>
      <c r="D73" s="6"/>
      <c r="E73" s="6"/>
      <c r="F73" s="6"/>
      <c r="G73" s="6"/>
      <c r="H73" s="6"/>
      <c r="I73" s="6"/>
    </row>
    <row r="74" spans="1:9" hidden="1" x14ac:dyDescent="0.2">
      <c r="A74" s="8" t="s">
        <v>1</v>
      </c>
      <c r="B74" s="5"/>
      <c r="C74" s="74"/>
      <c r="D74" s="6"/>
      <c r="E74" s="6"/>
      <c r="F74" s="6"/>
      <c r="G74" s="6"/>
      <c r="H74" s="6"/>
      <c r="I74" s="6"/>
    </row>
    <row r="75" spans="1:9" hidden="1" x14ac:dyDescent="0.2">
      <c r="A75" s="8" t="s">
        <v>2</v>
      </c>
      <c r="B75" s="5"/>
      <c r="C75" s="74"/>
      <c r="D75" s="6"/>
      <c r="E75" s="6"/>
      <c r="F75" s="6"/>
      <c r="G75" s="6"/>
      <c r="H75" s="6"/>
      <c r="I75" s="6"/>
    </row>
    <row r="76" spans="1:9" hidden="1" x14ac:dyDescent="0.2">
      <c r="A76" s="8" t="s">
        <v>3</v>
      </c>
      <c r="B76" s="5"/>
      <c r="C76" s="74"/>
      <c r="D76" s="6"/>
      <c r="E76" s="6"/>
      <c r="F76" s="6"/>
      <c r="G76" s="6"/>
      <c r="H76" s="6"/>
      <c r="I76" s="6"/>
    </row>
    <row r="77" spans="1:9" hidden="1" x14ac:dyDescent="0.2">
      <c r="A77" s="8" t="s">
        <v>4</v>
      </c>
      <c r="B77" s="5"/>
      <c r="C77" s="74"/>
      <c r="D77" s="6"/>
      <c r="E77" s="6"/>
      <c r="F77" s="6"/>
      <c r="G77" s="6"/>
      <c r="H77" s="6"/>
      <c r="I77" s="6"/>
    </row>
    <row r="78" spans="1:9" hidden="1" x14ac:dyDescent="0.2">
      <c r="A78" s="8" t="s">
        <v>5</v>
      </c>
      <c r="B78" s="5"/>
      <c r="C78" s="74"/>
      <c r="D78" s="6"/>
      <c r="E78" s="6"/>
      <c r="F78" s="6"/>
      <c r="G78" s="6"/>
      <c r="H78" s="6"/>
      <c r="I78" s="6"/>
    </row>
    <row r="79" spans="1:9" hidden="1" x14ac:dyDescent="0.2">
      <c r="A79" s="8" t="s">
        <v>6</v>
      </c>
      <c r="B79" s="5"/>
      <c r="C79" s="74"/>
      <c r="D79" s="6"/>
      <c r="E79" s="6"/>
      <c r="F79" s="6"/>
      <c r="G79" s="6"/>
      <c r="H79" s="6"/>
      <c r="I79" s="6"/>
    </row>
    <row r="80" spans="1:9" hidden="1" x14ac:dyDescent="0.2">
      <c r="A80" s="8" t="s">
        <v>7</v>
      </c>
      <c r="B80" s="5"/>
      <c r="C80" s="74"/>
      <c r="D80" s="6"/>
      <c r="E80" s="6"/>
      <c r="F80" s="6"/>
      <c r="G80" s="6"/>
      <c r="H80" s="6"/>
      <c r="I80" s="6"/>
    </row>
    <row r="81" spans="1:9" hidden="1" x14ac:dyDescent="0.2">
      <c r="A81" s="8" t="s">
        <v>8</v>
      </c>
      <c r="B81" s="5"/>
      <c r="C81" s="74"/>
      <c r="D81" s="6"/>
      <c r="E81" s="6"/>
      <c r="F81" s="6"/>
      <c r="G81" s="6"/>
      <c r="H81" s="6"/>
      <c r="I81" s="6"/>
    </row>
    <row r="82" spans="1:9" hidden="1" x14ac:dyDescent="0.2">
      <c r="A82" s="8" t="s">
        <v>9</v>
      </c>
      <c r="B82" s="5"/>
      <c r="C82" s="74"/>
      <c r="D82" s="6"/>
      <c r="E82" s="6"/>
      <c r="F82" s="6"/>
      <c r="G82" s="6"/>
      <c r="H82" s="6"/>
      <c r="I82" s="6"/>
    </row>
    <row r="83" spans="1:9" hidden="1" x14ac:dyDescent="0.2">
      <c r="A83" s="312" t="s">
        <v>10</v>
      </c>
      <c r="B83" s="313"/>
      <c r="C83" s="313"/>
      <c r="D83" s="313"/>
      <c r="E83" s="314"/>
      <c r="F83" s="11">
        <f>SUM(F73:F82)</f>
        <v>0</v>
      </c>
      <c r="G83" s="11">
        <f>SUM(G73:G82)</f>
        <v>0</v>
      </c>
      <c r="H83" s="11">
        <f>SUM(H73:H82)</f>
        <v>0</v>
      </c>
      <c r="I83" s="11"/>
    </row>
    <row r="84" spans="1:9" s="25" customFormat="1" ht="18" x14ac:dyDescent="0.2">
      <c r="A84" s="324" t="s">
        <v>39</v>
      </c>
      <c r="B84" s="325"/>
      <c r="C84" s="325"/>
      <c r="D84" s="325"/>
      <c r="E84" s="326"/>
      <c r="F84" s="24">
        <f>F17+F28+F39+F50+F61+F72+F83</f>
        <v>10</v>
      </c>
      <c r="G84" s="24">
        <f>G17+G28+G39+G50+G61+G72+G83</f>
        <v>2</v>
      </c>
      <c r="H84" s="24">
        <f>H17+H28+H39+H50+H61+H72+H83</f>
        <v>53</v>
      </c>
      <c r="I84" s="24"/>
    </row>
    <row r="85" spans="1:9" ht="21.95" customHeight="1" x14ac:dyDescent="0.2">
      <c r="A85" s="319" t="s">
        <v>14</v>
      </c>
      <c r="B85" s="319"/>
      <c r="C85" s="319"/>
      <c r="D85" s="319"/>
      <c r="E85" s="319"/>
      <c r="F85" s="319"/>
      <c r="G85" s="319"/>
      <c r="H85" s="319"/>
      <c r="I85" s="319"/>
    </row>
    <row r="86" spans="1:9" s="53" customFormat="1" ht="20.100000000000001" customHeight="1" x14ac:dyDescent="0.2">
      <c r="A86" s="323" t="s">
        <v>86</v>
      </c>
      <c r="B86" s="323"/>
      <c r="C86" s="323"/>
      <c r="D86" s="323"/>
      <c r="E86" s="323"/>
      <c r="F86" s="50" t="str">
        <f>F2</f>
        <v>เมษายน</v>
      </c>
      <c r="G86" s="50" t="s">
        <v>87</v>
      </c>
      <c r="H86" s="51">
        <f>H2</f>
        <v>2569</v>
      </c>
      <c r="I86" s="52"/>
    </row>
    <row r="87" spans="1:9" s="3" customFormat="1" ht="20.100000000000001" customHeight="1" x14ac:dyDescent="0.35">
      <c r="A87" s="318" t="s">
        <v>38</v>
      </c>
      <c r="B87" s="318"/>
      <c r="C87" s="318"/>
      <c r="D87" s="2"/>
      <c r="F87" s="4"/>
      <c r="G87" s="4"/>
      <c r="H87" s="4" t="s">
        <v>21</v>
      </c>
      <c r="I87" s="40">
        <f>I3+1</f>
        <v>2</v>
      </c>
    </row>
    <row r="88" spans="1:9" s="3" customFormat="1" ht="20.100000000000001" customHeight="1" x14ac:dyDescent="0.35">
      <c r="A88" s="311" t="s">
        <v>68</v>
      </c>
      <c r="B88" s="311"/>
      <c r="C88" s="311"/>
      <c r="D88" s="2"/>
      <c r="E88" s="39" t="s">
        <v>81</v>
      </c>
      <c r="F88" s="308">
        <f>F4</f>
        <v>46107</v>
      </c>
      <c r="G88" s="308"/>
      <c r="H88" s="39" t="s">
        <v>82</v>
      </c>
      <c r="I88" s="34">
        <f>I4</f>
        <v>46136</v>
      </c>
    </row>
    <row r="89" spans="1:9" x14ac:dyDescent="0.2">
      <c r="A89" s="12" t="s">
        <v>23</v>
      </c>
      <c r="B89" s="13" t="s">
        <v>11</v>
      </c>
      <c r="C89" s="72" t="s">
        <v>26</v>
      </c>
      <c r="D89" s="12" t="s">
        <v>16</v>
      </c>
      <c r="E89" s="12" t="s">
        <v>17</v>
      </c>
      <c r="F89" s="310" t="s">
        <v>46</v>
      </c>
      <c r="G89" s="310"/>
      <c r="H89" s="310"/>
      <c r="I89" s="12" t="s">
        <v>19</v>
      </c>
    </row>
    <row r="90" spans="1:9" x14ac:dyDescent="0.2">
      <c r="A90" s="15"/>
      <c r="B90" s="16"/>
      <c r="C90" s="73"/>
      <c r="D90" s="15"/>
      <c r="E90" s="15"/>
      <c r="F90" s="21" t="s">
        <v>113</v>
      </c>
      <c r="G90" s="21" t="s">
        <v>114</v>
      </c>
      <c r="H90" s="21" t="s">
        <v>20</v>
      </c>
      <c r="I90" s="15"/>
    </row>
    <row r="91" spans="1:9" x14ac:dyDescent="0.2">
      <c r="A91" s="8" t="s">
        <v>0</v>
      </c>
      <c r="B91" s="5">
        <f>B73+1</f>
        <v>46114</v>
      </c>
      <c r="C91" s="74" t="s">
        <v>711</v>
      </c>
      <c r="D91" s="6" t="s">
        <v>712</v>
      </c>
      <c r="E91" s="6" t="s">
        <v>165</v>
      </c>
      <c r="F91" s="6">
        <v>1</v>
      </c>
      <c r="G91" s="6"/>
      <c r="H91" s="6">
        <v>2</v>
      </c>
      <c r="I91" s="6"/>
    </row>
    <row r="92" spans="1:9" x14ac:dyDescent="0.2">
      <c r="A92" s="8" t="s">
        <v>1</v>
      </c>
      <c r="B92" s="5"/>
      <c r="C92" s="74" t="s">
        <v>695</v>
      </c>
      <c r="D92" s="6" t="s">
        <v>713</v>
      </c>
      <c r="E92" s="6" t="s">
        <v>165</v>
      </c>
      <c r="F92" s="6">
        <v>1</v>
      </c>
      <c r="G92" s="6"/>
      <c r="H92" s="6">
        <v>2</v>
      </c>
      <c r="I92" s="6"/>
    </row>
    <row r="93" spans="1:9" hidden="1" x14ac:dyDescent="0.2">
      <c r="A93" s="8" t="s">
        <v>2</v>
      </c>
      <c r="B93" s="5"/>
      <c r="C93" s="74"/>
      <c r="D93" s="6"/>
      <c r="E93" s="6"/>
      <c r="F93" s="6"/>
      <c r="G93" s="6"/>
      <c r="H93" s="6"/>
      <c r="I93" s="6"/>
    </row>
    <row r="94" spans="1:9" hidden="1" x14ac:dyDescent="0.2">
      <c r="A94" s="8" t="s">
        <v>3</v>
      </c>
      <c r="B94" s="5"/>
      <c r="C94" s="74"/>
      <c r="D94" s="6"/>
      <c r="E94" s="6"/>
      <c r="F94" s="6"/>
      <c r="G94" s="6"/>
      <c r="H94" s="6"/>
      <c r="I94" s="6"/>
    </row>
    <row r="95" spans="1:9" hidden="1" x14ac:dyDescent="0.2">
      <c r="A95" s="8" t="s">
        <v>4</v>
      </c>
      <c r="B95" s="5"/>
      <c r="C95" s="74"/>
      <c r="D95" s="6"/>
      <c r="E95" s="6"/>
      <c r="F95" s="6"/>
      <c r="G95" s="6"/>
      <c r="H95" s="6"/>
      <c r="I95" s="6"/>
    </row>
    <row r="96" spans="1:9" hidden="1" x14ac:dyDescent="0.2">
      <c r="A96" s="8" t="s">
        <v>5</v>
      </c>
      <c r="B96" s="5"/>
      <c r="C96" s="74"/>
      <c r="D96" s="6"/>
      <c r="E96" s="6"/>
      <c r="F96" s="6"/>
      <c r="G96" s="6"/>
      <c r="H96" s="6"/>
      <c r="I96" s="6"/>
    </row>
    <row r="97" spans="1:9" hidden="1" x14ac:dyDescent="0.2">
      <c r="A97" s="8" t="s">
        <v>6</v>
      </c>
      <c r="B97" s="5"/>
      <c r="C97" s="74"/>
      <c r="D97" s="6"/>
      <c r="E97" s="6"/>
      <c r="F97" s="6"/>
      <c r="G97" s="6"/>
      <c r="H97" s="6"/>
      <c r="I97" s="6"/>
    </row>
    <row r="98" spans="1:9" hidden="1" x14ac:dyDescent="0.2">
      <c r="A98" s="8" t="s">
        <v>7</v>
      </c>
      <c r="B98" s="5"/>
      <c r="C98" s="74"/>
      <c r="D98" s="6"/>
      <c r="E98" s="6"/>
      <c r="F98" s="6"/>
      <c r="G98" s="6"/>
      <c r="H98" s="6"/>
      <c r="I98" s="6"/>
    </row>
    <row r="99" spans="1:9" hidden="1" x14ac:dyDescent="0.2">
      <c r="A99" s="8" t="s">
        <v>8</v>
      </c>
      <c r="B99" s="5"/>
      <c r="C99" s="74"/>
      <c r="D99" s="6"/>
      <c r="E99" s="6"/>
      <c r="F99" s="6"/>
      <c r="G99" s="6"/>
      <c r="H99" s="6"/>
      <c r="I99" s="6"/>
    </row>
    <row r="100" spans="1:9" hidden="1" x14ac:dyDescent="0.2">
      <c r="A100" s="8" t="s">
        <v>9</v>
      </c>
      <c r="B100" s="5"/>
      <c r="C100" s="74"/>
      <c r="D100" s="6"/>
      <c r="E100" s="6"/>
      <c r="F100" s="6"/>
      <c r="G100" s="6"/>
      <c r="H100" s="6"/>
      <c r="I100" s="6"/>
    </row>
    <row r="101" spans="1:9" x14ac:dyDescent="0.2">
      <c r="A101" s="312" t="s">
        <v>10</v>
      </c>
      <c r="B101" s="313"/>
      <c r="C101" s="313"/>
      <c r="D101" s="313"/>
      <c r="E101" s="314"/>
      <c r="F101" s="11">
        <f>SUM(F91:F100)</f>
        <v>2</v>
      </c>
      <c r="G101" s="11">
        <f>SUM(G91:G100)</f>
        <v>0</v>
      </c>
      <c r="H101" s="11">
        <f>SUM(H91:H100)</f>
        <v>4</v>
      </c>
      <c r="I101" s="11"/>
    </row>
    <row r="102" spans="1:9" hidden="1" x14ac:dyDescent="0.2">
      <c r="A102" s="8" t="s">
        <v>0</v>
      </c>
      <c r="B102" s="5">
        <f>B91+1</f>
        <v>46115</v>
      </c>
      <c r="C102" s="74"/>
      <c r="D102" s="6"/>
      <c r="E102" s="6"/>
      <c r="F102" s="6"/>
      <c r="G102" s="6"/>
      <c r="H102" s="6"/>
      <c r="I102" s="6"/>
    </row>
    <row r="103" spans="1:9" hidden="1" x14ac:dyDescent="0.2">
      <c r="A103" s="8" t="s">
        <v>1</v>
      </c>
      <c r="B103" s="5"/>
      <c r="C103" s="74"/>
      <c r="D103" s="6"/>
      <c r="E103" s="6"/>
      <c r="F103" s="6"/>
      <c r="G103" s="6"/>
      <c r="H103" s="6"/>
      <c r="I103" s="6"/>
    </row>
    <row r="104" spans="1:9" hidden="1" x14ac:dyDescent="0.2">
      <c r="A104" s="8" t="s">
        <v>2</v>
      </c>
      <c r="B104" s="5"/>
      <c r="C104" s="74"/>
      <c r="D104" s="6"/>
      <c r="E104" s="6"/>
      <c r="F104" s="6"/>
      <c r="G104" s="6"/>
      <c r="H104" s="6"/>
      <c r="I104" s="6"/>
    </row>
    <row r="105" spans="1:9" hidden="1" x14ac:dyDescent="0.2">
      <c r="A105" s="8" t="s">
        <v>3</v>
      </c>
      <c r="B105" s="5"/>
      <c r="C105" s="74"/>
      <c r="D105" s="6"/>
      <c r="E105" s="6"/>
      <c r="F105" s="6"/>
      <c r="G105" s="6"/>
      <c r="H105" s="6"/>
      <c r="I105" s="6"/>
    </row>
    <row r="106" spans="1:9" hidden="1" x14ac:dyDescent="0.2">
      <c r="A106" s="8" t="s">
        <v>4</v>
      </c>
      <c r="B106" s="5"/>
      <c r="C106" s="74"/>
      <c r="D106" s="6"/>
      <c r="E106" s="6"/>
      <c r="F106" s="6"/>
      <c r="G106" s="6"/>
      <c r="H106" s="6"/>
      <c r="I106" s="6"/>
    </row>
    <row r="107" spans="1:9" hidden="1" x14ac:dyDescent="0.2">
      <c r="A107" s="8" t="s">
        <v>5</v>
      </c>
      <c r="B107" s="5"/>
      <c r="C107" s="74"/>
      <c r="D107" s="6"/>
      <c r="E107" s="6"/>
      <c r="F107" s="6"/>
      <c r="G107" s="6"/>
      <c r="H107" s="6"/>
      <c r="I107" s="6"/>
    </row>
    <row r="108" spans="1:9" hidden="1" x14ac:dyDescent="0.2">
      <c r="A108" s="8" t="s">
        <v>6</v>
      </c>
      <c r="B108" s="5"/>
      <c r="C108" s="74"/>
      <c r="D108" s="6"/>
      <c r="E108" s="6"/>
      <c r="F108" s="6"/>
      <c r="G108" s="6"/>
      <c r="H108" s="6"/>
      <c r="I108" s="6"/>
    </row>
    <row r="109" spans="1:9" hidden="1" x14ac:dyDescent="0.2">
      <c r="A109" s="8" t="s">
        <v>7</v>
      </c>
      <c r="B109" s="5"/>
      <c r="C109" s="74"/>
      <c r="D109" s="6"/>
      <c r="E109" s="6"/>
      <c r="F109" s="6"/>
      <c r="G109" s="6"/>
      <c r="H109" s="6"/>
      <c r="I109" s="6"/>
    </row>
    <row r="110" spans="1:9" hidden="1" x14ac:dyDescent="0.2">
      <c r="A110" s="8" t="s">
        <v>8</v>
      </c>
      <c r="B110" s="5"/>
      <c r="C110" s="74"/>
      <c r="D110" s="6"/>
      <c r="E110" s="6"/>
      <c r="F110" s="6"/>
      <c r="G110" s="6"/>
      <c r="H110" s="6"/>
      <c r="I110" s="6"/>
    </row>
    <row r="111" spans="1:9" hidden="1" x14ac:dyDescent="0.2">
      <c r="A111" s="8" t="s">
        <v>9</v>
      </c>
      <c r="B111" s="5"/>
      <c r="C111" s="74"/>
      <c r="D111" s="6"/>
      <c r="E111" s="6"/>
      <c r="F111" s="6"/>
      <c r="G111" s="6"/>
      <c r="H111" s="6"/>
      <c r="I111" s="6"/>
    </row>
    <row r="112" spans="1:9" hidden="1" x14ac:dyDescent="0.2">
      <c r="A112" s="312" t="s">
        <v>10</v>
      </c>
      <c r="B112" s="313"/>
      <c r="C112" s="313"/>
      <c r="D112" s="313"/>
      <c r="E112" s="314"/>
      <c r="F112" s="11">
        <f>SUM(F102:F111)</f>
        <v>0</v>
      </c>
      <c r="G112" s="11">
        <f>SUM(G102:G111)</f>
        <v>0</v>
      </c>
      <c r="H112" s="11">
        <f>SUM(H102:H111)</f>
        <v>0</v>
      </c>
      <c r="I112" s="11"/>
    </row>
    <row r="113" spans="1:9" hidden="1" x14ac:dyDescent="0.2">
      <c r="A113" s="8" t="s">
        <v>0</v>
      </c>
      <c r="B113" s="5">
        <f>B102+1</f>
        <v>46116</v>
      </c>
      <c r="C113" s="74"/>
      <c r="D113" s="6"/>
      <c r="E113" s="6"/>
      <c r="F113" s="6"/>
      <c r="G113" s="6"/>
      <c r="H113" s="6"/>
      <c r="I113" s="6"/>
    </row>
    <row r="114" spans="1:9" hidden="1" x14ac:dyDescent="0.2">
      <c r="A114" s="8" t="s">
        <v>1</v>
      </c>
      <c r="B114" s="5"/>
      <c r="C114" s="74"/>
      <c r="D114" s="6"/>
      <c r="E114" s="6"/>
      <c r="F114" s="6"/>
      <c r="G114" s="6"/>
      <c r="H114" s="6"/>
      <c r="I114" s="6"/>
    </row>
    <row r="115" spans="1:9" hidden="1" x14ac:dyDescent="0.2">
      <c r="A115" s="8" t="s">
        <v>2</v>
      </c>
      <c r="B115" s="5"/>
      <c r="C115" s="74"/>
      <c r="D115" s="6"/>
      <c r="E115" s="6"/>
      <c r="F115" s="6"/>
      <c r="G115" s="6"/>
      <c r="H115" s="6"/>
      <c r="I115" s="6"/>
    </row>
    <row r="116" spans="1:9" hidden="1" x14ac:dyDescent="0.2">
      <c r="A116" s="8" t="s">
        <v>3</v>
      </c>
      <c r="B116" s="5"/>
      <c r="C116" s="74"/>
      <c r="D116" s="6"/>
      <c r="E116" s="6"/>
      <c r="F116" s="6"/>
      <c r="G116" s="6"/>
      <c r="H116" s="6"/>
      <c r="I116" s="6"/>
    </row>
    <row r="117" spans="1:9" hidden="1" x14ac:dyDescent="0.2">
      <c r="A117" s="8" t="s">
        <v>4</v>
      </c>
      <c r="B117" s="5"/>
      <c r="C117" s="74"/>
      <c r="D117" s="6"/>
      <c r="E117" s="6"/>
      <c r="F117" s="6"/>
      <c r="G117" s="6"/>
      <c r="H117" s="6"/>
      <c r="I117" s="6"/>
    </row>
    <row r="118" spans="1:9" hidden="1" x14ac:dyDescent="0.2">
      <c r="A118" s="8" t="s">
        <v>5</v>
      </c>
      <c r="B118" s="5"/>
      <c r="C118" s="74"/>
      <c r="D118" s="6"/>
      <c r="E118" s="6"/>
      <c r="F118" s="6"/>
      <c r="G118" s="6"/>
      <c r="H118" s="6"/>
      <c r="I118" s="6"/>
    </row>
    <row r="119" spans="1:9" hidden="1" x14ac:dyDescent="0.2">
      <c r="A119" s="8" t="s">
        <v>6</v>
      </c>
      <c r="B119" s="5"/>
      <c r="C119" s="74"/>
      <c r="D119" s="6"/>
      <c r="E119" s="6"/>
      <c r="F119" s="6"/>
      <c r="G119" s="6"/>
      <c r="H119" s="6"/>
      <c r="I119" s="6"/>
    </row>
    <row r="120" spans="1:9" hidden="1" x14ac:dyDescent="0.2">
      <c r="A120" s="8" t="s">
        <v>7</v>
      </c>
      <c r="B120" s="5"/>
      <c r="C120" s="74"/>
      <c r="D120" s="6"/>
      <c r="E120" s="6"/>
      <c r="F120" s="6"/>
      <c r="G120" s="6"/>
      <c r="H120" s="6"/>
      <c r="I120" s="6"/>
    </row>
    <row r="121" spans="1:9" hidden="1" x14ac:dyDescent="0.2">
      <c r="A121" s="8" t="s">
        <v>8</v>
      </c>
      <c r="B121" s="5"/>
      <c r="C121" s="74"/>
      <c r="D121" s="6"/>
      <c r="E121" s="6"/>
      <c r="F121" s="6"/>
      <c r="G121" s="6"/>
      <c r="H121" s="6"/>
      <c r="I121" s="6"/>
    </row>
    <row r="122" spans="1:9" hidden="1" x14ac:dyDescent="0.2">
      <c r="A122" s="8" t="s">
        <v>9</v>
      </c>
      <c r="B122" s="5"/>
      <c r="C122" s="74"/>
      <c r="D122" s="6"/>
      <c r="E122" s="6"/>
      <c r="F122" s="6"/>
      <c r="G122" s="6"/>
      <c r="H122" s="6"/>
      <c r="I122" s="6"/>
    </row>
    <row r="123" spans="1:9" hidden="1" x14ac:dyDescent="0.2">
      <c r="A123" s="312" t="s">
        <v>10</v>
      </c>
      <c r="B123" s="313"/>
      <c r="C123" s="313"/>
      <c r="D123" s="313"/>
      <c r="E123" s="314"/>
      <c r="F123" s="11">
        <f>SUM(F113:F122)</f>
        <v>0</v>
      </c>
      <c r="G123" s="11">
        <f>SUM(G113:G122)</f>
        <v>0</v>
      </c>
      <c r="H123" s="11">
        <f>SUM(H113:H122)</f>
        <v>0</v>
      </c>
      <c r="I123" s="11"/>
    </row>
    <row r="124" spans="1:9" x14ac:dyDescent="0.2">
      <c r="A124" s="8" t="s">
        <v>0</v>
      </c>
      <c r="B124" s="5">
        <f>B113+1</f>
        <v>46117</v>
      </c>
      <c r="C124" s="75" t="s">
        <v>917</v>
      </c>
      <c r="D124" s="6" t="s">
        <v>170</v>
      </c>
      <c r="E124" s="6" t="s">
        <v>171</v>
      </c>
      <c r="F124" s="6">
        <v>1</v>
      </c>
      <c r="G124" s="6"/>
      <c r="H124" s="6">
        <v>6</v>
      </c>
      <c r="I124" s="6"/>
    </row>
    <row r="125" spans="1:9" x14ac:dyDescent="0.2">
      <c r="A125" s="8" t="s">
        <v>1</v>
      </c>
      <c r="B125" s="5"/>
      <c r="C125" s="75" t="s">
        <v>918</v>
      </c>
      <c r="D125" s="6" t="s">
        <v>170</v>
      </c>
      <c r="E125" s="6" t="s">
        <v>171</v>
      </c>
      <c r="F125" s="6">
        <v>1</v>
      </c>
      <c r="G125" s="6"/>
      <c r="H125" s="6">
        <v>6</v>
      </c>
      <c r="I125" s="6"/>
    </row>
    <row r="126" spans="1:9" x14ac:dyDescent="0.2">
      <c r="A126" s="8" t="s">
        <v>2</v>
      </c>
      <c r="B126" s="5"/>
      <c r="C126" s="75" t="s">
        <v>919</v>
      </c>
      <c r="D126" s="6" t="s">
        <v>170</v>
      </c>
      <c r="E126" s="6" t="s">
        <v>171</v>
      </c>
      <c r="F126" s="6">
        <v>1</v>
      </c>
      <c r="G126" s="6"/>
      <c r="H126" s="6">
        <v>6</v>
      </c>
      <c r="I126" s="6"/>
    </row>
    <row r="127" spans="1:9" x14ac:dyDescent="0.2">
      <c r="A127" s="8" t="s">
        <v>3</v>
      </c>
      <c r="B127" s="5"/>
      <c r="C127" s="75" t="s">
        <v>920</v>
      </c>
      <c r="D127" s="6" t="s">
        <v>170</v>
      </c>
      <c r="E127" s="6" t="s">
        <v>171</v>
      </c>
      <c r="F127" s="6"/>
      <c r="G127" s="6">
        <v>1</v>
      </c>
      <c r="H127" s="6">
        <v>6</v>
      </c>
      <c r="I127" s="6"/>
    </row>
    <row r="128" spans="1:9" hidden="1" x14ac:dyDescent="0.2">
      <c r="A128" s="8" t="s">
        <v>4</v>
      </c>
      <c r="B128" s="5"/>
      <c r="C128" s="75"/>
      <c r="D128" s="6"/>
      <c r="E128" s="6"/>
      <c r="F128" s="6"/>
      <c r="G128" s="6"/>
      <c r="H128" s="6"/>
      <c r="I128" s="6"/>
    </row>
    <row r="129" spans="1:9" hidden="1" x14ac:dyDescent="0.2">
      <c r="A129" s="8" t="s">
        <v>5</v>
      </c>
      <c r="B129" s="5"/>
      <c r="C129" s="74"/>
      <c r="D129" s="6"/>
      <c r="E129" s="6"/>
      <c r="F129" s="6"/>
      <c r="G129" s="6"/>
      <c r="H129" s="6"/>
      <c r="I129" s="6"/>
    </row>
    <row r="130" spans="1:9" hidden="1" x14ac:dyDescent="0.2">
      <c r="A130" s="8" t="s">
        <v>6</v>
      </c>
      <c r="B130" s="5"/>
      <c r="C130" s="74"/>
      <c r="D130" s="6"/>
      <c r="E130" s="6"/>
      <c r="F130" s="6"/>
      <c r="G130" s="6"/>
      <c r="H130" s="6"/>
      <c r="I130" s="6"/>
    </row>
    <row r="131" spans="1:9" hidden="1" x14ac:dyDescent="0.2">
      <c r="A131" s="8" t="s">
        <v>7</v>
      </c>
      <c r="B131" s="5"/>
      <c r="C131" s="74"/>
      <c r="D131" s="6"/>
      <c r="E131" s="6"/>
      <c r="F131" s="6"/>
      <c r="G131" s="6"/>
      <c r="H131" s="6"/>
      <c r="I131" s="6"/>
    </row>
    <row r="132" spans="1:9" hidden="1" x14ac:dyDescent="0.2">
      <c r="A132" s="8" t="s">
        <v>8</v>
      </c>
      <c r="B132" s="5"/>
      <c r="C132" s="74"/>
      <c r="D132" s="6"/>
      <c r="E132" s="6"/>
      <c r="F132" s="6"/>
      <c r="G132" s="6"/>
      <c r="H132" s="6"/>
      <c r="I132" s="6"/>
    </row>
    <row r="133" spans="1:9" hidden="1" x14ac:dyDescent="0.2">
      <c r="A133" s="8" t="s">
        <v>9</v>
      </c>
      <c r="B133" s="5"/>
      <c r="C133" s="74"/>
      <c r="D133" s="6"/>
      <c r="E133" s="6"/>
      <c r="F133" s="6"/>
      <c r="G133" s="6"/>
      <c r="H133" s="6"/>
      <c r="I133" s="6"/>
    </row>
    <row r="134" spans="1:9" x14ac:dyDescent="0.2">
      <c r="A134" s="312" t="s">
        <v>10</v>
      </c>
      <c r="B134" s="313"/>
      <c r="C134" s="313"/>
      <c r="D134" s="313"/>
      <c r="E134" s="314"/>
      <c r="F134" s="11">
        <f>SUM(F124:F133)</f>
        <v>3</v>
      </c>
      <c r="G134" s="11">
        <f>SUM(G124:G133)</f>
        <v>1</v>
      </c>
      <c r="H134" s="11">
        <f>SUM(H124:H133)</f>
        <v>24</v>
      </c>
      <c r="I134" s="11"/>
    </row>
    <row r="135" spans="1:9" x14ac:dyDescent="0.2">
      <c r="A135" s="8" t="s">
        <v>0</v>
      </c>
      <c r="B135" s="5">
        <f>B124+1</f>
        <v>46118</v>
      </c>
      <c r="C135" s="75" t="s">
        <v>999</v>
      </c>
      <c r="D135" s="6" t="s">
        <v>242</v>
      </c>
      <c r="E135" s="6" t="s">
        <v>171</v>
      </c>
      <c r="F135" s="6">
        <v>1</v>
      </c>
      <c r="G135" s="6"/>
      <c r="H135" s="6">
        <v>5.5</v>
      </c>
      <c r="I135" s="6"/>
    </row>
    <row r="136" spans="1:9" x14ac:dyDescent="0.2">
      <c r="A136" s="8" t="s">
        <v>1</v>
      </c>
      <c r="B136" s="5"/>
      <c r="C136" s="75" t="s">
        <v>1000</v>
      </c>
      <c r="D136" s="6" t="s">
        <v>347</v>
      </c>
      <c r="E136" s="6" t="s">
        <v>441</v>
      </c>
      <c r="F136" s="6">
        <v>1</v>
      </c>
      <c r="G136" s="6"/>
      <c r="H136" s="6">
        <v>5</v>
      </c>
      <c r="I136" s="6"/>
    </row>
    <row r="137" spans="1:9" hidden="1" x14ac:dyDescent="0.2">
      <c r="A137" s="8" t="s">
        <v>2</v>
      </c>
      <c r="B137" s="5"/>
      <c r="C137" s="75"/>
      <c r="D137" s="6"/>
      <c r="E137" s="6"/>
      <c r="F137" s="6"/>
      <c r="G137" s="6"/>
      <c r="H137" s="6"/>
      <c r="I137" s="6"/>
    </row>
    <row r="138" spans="1:9" hidden="1" x14ac:dyDescent="0.2">
      <c r="A138" s="8" t="s">
        <v>3</v>
      </c>
      <c r="B138" s="5"/>
      <c r="C138" s="75"/>
      <c r="D138" s="6"/>
      <c r="E138" s="6"/>
      <c r="F138" s="6"/>
      <c r="G138" s="6"/>
      <c r="H138" s="6"/>
      <c r="I138" s="6"/>
    </row>
    <row r="139" spans="1:9" hidden="1" x14ac:dyDescent="0.2">
      <c r="A139" s="8" t="s">
        <v>4</v>
      </c>
      <c r="B139" s="5"/>
      <c r="C139" s="75"/>
      <c r="D139" s="6"/>
      <c r="E139" s="6"/>
      <c r="F139" s="6"/>
      <c r="G139" s="6"/>
      <c r="H139" s="6"/>
      <c r="I139" s="6"/>
    </row>
    <row r="140" spans="1:9" hidden="1" x14ac:dyDescent="0.2">
      <c r="A140" s="8" t="s">
        <v>5</v>
      </c>
      <c r="B140" s="5"/>
      <c r="C140" s="75"/>
      <c r="D140" s="6"/>
      <c r="E140" s="6"/>
      <c r="F140" s="6"/>
      <c r="G140" s="6"/>
      <c r="H140" s="6"/>
      <c r="I140" s="6"/>
    </row>
    <row r="141" spans="1:9" hidden="1" x14ac:dyDescent="0.2">
      <c r="A141" s="8" t="s">
        <v>6</v>
      </c>
      <c r="B141" s="5"/>
      <c r="C141" s="74"/>
      <c r="D141" s="6"/>
      <c r="E141" s="6"/>
      <c r="F141" s="6"/>
      <c r="G141" s="6"/>
      <c r="H141" s="6"/>
      <c r="I141" s="6"/>
    </row>
    <row r="142" spans="1:9" hidden="1" x14ac:dyDescent="0.2">
      <c r="A142" s="8" t="s">
        <v>7</v>
      </c>
      <c r="B142" s="5"/>
      <c r="C142" s="74"/>
      <c r="D142" s="6"/>
      <c r="E142" s="6"/>
      <c r="F142" s="6"/>
      <c r="G142" s="6"/>
      <c r="H142" s="6"/>
      <c r="I142" s="6"/>
    </row>
    <row r="143" spans="1:9" hidden="1" x14ac:dyDescent="0.2">
      <c r="A143" s="8" t="s">
        <v>8</v>
      </c>
      <c r="B143" s="5"/>
      <c r="C143" s="74"/>
      <c r="D143" s="6"/>
      <c r="E143" s="6"/>
      <c r="F143" s="6"/>
      <c r="G143" s="6"/>
      <c r="H143" s="6"/>
      <c r="I143" s="6"/>
    </row>
    <row r="144" spans="1:9" hidden="1" x14ac:dyDescent="0.2">
      <c r="A144" s="8" t="s">
        <v>9</v>
      </c>
      <c r="B144" s="5"/>
      <c r="C144" s="74"/>
      <c r="D144" s="6"/>
      <c r="E144" s="6"/>
      <c r="F144" s="6"/>
      <c r="G144" s="6"/>
      <c r="H144" s="6"/>
      <c r="I144" s="6"/>
    </row>
    <row r="145" spans="1:9" x14ac:dyDescent="0.2">
      <c r="A145" s="312" t="s">
        <v>10</v>
      </c>
      <c r="B145" s="313"/>
      <c r="C145" s="313"/>
      <c r="D145" s="313"/>
      <c r="E145" s="314"/>
      <c r="F145" s="11">
        <f>SUM(F135:F144)</f>
        <v>2</v>
      </c>
      <c r="G145" s="11">
        <f>SUM(G135:G144)</f>
        <v>0</v>
      </c>
      <c r="H145" s="11">
        <f>SUM(H135:H144)</f>
        <v>10.5</v>
      </c>
      <c r="I145" s="11"/>
    </row>
    <row r="146" spans="1:9" hidden="1" x14ac:dyDescent="0.2">
      <c r="A146" s="8" t="s">
        <v>0</v>
      </c>
      <c r="B146" s="5">
        <f>B135+1</f>
        <v>46119</v>
      </c>
      <c r="C146" s="74"/>
      <c r="D146" s="6"/>
      <c r="E146" s="6"/>
      <c r="F146" s="6"/>
      <c r="G146" s="6"/>
      <c r="H146" s="6"/>
      <c r="I146" s="6"/>
    </row>
    <row r="147" spans="1:9" hidden="1" x14ac:dyDescent="0.2">
      <c r="A147" s="8" t="s">
        <v>1</v>
      </c>
      <c r="B147" s="5"/>
      <c r="C147" s="74"/>
      <c r="D147" s="6"/>
      <c r="E147" s="6"/>
      <c r="F147" s="6"/>
      <c r="G147" s="6"/>
      <c r="H147" s="6"/>
      <c r="I147" s="6"/>
    </row>
    <row r="148" spans="1:9" hidden="1" x14ac:dyDescent="0.2">
      <c r="A148" s="8" t="s">
        <v>2</v>
      </c>
      <c r="B148" s="5"/>
      <c r="C148" s="74"/>
      <c r="D148" s="6"/>
      <c r="E148" s="6"/>
      <c r="F148" s="6"/>
      <c r="G148" s="6"/>
      <c r="H148" s="6"/>
      <c r="I148" s="6"/>
    </row>
    <row r="149" spans="1:9" hidden="1" x14ac:dyDescent="0.2">
      <c r="A149" s="8" t="s">
        <v>3</v>
      </c>
      <c r="B149" s="5"/>
      <c r="C149" s="74"/>
      <c r="D149" s="6"/>
      <c r="E149" s="6"/>
      <c r="F149" s="6"/>
      <c r="G149" s="6"/>
      <c r="H149" s="6"/>
      <c r="I149" s="6"/>
    </row>
    <row r="150" spans="1:9" hidden="1" x14ac:dyDescent="0.2">
      <c r="A150" s="8" t="s">
        <v>4</v>
      </c>
      <c r="B150" s="5"/>
      <c r="C150" s="74"/>
      <c r="D150" s="6"/>
      <c r="E150" s="6"/>
      <c r="F150" s="6"/>
      <c r="G150" s="6"/>
      <c r="H150" s="6"/>
      <c r="I150" s="6"/>
    </row>
    <row r="151" spans="1:9" hidden="1" x14ac:dyDescent="0.2">
      <c r="A151" s="8" t="s">
        <v>5</v>
      </c>
      <c r="B151" s="5"/>
      <c r="C151" s="74"/>
      <c r="D151" s="6"/>
      <c r="E151" s="6"/>
      <c r="F151" s="6"/>
      <c r="G151" s="6"/>
      <c r="H151" s="6"/>
      <c r="I151" s="6"/>
    </row>
    <row r="152" spans="1:9" hidden="1" x14ac:dyDescent="0.2">
      <c r="A152" s="8" t="s">
        <v>6</v>
      </c>
      <c r="B152" s="5"/>
      <c r="C152" s="74"/>
      <c r="D152" s="6"/>
      <c r="E152" s="6"/>
      <c r="F152" s="6"/>
      <c r="G152" s="6"/>
      <c r="H152" s="6"/>
      <c r="I152" s="6"/>
    </row>
    <row r="153" spans="1:9" hidden="1" x14ac:dyDescent="0.2">
      <c r="A153" s="8" t="s">
        <v>7</v>
      </c>
      <c r="B153" s="5"/>
      <c r="C153" s="74"/>
      <c r="D153" s="6"/>
      <c r="E153" s="6"/>
      <c r="F153" s="6"/>
      <c r="G153" s="6"/>
      <c r="H153" s="6"/>
      <c r="I153" s="6"/>
    </row>
    <row r="154" spans="1:9" hidden="1" x14ac:dyDescent="0.2">
      <c r="A154" s="8" t="s">
        <v>8</v>
      </c>
      <c r="B154" s="5"/>
      <c r="C154" s="74"/>
      <c r="D154" s="6"/>
      <c r="E154" s="6"/>
      <c r="F154" s="6"/>
      <c r="G154" s="6"/>
      <c r="H154" s="6"/>
      <c r="I154" s="6"/>
    </row>
    <row r="155" spans="1:9" hidden="1" x14ac:dyDescent="0.2">
      <c r="A155" s="8" t="s">
        <v>9</v>
      </c>
      <c r="B155" s="5"/>
      <c r="C155" s="75"/>
      <c r="D155" s="6"/>
      <c r="E155" s="6"/>
      <c r="F155" s="6"/>
      <c r="G155" s="6"/>
      <c r="H155" s="6"/>
      <c r="I155" s="6"/>
    </row>
    <row r="156" spans="1:9" hidden="1" x14ac:dyDescent="0.2">
      <c r="A156" s="312" t="s">
        <v>10</v>
      </c>
      <c r="B156" s="313"/>
      <c r="C156" s="313"/>
      <c r="D156" s="313"/>
      <c r="E156" s="314"/>
      <c r="F156" s="11">
        <f>SUM(F146:F155)</f>
        <v>0</v>
      </c>
      <c r="G156" s="11">
        <f>SUM(G146:G155)</f>
        <v>0</v>
      </c>
      <c r="H156" s="11">
        <f>SUM(H146:H155)</f>
        <v>0</v>
      </c>
      <c r="I156" s="11"/>
    </row>
    <row r="157" spans="1:9" x14ac:dyDescent="0.2">
      <c r="A157" s="8" t="s">
        <v>0</v>
      </c>
      <c r="B157" s="5">
        <f>B146+1</f>
        <v>46120</v>
      </c>
      <c r="C157" s="74" t="s">
        <v>1116</v>
      </c>
      <c r="D157" s="6" t="s">
        <v>170</v>
      </c>
      <c r="E157" s="6" t="s">
        <v>165</v>
      </c>
      <c r="F157" s="6">
        <v>1</v>
      </c>
      <c r="G157" s="6"/>
      <c r="H157" s="6">
        <v>6</v>
      </c>
      <c r="I157" s="6"/>
    </row>
    <row r="158" spans="1:9" x14ac:dyDescent="0.2">
      <c r="A158" s="8" t="s">
        <v>1</v>
      </c>
      <c r="B158" s="5"/>
      <c r="C158" s="74" t="s">
        <v>1084</v>
      </c>
      <c r="D158" s="6" t="s">
        <v>428</v>
      </c>
      <c r="E158" s="6" t="s">
        <v>168</v>
      </c>
      <c r="F158" s="6">
        <v>1</v>
      </c>
      <c r="G158" s="6"/>
      <c r="H158" s="6">
        <v>5</v>
      </c>
      <c r="I158" s="6"/>
    </row>
    <row r="159" spans="1:9" hidden="1" x14ac:dyDescent="0.2">
      <c r="A159" s="8" t="s">
        <v>2</v>
      </c>
      <c r="B159" s="5"/>
      <c r="C159" s="74"/>
      <c r="D159" s="6"/>
      <c r="E159" s="6"/>
      <c r="F159" s="6"/>
      <c r="G159" s="6"/>
      <c r="H159" s="6"/>
      <c r="I159" s="6"/>
    </row>
    <row r="160" spans="1:9" hidden="1" x14ac:dyDescent="0.2">
      <c r="A160" s="8" t="s">
        <v>3</v>
      </c>
      <c r="B160" s="5"/>
      <c r="C160" s="74"/>
      <c r="D160" s="6"/>
      <c r="E160" s="6"/>
      <c r="F160" s="6"/>
      <c r="G160" s="6"/>
      <c r="H160" s="6"/>
      <c r="I160" s="6"/>
    </row>
    <row r="161" spans="1:9" hidden="1" x14ac:dyDescent="0.2">
      <c r="A161" s="8" t="s">
        <v>4</v>
      </c>
      <c r="B161" s="5"/>
      <c r="C161" s="74"/>
      <c r="D161" s="6"/>
      <c r="E161" s="6"/>
      <c r="F161" s="6"/>
      <c r="G161" s="6"/>
      <c r="H161" s="6"/>
      <c r="I161" s="6"/>
    </row>
    <row r="162" spans="1:9" hidden="1" x14ac:dyDescent="0.2">
      <c r="A162" s="8" t="s">
        <v>5</v>
      </c>
      <c r="B162" s="5"/>
      <c r="C162" s="74"/>
      <c r="D162" s="6"/>
      <c r="E162" s="6"/>
      <c r="F162" s="6"/>
      <c r="G162" s="6"/>
      <c r="H162" s="6"/>
      <c r="I162" s="6"/>
    </row>
    <row r="163" spans="1:9" hidden="1" x14ac:dyDescent="0.2">
      <c r="A163" s="8" t="s">
        <v>6</v>
      </c>
      <c r="B163" s="5"/>
      <c r="C163" s="74"/>
      <c r="D163" s="6"/>
      <c r="E163" s="6"/>
      <c r="F163" s="6"/>
      <c r="G163" s="6"/>
      <c r="H163" s="6"/>
      <c r="I163" s="6"/>
    </row>
    <row r="164" spans="1:9" hidden="1" x14ac:dyDescent="0.2">
      <c r="A164" s="8" t="s">
        <v>7</v>
      </c>
      <c r="B164" s="5"/>
      <c r="C164" s="74"/>
      <c r="D164" s="6"/>
      <c r="E164" s="6"/>
      <c r="F164" s="6"/>
      <c r="G164" s="6"/>
      <c r="H164" s="6"/>
      <c r="I164" s="6"/>
    </row>
    <row r="165" spans="1:9" hidden="1" x14ac:dyDescent="0.2">
      <c r="A165" s="8" t="s">
        <v>8</v>
      </c>
      <c r="B165" s="5"/>
      <c r="C165" s="74"/>
      <c r="D165" s="6"/>
      <c r="E165" s="6"/>
      <c r="F165" s="6"/>
      <c r="G165" s="6"/>
      <c r="H165" s="6"/>
      <c r="I165" s="6"/>
    </row>
    <row r="166" spans="1:9" hidden="1" x14ac:dyDescent="0.2">
      <c r="A166" s="8" t="s">
        <v>9</v>
      </c>
      <c r="B166" s="5"/>
      <c r="C166" s="74"/>
      <c r="D166" s="6"/>
      <c r="E166" s="6"/>
      <c r="F166" s="6"/>
      <c r="G166" s="6"/>
      <c r="H166" s="6"/>
      <c r="I166" s="6"/>
    </row>
    <row r="167" spans="1:9" x14ac:dyDescent="0.2">
      <c r="A167" s="312" t="s">
        <v>10</v>
      </c>
      <c r="B167" s="313"/>
      <c r="C167" s="313"/>
      <c r="D167" s="313"/>
      <c r="E167" s="314"/>
      <c r="F167" s="11">
        <f>SUM(F157:F166)</f>
        <v>2</v>
      </c>
      <c r="G167" s="11">
        <f>SUM(G157:G166)</f>
        <v>0</v>
      </c>
      <c r="H167" s="11">
        <f>SUM(H157:H166)</f>
        <v>11</v>
      </c>
      <c r="I167" s="11"/>
    </row>
    <row r="168" spans="1:9" s="25" customFormat="1" ht="18" hidden="1" x14ac:dyDescent="0.2">
      <c r="A168" s="315" t="s">
        <v>39</v>
      </c>
      <c r="B168" s="316"/>
      <c r="C168" s="316"/>
      <c r="D168" s="316"/>
      <c r="E168" s="317"/>
      <c r="F168" s="22">
        <f>F101+F112+F123+F134+F145+F156+F167+F84</f>
        <v>19</v>
      </c>
      <c r="G168" s="22">
        <f>G101+G112+G123+G134+G145+G156+G167+G84</f>
        <v>3</v>
      </c>
      <c r="H168" s="22">
        <f>H101+H112+H123+H134+H145+H156+H167+H84</f>
        <v>102.5</v>
      </c>
      <c r="I168" s="22"/>
    </row>
    <row r="169" spans="1:9" ht="21.95" hidden="1" customHeight="1" x14ac:dyDescent="0.2">
      <c r="A169" s="319" t="s">
        <v>14</v>
      </c>
      <c r="B169" s="319"/>
      <c r="C169" s="319"/>
      <c r="D169" s="319"/>
      <c r="E169" s="319"/>
      <c r="F169" s="319"/>
      <c r="G169" s="319"/>
      <c r="H169" s="319"/>
      <c r="I169" s="319"/>
    </row>
    <row r="170" spans="1:9" s="53" customFormat="1" ht="20.100000000000001" hidden="1" customHeight="1" x14ac:dyDescent="0.2">
      <c r="A170" s="323" t="s">
        <v>86</v>
      </c>
      <c r="B170" s="323"/>
      <c r="C170" s="323"/>
      <c r="D170" s="323"/>
      <c r="E170" s="323"/>
      <c r="F170" s="50" t="str">
        <f>F86</f>
        <v>เมษายน</v>
      </c>
      <c r="G170" s="50" t="s">
        <v>87</v>
      </c>
      <c r="H170" s="51">
        <f>H86</f>
        <v>2569</v>
      </c>
      <c r="I170" s="52"/>
    </row>
    <row r="171" spans="1:9" s="3" customFormat="1" ht="20.100000000000001" hidden="1" customHeight="1" x14ac:dyDescent="0.35">
      <c r="A171" s="318" t="s">
        <v>38</v>
      </c>
      <c r="B171" s="318"/>
      <c r="C171" s="318"/>
      <c r="D171" s="2"/>
      <c r="F171" s="4"/>
      <c r="G171" s="4"/>
      <c r="H171" s="4" t="s">
        <v>21</v>
      </c>
      <c r="I171" s="40">
        <f>I87+1</f>
        <v>3</v>
      </c>
    </row>
    <row r="172" spans="1:9" s="3" customFormat="1" ht="20.100000000000001" hidden="1" customHeight="1" x14ac:dyDescent="0.35">
      <c r="A172" s="311" t="s">
        <v>68</v>
      </c>
      <c r="B172" s="311"/>
      <c r="C172" s="311"/>
      <c r="D172" s="2"/>
      <c r="E172" s="39" t="s">
        <v>81</v>
      </c>
      <c r="F172" s="308">
        <f>F88</f>
        <v>46107</v>
      </c>
      <c r="G172" s="308"/>
      <c r="H172" s="39" t="s">
        <v>82</v>
      </c>
      <c r="I172" s="34">
        <f>I88</f>
        <v>46136</v>
      </c>
    </row>
    <row r="173" spans="1:9" hidden="1" x14ac:dyDescent="0.2">
      <c r="A173" s="12" t="s">
        <v>23</v>
      </c>
      <c r="B173" s="13" t="s">
        <v>11</v>
      </c>
      <c r="C173" s="72" t="s">
        <v>26</v>
      </c>
      <c r="D173" s="12" t="s">
        <v>16</v>
      </c>
      <c r="E173" s="12" t="s">
        <v>17</v>
      </c>
      <c r="F173" s="310" t="s">
        <v>46</v>
      </c>
      <c r="G173" s="310"/>
      <c r="H173" s="310"/>
      <c r="I173" s="12" t="s">
        <v>19</v>
      </c>
    </row>
    <row r="174" spans="1:9" hidden="1" x14ac:dyDescent="0.2">
      <c r="A174" s="15"/>
      <c r="B174" s="16"/>
      <c r="C174" s="73"/>
      <c r="D174" s="15"/>
      <c r="E174" s="15"/>
      <c r="F174" s="21" t="s">
        <v>113</v>
      </c>
      <c r="G174" s="21" t="s">
        <v>114</v>
      </c>
      <c r="H174" s="21" t="s">
        <v>20</v>
      </c>
      <c r="I174" s="15"/>
    </row>
    <row r="175" spans="1:9" hidden="1" x14ac:dyDescent="0.2">
      <c r="A175" s="8" t="s">
        <v>0</v>
      </c>
      <c r="B175" s="5">
        <f>B157+1</f>
        <v>46121</v>
      </c>
      <c r="C175" s="74"/>
      <c r="D175" s="6"/>
      <c r="E175" s="6"/>
      <c r="F175" s="6"/>
      <c r="G175" s="6"/>
      <c r="H175" s="6"/>
      <c r="I175" s="6"/>
    </row>
    <row r="176" spans="1:9" hidden="1" x14ac:dyDescent="0.2">
      <c r="A176" s="8" t="s">
        <v>1</v>
      </c>
      <c r="B176" s="5"/>
      <c r="C176" s="74"/>
      <c r="D176" s="6"/>
      <c r="E176" s="6"/>
      <c r="F176" s="6"/>
      <c r="G176" s="6"/>
      <c r="H176" s="6"/>
      <c r="I176" s="6"/>
    </row>
    <row r="177" spans="1:9" hidden="1" x14ac:dyDescent="0.2">
      <c r="A177" s="8" t="s">
        <v>2</v>
      </c>
      <c r="B177" s="5"/>
      <c r="C177" s="74"/>
      <c r="D177" s="6"/>
      <c r="E177" s="6"/>
      <c r="F177" s="6"/>
      <c r="G177" s="6"/>
      <c r="H177" s="6"/>
      <c r="I177" s="6"/>
    </row>
    <row r="178" spans="1:9" hidden="1" x14ac:dyDescent="0.2">
      <c r="A178" s="8" t="s">
        <v>3</v>
      </c>
      <c r="B178" s="5"/>
      <c r="C178" s="74"/>
      <c r="D178" s="6"/>
      <c r="E178" s="6"/>
      <c r="F178" s="6"/>
      <c r="G178" s="6"/>
      <c r="H178" s="6"/>
      <c r="I178" s="6"/>
    </row>
    <row r="179" spans="1:9" hidden="1" x14ac:dyDescent="0.2">
      <c r="A179" s="8" t="s">
        <v>4</v>
      </c>
      <c r="B179" s="5"/>
      <c r="C179" s="74"/>
      <c r="D179" s="6"/>
      <c r="E179" s="6"/>
      <c r="F179" s="6"/>
      <c r="G179" s="6"/>
      <c r="H179" s="6"/>
      <c r="I179" s="6"/>
    </row>
    <row r="180" spans="1:9" hidden="1" x14ac:dyDescent="0.2">
      <c r="A180" s="8" t="s">
        <v>5</v>
      </c>
      <c r="B180" s="5"/>
      <c r="C180" s="74"/>
      <c r="D180" s="6"/>
      <c r="E180" s="6"/>
      <c r="F180" s="6"/>
      <c r="G180" s="6"/>
      <c r="H180" s="6"/>
      <c r="I180" s="6"/>
    </row>
    <row r="181" spans="1:9" hidden="1" x14ac:dyDescent="0.2">
      <c r="A181" s="8" t="s">
        <v>6</v>
      </c>
      <c r="B181" s="5"/>
      <c r="C181" s="74"/>
      <c r="D181" s="6"/>
      <c r="E181" s="6"/>
      <c r="F181" s="6"/>
      <c r="G181" s="6"/>
      <c r="H181" s="6"/>
      <c r="I181" s="6"/>
    </row>
    <row r="182" spans="1:9" hidden="1" x14ac:dyDescent="0.2">
      <c r="A182" s="8" t="s">
        <v>7</v>
      </c>
      <c r="B182" s="5"/>
      <c r="C182" s="74"/>
      <c r="D182" s="6"/>
      <c r="E182" s="6"/>
      <c r="F182" s="6"/>
      <c r="G182" s="6"/>
      <c r="H182" s="6"/>
      <c r="I182" s="6"/>
    </row>
    <row r="183" spans="1:9" hidden="1" x14ac:dyDescent="0.2">
      <c r="A183" s="8" t="s">
        <v>8</v>
      </c>
      <c r="B183" s="5"/>
      <c r="C183" s="74"/>
      <c r="D183" s="6"/>
      <c r="E183" s="6"/>
      <c r="F183" s="6"/>
      <c r="G183" s="6"/>
      <c r="H183" s="6"/>
      <c r="I183" s="6"/>
    </row>
    <row r="184" spans="1:9" hidden="1" x14ac:dyDescent="0.2">
      <c r="A184" s="8" t="s">
        <v>9</v>
      </c>
      <c r="B184" s="5"/>
      <c r="C184" s="74"/>
      <c r="D184" s="6"/>
      <c r="E184" s="6"/>
      <c r="F184" s="6"/>
      <c r="G184" s="6"/>
      <c r="H184" s="6"/>
      <c r="I184" s="6"/>
    </row>
    <row r="185" spans="1:9" hidden="1" x14ac:dyDescent="0.2">
      <c r="A185" s="312" t="s">
        <v>10</v>
      </c>
      <c r="B185" s="313"/>
      <c r="C185" s="313"/>
      <c r="D185" s="313"/>
      <c r="E185" s="314"/>
      <c r="F185" s="11">
        <f>SUM(F175:F184)</f>
        <v>0</v>
      </c>
      <c r="G185" s="11">
        <f>SUM(G175:G184)</f>
        <v>0</v>
      </c>
      <c r="H185" s="11">
        <f>SUM(H175:H184)</f>
        <v>0</v>
      </c>
      <c r="I185" s="11"/>
    </row>
    <row r="186" spans="1:9" hidden="1" x14ac:dyDescent="0.2">
      <c r="A186" s="8" t="s">
        <v>0</v>
      </c>
      <c r="B186" s="5">
        <f>B175+1</f>
        <v>46122</v>
      </c>
      <c r="C186" s="74"/>
      <c r="D186" s="6"/>
      <c r="E186" s="6"/>
      <c r="F186" s="6"/>
      <c r="G186" s="6"/>
      <c r="H186" s="6"/>
      <c r="I186" s="6"/>
    </row>
    <row r="187" spans="1:9" hidden="1" x14ac:dyDescent="0.2">
      <c r="A187" s="8" t="s">
        <v>1</v>
      </c>
      <c r="B187" s="5"/>
      <c r="C187" s="74"/>
      <c r="D187" s="6"/>
      <c r="E187" s="6"/>
      <c r="F187" s="6"/>
      <c r="G187" s="6"/>
      <c r="H187" s="6"/>
      <c r="I187" s="6"/>
    </row>
    <row r="188" spans="1:9" hidden="1" x14ac:dyDescent="0.2">
      <c r="A188" s="8" t="s">
        <v>2</v>
      </c>
      <c r="B188" s="5"/>
      <c r="C188" s="74"/>
      <c r="D188" s="6"/>
      <c r="E188" s="6"/>
      <c r="F188" s="6"/>
      <c r="G188" s="6"/>
      <c r="H188" s="6"/>
      <c r="I188" s="6"/>
    </row>
    <row r="189" spans="1:9" hidden="1" x14ac:dyDescent="0.2">
      <c r="A189" s="8" t="s">
        <v>3</v>
      </c>
      <c r="B189" s="5"/>
      <c r="C189" s="74"/>
      <c r="D189" s="6"/>
      <c r="E189" s="6"/>
      <c r="F189" s="6"/>
      <c r="G189" s="6"/>
      <c r="H189" s="6"/>
      <c r="I189" s="6"/>
    </row>
    <row r="190" spans="1:9" hidden="1" x14ac:dyDescent="0.2">
      <c r="A190" s="8" t="s">
        <v>4</v>
      </c>
      <c r="B190" s="5"/>
      <c r="C190" s="74"/>
      <c r="D190" s="6"/>
      <c r="E190" s="6"/>
      <c r="F190" s="6"/>
      <c r="G190" s="6"/>
      <c r="H190" s="6"/>
      <c r="I190" s="6"/>
    </row>
    <row r="191" spans="1:9" hidden="1" x14ac:dyDescent="0.2">
      <c r="A191" s="8" t="s">
        <v>5</v>
      </c>
      <c r="B191" s="5"/>
      <c r="C191" s="74"/>
      <c r="D191" s="6"/>
      <c r="E191" s="6"/>
      <c r="F191" s="6"/>
      <c r="G191" s="6"/>
      <c r="H191" s="6"/>
      <c r="I191" s="6"/>
    </row>
    <row r="192" spans="1:9" hidden="1" x14ac:dyDescent="0.2">
      <c r="A192" s="8" t="s">
        <v>6</v>
      </c>
      <c r="B192" s="5"/>
      <c r="C192" s="74"/>
      <c r="D192" s="6"/>
      <c r="E192" s="6"/>
      <c r="F192" s="6"/>
      <c r="G192" s="6"/>
      <c r="H192" s="6"/>
      <c r="I192" s="6"/>
    </row>
    <row r="193" spans="1:9" hidden="1" x14ac:dyDescent="0.2">
      <c r="A193" s="8" t="s">
        <v>7</v>
      </c>
      <c r="B193" s="5"/>
      <c r="C193" s="74"/>
      <c r="D193" s="6"/>
      <c r="E193" s="6"/>
      <c r="F193" s="6"/>
      <c r="G193" s="6"/>
      <c r="H193" s="6"/>
      <c r="I193" s="6"/>
    </row>
    <row r="194" spans="1:9" hidden="1" x14ac:dyDescent="0.2">
      <c r="A194" s="8" t="s">
        <v>8</v>
      </c>
      <c r="B194" s="5"/>
      <c r="C194" s="74"/>
      <c r="D194" s="6"/>
      <c r="E194" s="6"/>
      <c r="F194" s="6"/>
      <c r="G194" s="6"/>
      <c r="H194" s="6"/>
      <c r="I194" s="6"/>
    </row>
    <row r="195" spans="1:9" hidden="1" x14ac:dyDescent="0.2">
      <c r="A195" s="8" t="s">
        <v>9</v>
      </c>
      <c r="B195" s="5"/>
      <c r="C195" s="74"/>
      <c r="D195" s="6"/>
      <c r="E195" s="6"/>
      <c r="F195" s="6"/>
      <c r="G195" s="6"/>
      <c r="H195" s="6"/>
      <c r="I195" s="6"/>
    </row>
    <row r="196" spans="1:9" hidden="1" x14ac:dyDescent="0.2">
      <c r="A196" s="312" t="s">
        <v>10</v>
      </c>
      <c r="B196" s="313"/>
      <c r="C196" s="313"/>
      <c r="D196" s="313"/>
      <c r="E196" s="314"/>
      <c r="F196" s="11">
        <f>SUM(F186:F195)</f>
        <v>0</v>
      </c>
      <c r="G196" s="11">
        <f>SUM(G186:G195)</f>
        <v>0</v>
      </c>
      <c r="H196" s="11">
        <f>SUM(H186:H195)</f>
        <v>0</v>
      </c>
      <c r="I196" s="11"/>
    </row>
    <row r="197" spans="1:9" hidden="1" x14ac:dyDescent="0.2">
      <c r="A197" s="8" t="s">
        <v>0</v>
      </c>
      <c r="B197" s="5">
        <f>B186+1</f>
        <v>46123</v>
      </c>
      <c r="C197" s="74"/>
      <c r="D197" s="6"/>
      <c r="E197" s="6"/>
      <c r="F197" s="6"/>
      <c r="G197" s="6"/>
      <c r="H197" s="6"/>
      <c r="I197" s="6"/>
    </row>
    <row r="198" spans="1:9" hidden="1" x14ac:dyDescent="0.2">
      <c r="A198" s="8" t="s">
        <v>1</v>
      </c>
      <c r="B198" s="5"/>
      <c r="C198" s="74"/>
      <c r="D198" s="6"/>
      <c r="E198" s="6"/>
      <c r="F198" s="6"/>
      <c r="G198" s="6"/>
      <c r="H198" s="6"/>
      <c r="I198" s="6"/>
    </row>
    <row r="199" spans="1:9" hidden="1" x14ac:dyDescent="0.2">
      <c r="A199" s="8" t="s">
        <v>2</v>
      </c>
      <c r="B199" s="5"/>
      <c r="C199" s="74"/>
      <c r="D199" s="6"/>
      <c r="E199" s="6"/>
      <c r="F199" s="6"/>
      <c r="G199" s="6"/>
      <c r="H199" s="6"/>
      <c r="I199" s="6"/>
    </row>
    <row r="200" spans="1:9" hidden="1" x14ac:dyDescent="0.2">
      <c r="A200" s="8" t="s">
        <v>3</v>
      </c>
      <c r="B200" s="5"/>
      <c r="C200" s="74"/>
      <c r="D200" s="6"/>
      <c r="E200" s="6"/>
      <c r="F200" s="6"/>
      <c r="G200" s="6"/>
      <c r="H200" s="6"/>
      <c r="I200" s="6"/>
    </row>
    <row r="201" spans="1:9" hidden="1" x14ac:dyDescent="0.2">
      <c r="A201" s="8" t="s">
        <v>4</v>
      </c>
      <c r="B201" s="5"/>
      <c r="C201" s="74"/>
      <c r="D201" s="6"/>
      <c r="E201" s="6"/>
      <c r="F201" s="6"/>
      <c r="G201" s="6"/>
      <c r="H201" s="6"/>
      <c r="I201" s="6"/>
    </row>
    <row r="202" spans="1:9" hidden="1" x14ac:dyDescent="0.2">
      <c r="A202" s="8" t="s">
        <v>5</v>
      </c>
      <c r="B202" s="5"/>
      <c r="C202" s="74"/>
      <c r="D202" s="6"/>
      <c r="E202" s="6"/>
      <c r="F202" s="6"/>
      <c r="G202" s="6"/>
      <c r="H202" s="6"/>
      <c r="I202" s="6"/>
    </row>
    <row r="203" spans="1:9" hidden="1" x14ac:dyDescent="0.2">
      <c r="A203" s="8" t="s">
        <v>6</v>
      </c>
      <c r="B203" s="5"/>
      <c r="C203" s="74"/>
      <c r="D203" s="6"/>
      <c r="E203" s="6"/>
      <c r="F203" s="6"/>
      <c r="G203" s="6"/>
      <c r="H203" s="6"/>
      <c r="I203" s="6"/>
    </row>
    <row r="204" spans="1:9" hidden="1" x14ac:dyDescent="0.2">
      <c r="A204" s="8" t="s">
        <v>7</v>
      </c>
      <c r="B204" s="5"/>
      <c r="C204" s="74"/>
      <c r="D204" s="6"/>
      <c r="E204" s="6"/>
      <c r="F204" s="6"/>
      <c r="G204" s="6"/>
      <c r="H204" s="6"/>
      <c r="I204" s="6"/>
    </row>
    <row r="205" spans="1:9" hidden="1" x14ac:dyDescent="0.2">
      <c r="A205" s="8" t="s">
        <v>8</v>
      </c>
      <c r="B205" s="5"/>
      <c r="C205" s="74"/>
      <c r="D205" s="6"/>
      <c r="E205" s="6"/>
      <c r="F205" s="6"/>
      <c r="G205" s="6"/>
      <c r="H205" s="6"/>
      <c r="I205" s="6"/>
    </row>
    <row r="206" spans="1:9" hidden="1" x14ac:dyDescent="0.2">
      <c r="A206" s="8" t="s">
        <v>9</v>
      </c>
      <c r="B206" s="5"/>
      <c r="C206" s="74"/>
      <c r="D206" s="6"/>
      <c r="E206" s="6"/>
      <c r="F206" s="6"/>
      <c r="G206" s="6"/>
      <c r="H206" s="6"/>
      <c r="I206" s="6"/>
    </row>
    <row r="207" spans="1:9" hidden="1" x14ac:dyDescent="0.2">
      <c r="A207" s="312" t="s">
        <v>10</v>
      </c>
      <c r="B207" s="313"/>
      <c r="C207" s="313"/>
      <c r="D207" s="313"/>
      <c r="E207" s="314"/>
      <c r="F207" s="11">
        <f>SUM(F197:F206)</f>
        <v>0</v>
      </c>
      <c r="G207" s="11">
        <f>SUM(G197:G206)</f>
        <v>0</v>
      </c>
      <c r="H207" s="11">
        <f>SUM(H197:H206)</f>
        <v>0</v>
      </c>
      <c r="I207" s="11"/>
    </row>
    <row r="208" spans="1:9" hidden="1" x14ac:dyDescent="0.2">
      <c r="A208" s="8" t="s">
        <v>0</v>
      </c>
      <c r="B208" s="5">
        <f>B197+1</f>
        <v>46124</v>
      </c>
      <c r="C208" s="75"/>
      <c r="D208" s="6"/>
      <c r="E208" s="6"/>
      <c r="F208" s="6"/>
      <c r="G208" s="6"/>
      <c r="H208" s="6"/>
      <c r="I208" s="6"/>
    </row>
    <row r="209" spans="1:9" hidden="1" x14ac:dyDescent="0.2">
      <c r="A209" s="8" t="s">
        <v>1</v>
      </c>
      <c r="B209" s="5"/>
      <c r="C209" s="75"/>
      <c r="D209" s="6"/>
      <c r="E209" s="6"/>
      <c r="F209" s="6"/>
      <c r="G209" s="6"/>
      <c r="H209" s="6"/>
      <c r="I209" s="6"/>
    </row>
    <row r="210" spans="1:9" hidden="1" x14ac:dyDescent="0.2">
      <c r="A210" s="8" t="s">
        <v>2</v>
      </c>
      <c r="B210" s="5"/>
      <c r="C210" s="75"/>
      <c r="D210" s="6"/>
      <c r="E210" s="6"/>
      <c r="F210" s="6"/>
      <c r="G210" s="6"/>
      <c r="H210" s="6"/>
      <c r="I210" s="6"/>
    </row>
    <row r="211" spans="1:9" hidden="1" x14ac:dyDescent="0.2">
      <c r="A211" s="8" t="s">
        <v>3</v>
      </c>
      <c r="B211" s="5"/>
      <c r="C211" s="75"/>
      <c r="D211" s="6"/>
      <c r="E211" s="6"/>
      <c r="F211" s="6"/>
      <c r="G211" s="6"/>
      <c r="H211" s="6"/>
      <c r="I211" s="6"/>
    </row>
    <row r="212" spans="1:9" hidden="1" x14ac:dyDescent="0.2">
      <c r="A212" s="8" t="s">
        <v>4</v>
      </c>
      <c r="B212" s="5"/>
      <c r="C212" s="75"/>
      <c r="D212" s="6"/>
      <c r="E212" s="6"/>
      <c r="F212" s="6"/>
      <c r="G212" s="6"/>
      <c r="H212" s="6"/>
      <c r="I212" s="6"/>
    </row>
    <row r="213" spans="1:9" hidden="1" x14ac:dyDescent="0.2">
      <c r="A213" s="8" t="s">
        <v>5</v>
      </c>
      <c r="B213" s="5"/>
      <c r="C213" s="75"/>
      <c r="D213" s="6"/>
      <c r="E213" s="6"/>
      <c r="F213" s="6"/>
      <c r="G213" s="6"/>
      <c r="H213" s="6"/>
      <c r="I213" s="6"/>
    </row>
    <row r="214" spans="1:9" hidden="1" x14ac:dyDescent="0.2">
      <c r="A214" s="8" t="s">
        <v>6</v>
      </c>
      <c r="B214" s="5"/>
      <c r="C214" s="75"/>
      <c r="D214" s="6"/>
      <c r="E214" s="6"/>
      <c r="F214" s="6"/>
      <c r="G214" s="6"/>
      <c r="H214" s="6"/>
      <c r="I214" s="6"/>
    </row>
    <row r="215" spans="1:9" hidden="1" x14ac:dyDescent="0.2">
      <c r="A215" s="8" t="s">
        <v>7</v>
      </c>
      <c r="B215" s="5"/>
      <c r="C215" s="74"/>
      <c r="D215" s="6"/>
      <c r="E215" s="6"/>
      <c r="F215" s="6"/>
      <c r="G215" s="6"/>
      <c r="H215" s="6"/>
      <c r="I215" s="6"/>
    </row>
    <row r="216" spans="1:9" hidden="1" x14ac:dyDescent="0.2">
      <c r="A216" s="8" t="s">
        <v>8</v>
      </c>
      <c r="B216" s="5"/>
      <c r="C216" s="74"/>
      <c r="D216" s="6"/>
      <c r="E216" s="6"/>
      <c r="F216" s="6"/>
      <c r="G216" s="6"/>
      <c r="H216" s="6"/>
      <c r="I216" s="6"/>
    </row>
    <row r="217" spans="1:9" hidden="1" x14ac:dyDescent="0.2">
      <c r="A217" s="8" t="s">
        <v>9</v>
      </c>
      <c r="B217" s="5"/>
      <c r="C217" s="74"/>
      <c r="D217" s="6"/>
      <c r="E217" s="6"/>
      <c r="F217" s="6"/>
      <c r="G217" s="6"/>
      <c r="H217" s="6"/>
      <c r="I217" s="6"/>
    </row>
    <row r="218" spans="1:9" hidden="1" x14ac:dyDescent="0.2">
      <c r="A218" s="312" t="s">
        <v>10</v>
      </c>
      <c r="B218" s="313"/>
      <c r="C218" s="313"/>
      <c r="D218" s="313"/>
      <c r="E218" s="314"/>
      <c r="F218" s="11">
        <f>SUM(F208:F217)</f>
        <v>0</v>
      </c>
      <c r="G218" s="11">
        <f>SUM(G208:G217)</f>
        <v>0</v>
      </c>
      <c r="H218" s="11">
        <f>SUM(H208:H217)</f>
        <v>0</v>
      </c>
      <c r="I218" s="11"/>
    </row>
    <row r="219" spans="1:9" hidden="1" x14ac:dyDescent="0.2">
      <c r="A219" s="8" t="s">
        <v>0</v>
      </c>
      <c r="B219" s="5">
        <f>B208+1</f>
        <v>46125</v>
      </c>
      <c r="C219" s="75"/>
      <c r="D219" s="6"/>
      <c r="E219" s="6"/>
      <c r="F219" s="6"/>
      <c r="G219" s="6"/>
      <c r="H219" s="6"/>
      <c r="I219" s="6"/>
    </row>
    <row r="220" spans="1:9" hidden="1" x14ac:dyDescent="0.2">
      <c r="A220" s="8" t="s">
        <v>1</v>
      </c>
      <c r="B220" s="5"/>
      <c r="C220" s="75"/>
      <c r="D220" s="6"/>
      <c r="E220" s="6"/>
      <c r="F220" s="6"/>
      <c r="G220" s="6"/>
      <c r="H220" s="6"/>
      <c r="I220" s="6"/>
    </row>
    <row r="221" spans="1:9" hidden="1" x14ac:dyDescent="0.2">
      <c r="A221" s="8" t="s">
        <v>2</v>
      </c>
      <c r="B221" s="5"/>
      <c r="C221" s="75"/>
      <c r="D221" s="6"/>
      <c r="E221" s="6"/>
      <c r="F221" s="6"/>
      <c r="G221" s="6"/>
      <c r="H221" s="6"/>
      <c r="I221" s="6"/>
    </row>
    <row r="222" spans="1:9" hidden="1" x14ac:dyDescent="0.2">
      <c r="A222" s="8" t="s">
        <v>3</v>
      </c>
      <c r="B222" s="5"/>
      <c r="C222" s="75"/>
      <c r="D222" s="6"/>
      <c r="E222" s="6"/>
      <c r="F222" s="6"/>
      <c r="G222" s="6"/>
      <c r="H222" s="6"/>
      <c r="I222" s="6"/>
    </row>
    <row r="223" spans="1:9" hidden="1" x14ac:dyDescent="0.2">
      <c r="A223" s="8" t="s">
        <v>4</v>
      </c>
      <c r="B223" s="5"/>
      <c r="C223" s="75"/>
      <c r="D223" s="6"/>
      <c r="E223" s="6"/>
      <c r="F223" s="6"/>
      <c r="G223" s="6"/>
      <c r="H223" s="6"/>
      <c r="I223" s="6"/>
    </row>
    <row r="224" spans="1:9" hidden="1" x14ac:dyDescent="0.2">
      <c r="A224" s="8" t="s">
        <v>5</v>
      </c>
      <c r="B224" s="5"/>
      <c r="C224" s="75"/>
      <c r="D224" s="6"/>
      <c r="E224" s="6"/>
      <c r="F224" s="6"/>
      <c r="G224" s="6"/>
      <c r="H224" s="6"/>
      <c r="I224" s="6"/>
    </row>
    <row r="225" spans="1:9" hidden="1" x14ac:dyDescent="0.2">
      <c r="A225" s="8" t="s">
        <v>6</v>
      </c>
      <c r="B225" s="5"/>
      <c r="C225" s="74"/>
      <c r="D225" s="6"/>
      <c r="E225" s="6"/>
      <c r="F225" s="6"/>
      <c r="G225" s="6"/>
      <c r="H225" s="6"/>
      <c r="I225" s="6"/>
    </row>
    <row r="226" spans="1:9" hidden="1" x14ac:dyDescent="0.2">
      <c r="A226" s="8" t="s">
        <v>7</v>
      </c>
      <c r="B226" s="5"/>
      <c r="C226" s="74"/>
      <c r="D226" s="6"/>
      <c r="E226" s="6"/>
      <c r="F226" s="6"/>
      <c r="G226" s="6"/>
      <c r="H226" s="6"/>
      <c r="I226" s="6"/>
    </row>
    <row r="227" spans="1:9" hidden="1" x14ac:dyDescent="0.2">
      <c r="A227" s="8" t="s">
        <v>8</v>
      </c>
      <c r="B227" s="5"/>
      <c r="C227" s="74"/>
      <c r="D227" s="6"/>
      <c r="E227" s="6"/>
      <c r="F227" s="6"/>
      <c r="G227" s="6"/>
      <c r="H227" s="6"/>
      <c r="I227" s="6"/>
    </row>
    <row r="228" spans="1:9" hidden="1" x14ac:dyDescent="0.2">
      <c r="A228" s="8" t="s">
        <v>9</v>
      </c>
      <c r="B228" s="5"/>
      <c r="C228" s="74"/>
      <c r="D228" s="6"/>
      <c r="E228" s="6"/>
      <c r="F228" s="6"/>
      <c r="G228" s="6"/>
      <c r="H228" s="6"/>
      <c r="I228" s="6"/>
    </row>
    <row r="229" spans="1:9" hidden="1" x14ac:dyDescent="0.2">
      <c r="A229" s="312" t="s">
        <v>10</v>
      </c>
      <c r="B229" s="313"/>
      <c r="C229" s="313"/>
      <c r="D229" s="313"/>
      <c r="E229" s="314"/>
      <c r="F229" s="11">
        <f>SUM(F219:F228)</f>
        <v>0</v>
      </c>
      <c r="G229" s="11">
        <f>SUM(G219:G228)</f>
        <v>0</v>
      </c>
      <c r="H229" s="11">
        <f>SUM(H219:H228)</f>
        <v>0</v>
      </c>
      <c r="I229" s="11"/>
    </row>
    <row r="230" spans="1:9" hidden="1" x14ac:dyDescent="0.2">
      <c r="A230" s="8" t="s">
        <v>0</v>
      </c>
      <c r="B230" s="5">
        <f>B219+1</f>
        <v>46126</v>
      </c>
      <c r="C230" s="75"/>
      <c r="D230" s="6"/>
      <c r="E230" s="6"/>
      <c r="F230" s="6"/>
      <c r="G230" s="6"/>
      <c r="H230" s="6"/>
      <c r="I230" s="6"/>
    </row>
    <row r="231" spans="1:9" hidden="1" x14ac:dyDescent="0.2">
      <c r="A231" s="8" t="s">
        <v>1</v>
      </c>
      <c r="B231" s="5"/>
      <c r="C231" s="75"/>
      <c r="D231" s="6"/>
      <c r="E231" s="6"/>
      <c r="F231" s="6"/>
      <c r="G231" s="6"/>
      <c r="H231" s="6"/>
      <c r="I231" s="6"/>
    </row>
    <row r="232" spans="1:9" hidden="1" x14ac:dyDescent="0.2">
      <c r="A232" s="8" t="s">
        <v>2</v>
      </c>
      <c r="B232" s="5"/>
      <c r="C232" s="75"/>
      <c r="D232" s="6"/>
      <c r="E232" s="6"/>
      <c r="F232" s="6"/>
      <c r="G232" s="6"/>
      <c r="H232" s="6"/>
      <c r="I232" s="6"/>
    </row>
    <row r="233" spans="1:9" hidden="1" x14ac:dyDescent="0.2">
      <c r="A233" s="8" t="s">
        <v>3</v>
      </c>
      <c r="B233" s="5"/>
      <c r="C233" s="75"/>
      <c r="D233" s="6"/>
      <c r="E233" s="6"/>
      <c r="F233" s="6"/>
      <c r="G233" s="6"/>
      <c r="H233" s="6"/>
      <c r="I233" s="6"/>
    </row>
    <row r="234" spans="1:9" hidden="1" x14ac:dyDescent="0.2">
      <c r="A234" s="8" t="s">
        <v>4</v>
      </c>
      <c r="B234" s="5"/>
      <c r="C234" s="75"/>
      <c r="D234" s="6"/>
      <c r="E234" s="6"/>
      <c r="F234" s="6"/>
      <c r="G234" s="6"/>
      <c r="H234" s="6"/>
      <c r="I234" s="6"/>
    </row>
    <row r="235" spans="1:9" hidden="1" x14ac:dyDescent="0.2">
      <c r="A235" s="8" t="s">
        <v>5</v>
      </c>
      <c r="B235" s="5"/>
      <c r="C235" s="75"/>
      <c r="D235" s="6"/>
      <c r="E235" s="6"/>
      <c r="F235" s="6"/>
      <c r="G235" s="6"/>
      <c r="H235" s="6"/>
      <c r="I235" s="6"/>
    </row>
    <row r="236" spans="1:9" hidden="1" x14ac:dyDescent="0.2">
      <c r="A236" s="8" t="s">
        <v>6</v>
      </c>
      <c r="B236" s="5"/>
      <c r="C236" s="75"/>
      <c r="D236" s="6"/>
      <c r="E236" s="6"/>
      <c r="F236" s="6"/>
      <c r="G236" s="6"/>
      <c r="H236" s="6"/>
      <c r="I236" s="6"/>
    </row>
    <row r="237" spans="1:9" hidden="1" x14ac:dyDescent="0.2">
      <c r="A237" s="8" t="s">
        <v>7</v>
      </c>
      <c r="B237" s="5"/>
      <c r="C237" s="75"/>
      <c r="D237" s="6"/>
      <c r="E237" s="6"/>
      <c r="F237" s="6"/>
      <c r="G237" s="6"/>
      <c r="H237" s="6"/>
      <c r="I237" s="6"/>
    </row>
    <row r="238" spans="1:9" hidden="1" x14ac:dyDescent="0.2">
      <c r="A238" s="8" t="s">
        <v>8</v>
      </c>
      <c r="B238" s="5"/>
      <c r="C238" s="75"/>
      <c r="D238" s="6"/>
      <c r="E238" s="6"/>
      <c r="F238" s="6"/>
      <c r="G238" s="6"/>
      <c r="H238" s="6"/>
      <c r="I238" s="6"/>
    </row>
    <row r="239" spans="1:9" hidden="1" x14ac:dyDescent="0.2">
      <c r="A239" s="8" t="s">
        <v>9</v>
      </c>
      <c r="B239" s="5"/>
      <c r="C239" s="75"/>
      <c r="D239" s="6"/>
      <c r="E239" s="6"/>
      <c r="F239" s="6"/>
      <c r="G239" s="6"/>
      <c r="H239" s="6"/>
      <c r="I239" s="6"/>
    </row>
    <row r="240" spans="1:9" hidden="1" x14ac:dyDescent="0.2">
      <c r="A240" s="312" t="s">
        <v>10</v>
      </c>
      <c r="B240" s="313"/>
      <c r="C240" s="313"/>
      <c r="D240" s="313"/>
      <c r="E240" s="314"/>
      <c r="F240" s="11">
        <f>SUM(F230:F239)</f>
        <v>0</v>
      </c>
      <c r="G240" s="11">
        <f>SUM(G230:G239)</f>
        <v>0</v>
      </c>
      <c r="H240" s="11">
        <f>SUM(H230:H239)</f>
        <v>0</v>
      </c>
      <c r="I240" s="11"/>
    </row>
    <row r="241" spans="1:9" hidden="1" x14ac:dyDescent="0.2">
      <c r="A241" s="8" t="s">
        <v>0</v>
      </c>
      <c r="B241" s="5">
        <f>B230+1</f>
        <v>46127</v>
      </c>
      <c r="C241" s="74"/>
      <c r="D241" s="6"/>
      <c r="E241" s="6"/>
      <c r="F241" s="6"/>
      <c r="G241" s="6"/>
      <c r="H241" s="6"/>
      <c r="I241" s="6"/>
    </row>
    <row r="242" spans="1:9" hidden="1" x14ac:dyDescent="0.2">
      <c r="A242" s="8" t="s">
        <v>1</v>
      </c>
      <c r="B242" s="5"/>
      <c r="C242" s="74"/>
      <c r="D242" s="6"/>
      <c r="E242" s="6"/>
      <c r="F242" s="6"/>
      <c r="G242" s="6"/>
      <c r="H242" s="6"/>
      <c r="I242" s="6"/>
    </row>
    <row r="243" spans="1:9" hidden="1" x14ac:dyDescent="0.2">
      <c r="A243" s="8" t="s">
        <v>2</v>
      </c>
      <c r="B243" s="5"/>
      <c r="C243" s="74"/>
      <c r="D243" s="6"/>
      <c r="E243" s="6"/>
      <c r="F243" s="6"/>
      <c r="G243" s="6"/>
      <c r="H243" s="6"/>
      <c r="I243" s="6"/>
    </row>
    <row r="244" spans="1:9" hidden="1" x14ac:dyDescent="0.2">
      <c r="A244" s="8" t="s">
        <v>3</v>
      </c>
      <c r="B244" s="5"/>
      <c r="C244" s="74"/>
      <c r="D244" s="6"/>
      <c r="E244" s="6"/>
      <c r="F244" s="6"/>
      <c r="G244" s="6"/>
      <c r="H244" s="6"/>
      <c r="I244" s="6"/>
    </row>
    <row r="245" spans="1:9" hidden="1" x14ac:dyDescent="0.2">
      <c r="A245" s="8" t="s">
        <v>4</v>
      </c>
      <c r="B245" s="5"/>
      <c r="C245" s="74"/>
      <c r="D245" s="6"/>
      <c r="E245" s="6"/>
      <c r="F245" s="6"/>
      <c r="G245" s="6"/>
      <c r="H245" s="6"/>
      <c r="I245" s="6"/>
    </row>
    <row r="246" spans="1:9" hidden="1" x14ac:dyDescent="0.2">
      <c r="A246" s="8" t="s">
        <v>5</v>
      </c>
      <c r="B246" s="5"/>
      <c r="C246" s="74"/>
      <c r="D246" s="6"/>
      <c r="E246" s="6"/>
      <c r="F246" s="6"/>
      <c r="G246" s="6"/>
      <c r="H246" s="6"/>
      <c r="I246" s="6"/>
    </row>
    <row r="247" spans="1:9" hidden="1" x14ac:dyDescent="0.2">
      <c r="A247" s="8" t="s">
        <v>6</v>
      </c>
      <c r="B247" s="5"/>
      <c r="C247" s="74"/>
      <c r="D247" s="6"/>
      <c r="E247" s="6"/>
      <c r="F247" s="6"/>
      <c r="G247" s="6"/>
      <c r="H247" s="6"/>
      <c r="I247" s="6"/>
    </row>
    <row r="248" spans="1:9" hidden="1" x14ac:dyDescent="0.2">
      <c r="A248" s="8" t="s">
        <v>7</v>
      </c>
      <c r="B248" s="5"/>
      <c r="C248" s="74"/>
      <c r="D248" s="6"/>
      <c r="E248" s="6"/>
      <c r="F248" s="6"/>
      <c r="G248" s="6"/>
      <c r="H248" s="6"/>
      <c r="I248" s="6"/>
    </row>
    <row r="249" spans="1:9" hidden="1" x14ac:dyDescent="0.2">
      <c r="A249" s="8" t="s">
        <v>8</v>
      </c>
      <c r="B249" s="5"/>
      <c r="C249" s="74"/>
      <c r="D249" s="6"/>
      <c r="E249" s="6"/>
      <c r="F249" s="6"/>
      <c r="G249" s="6"/>
      <c r="H249" s="6"/>
      <c r="I249" s="6"/>
    </row>
    <row r="250" spans="1:9" hidden="1" x14ac:dyDescent="0.2">
      <c r="A250" s="8" t="s">
        <v>9</v>
      </c>
      <c r="B250" s="5"/>
      <c r="C250" s="74"/>
      <c r="D250" s="6"/>
      <c r="E250" s="6"/>
      <c r="F250" s="6"/>
      <c r="G250" s="6"/>
      <c r="H250" s="6"/>
      <c r="I250" s="6"/>
    </row>
    <row r="251" spans="1:9" hidden="1" x14ac:dyDescent="0.2">
      <c r="A251" s="312" t="s">
        <v>10</v>
      </c>
      <c r="B251" s="313"/>
      <c r="C251" s="313"/>
      <c r="D251" s="313"/>
      <c r="E251" s="314"/>
      <c r="F251" s="11">
        <f>SUM(F241:F250)</f>
        <v>0</v>
      </c>
      <c r="G251" s="11">
        <f>SUM(G241:G250)</f>
        <v>0</v>
      </c>
      <c r="H251" s="11">
        <f>SUM(H241:H250)</f>
        <v>0</v>
      </c>
      <c r="I251" s="11"/>
    </row>
    <row r="252" spans="1:9" s="25" customFormat="1" ht="18" x14ac:dyDescent="0.2">
      <c r="A252" s="315" t="s">
        <v>39</v>
      </c>
      <c r="B252" s="316"/>
      <c r="C252" s="316"/>
      <c r="D252" s="316"/>
      <c r="E252" s="317"/>
      <c r="F252" s="22">
        <f>F185+F196+F207+F218+F229+F240+F251+F168</f>
        <v>19</v>
      </c>
      <c r="G252" s="22">
        <f>G185+G196+G207+G218+G229+G240+G251+G168</f>
        <v>3</v>
      </c>
      <c r="H252" s="22">
        <f>H185+H196+H207+H218+H229+H240+H251+H168</f>
        <v>102.5</v>
      </c>
      <c r="I252" s="22"/>
    </row>
    <row r="253" spans="1:9" ht="21.95" customHeight="1" x14ac:dyDescent="0.2">
      <c r="A253" s="319" t="s">
        <v>14</v>
      </c>
      <c r="B253" s="319"/>
      <c r="C253" s="319"/>
      <c r="D253" s="319"/>
      <c r="E253" s="319"/>
      <c r="F253" s="319"/>
      <c r="G253" s="319"/>
      <c r="H253" s="319"/>
      <c r="I253" s="319"/>
    </row>
    <row r="254" spans="1:9" s="53" customFormat="1" ht="20.100000000000001" customHeight="1" x14ac:dyDescent="0.2">
      <c r="A254" s="323" t="s">
        <v>86</v>
      </c>
      <c r="B254" s="323"/>
      <c r="C254" s="323"/>
      <c r="D254" s="323"/>
      <c r="E254" s="323"/>
      <c r="F254" s="50" t="str">
        <f>F170</f>
        <v>เมษายน</v>
      </c>
      <c r="G254" s="50" t="s">
        <v>87</v>
      </c>
      <c r="H254" s="51">
        <f>H170</f>
        <v>2569</v>
      </c>
      <c r="I254" s="52"/>
    </row>
    <row r="255" spans="1:9" s="3" customFormat="1" ht="20.100000000000001" customHeight="1" x14ac:dyDescent="0.35">
      <c r="A255" s="318" t="s">
        <v>38</v>
      </c>
      <c r="B255" s="318"/>
      <c r="C255" s="318"/>
      <c r="D255" s="2"/>
      <c r="F255" s="4"/>
      <c r="G255" s="4"/>
      <c r="H255" s="4" t="s">
        <v>21</v>
      </c>
      <c r="I255" s="40">
        <f>I171+1</f>
        <v>4</v>
      </c>
    </row>
    <row r="256" spans="1:9" s="3" customFormat="1" ht="20.100000000000001" customHeight="1" x14ac:dyDescent="0.35">
      <c r="A256" s="311" t="s">
        <v>68</v>
      </c>
      <c r="B256" s="311"/>
      <c r="C256" s="311"/>
      <c r="D256" s="2"/>
      <c r="E256" s="39" t="s">
        <v>81</v>
      </c>
      <c r="F256" s="308">
        <f>F172</f>
        <v>46107</v>
      </c>
      <c r="G256" s="308"/>
      <c r="H256" s="39" t="s">
        <v>82</v>
      </c>
      <c r="I256" s="34">
        <f>I172</f>
        <v>46136</v>
      </c>
    </row>
    <row r="257" spans="1:9" x14ac:dyDescent="0.2">
      <c r="A257" s="12" t="s">
        <v>23</v>
      </c>
      <c r="B257" s="13" t="s">
        <v>11</v>
      </c>
      <c r="C257" s="72" t="s">
        <v>26</v>
      </c>
      <c r="D257" s="12" t="s">
        <v>16</v>
      </c>
      <c r="E257" s="12" t="s">
        <v>17</v>
      </c>
      <c r="F257" s="310" t="s">
        <v>46</v>
      </c>
      <c r="G257" s="310"/>
      <c r="H257" s="310"/>
      <c r="I257" s="12" t="s">
        <v>19</v>
      </c>
    </row>
    <row r="258" spans="1:9" x14ac:dyDescent="0.2">
      <c r="A258" s="15"/>
      <c r="B258" s="16"/>
      <c r="C258" s="73"/>
      <c r="D258" s="15"/>
      <c r="E258" s="15"/>
      <c r="F258" s="21" t="s">
        <v>113</v>
      </c>
      <c r="G258" s="21" t="s">
        <v>114</v>
      </c>
      <c r="H258" s="21" t="s">
        <v>20</v>
      </c>
      <c r="I258" s="15"/>
    </row>
    <row r="259" spans="1:9" hidden="1" x14ac:dyDescent="0.2">
      <c r="A259" s="8" t="s">
        <v>0</v>
      </c>
      <c r="B259" s="5">
        <f>B241+1</f>
        <v>46128</v>
      </c>
      <c r="C259" s="74"/>
      <c r="D259" s="6"/>
      <c r="E259" s="6"/>
      <c r="F259" s="6"/>
      <c r="G259" s="6"/>
      <c r="H259" s="6"/>
      <c r="I259" s="6"/>
    </row>
    <row r="260" spans="1:9" hidden="1" x14ac:dyDescent="0.2">
      <c r="A260" s="8" t="s">
        <v>1</v>
      </c>
      <c r="B260" s="5"/>
      <c r="C260" s="74"/>
      <c r="D260" s="6"/>
      <c r="E260" s="6"/>
      <c r="F260" s="6"/>
      <c r="G260" s="6"/>
      <c r="H260" s="6"/>
      <c r="I260" s="6"/>
    </row>
    <row r="261" spans="1:9" hidden="1" x14ac:dyDescent="0.2">
      <c r="A261" s="8" t="s">
        <v>2</v>
      </c>
      <c r="B261" s="5"/>
      <c r="C261" s="74"/>
      <c r="D261" s="6"/>
      <c r="E261" s="6"/>
      <c r="F261" s="6"/>
      <c r="G261" s="6"/>
      <c r="H261" s="6"/>
      <c r="I261" s="6"/>
    </row>
    <row r="262" spans="1:9" hidden="1" x14ac:dyDescent="0.2">
      <c r="A262" s="8" t="s">
        <v>3</v>
      </c>
      <c r="B262" s="5"/>
      <c r="C262" s="74"/>
      <c r="D262" s="6"/>
      <c r="E262" s="6"/>
      <c r="F262" s="6"/>
      <c r="G262" s="6"/>
      <c r="H262" s="6"/>
      <c r="I262" s="6"/>
    </row>
    <row r="263" spans="1:9" hidden="1" x14ac:dyDescent="0.2">
      <c r="A263" s="8" t="s">
        <v>4</v>
      </c>
      <c r="B263" s="5"/>
      <c r="C263" s="74"/>
      <c r="D263" s="6"/>
      <c r="E263" s="6"/>
      <c r="F263" s="6"/>
      <c r="G263" s="6"/>
      <c r="H263" s="6"/>
      <c r="I263" s="6"/>
    </row>
    <row r="264" spans="1:9" hidden="1" x14ac:dyDescent="0.2">
      <c r="A264" s="8" t="s">
        <v>5</v>
      </c>
      <c r="B264" s="5"/>
      <c r="C264" s="74"/>
      <c r="D264" s="6"/>
      <c r="E264" s="6"/>
      <c r="F264" s="6"/>
      <c r="G264" s="6"/>
      <c r="H264" s="6"/>
      <c r="I264" s="6"/>
    </row>
    <row r="265" spans="1:9" hidden="1" x14ac:dyDescent="0.2">
      <c r="A265" s="8" t="s">
        <v>6</v>
      </c>
      <c r="B265" s="5"/>
      <c r="C265" s="74"/>
      <c r="D265" s="6"/>
      <c r="E265" s="6"/>
      <c r="F265" s="6"/>
      <c r="G265" s="6"/>
      <c r="H265" s="6"/>
      <c r="I265" s="6"/>
    </row>
    <row r="266" spans="1:9" hidden="1" x14ac:dyDescent="0.2">
      <c r="A266" s="8" t="s">
        <v>7</v>
      </c>
      <c r="B266" s="5"/>
      <c r="C266" s="74"/>
      <c r="D266" s="6"/>
      <c r="E266" s="6"/>
      <c r="F266" s="6"/>
      <c r="G266" s="6"/>
      <c r="H266" s="6"/>
      <c r="I266" s="6"/>
    </row>
    <row r="267" spans="1:9" hidden="1" x14ac:dyDescent="0.2">
      <c r="A267" s="8" t="s">
        <v>8</v>
      </c>
      <c r="B267" s="5"/>
      <c r="C267" s="74"/>
      <c r="D267" s="6"/>
      <c r="E267" s="6"/>
      <c r="F267" s="6"/>
      <c r="G267" s="6"/>
      <c r="H267" s="6"/>
      <c r="I267" s="6"/>
    </row>
    <row r="268" spans="1:9" hidden="1" x14ac:dyDescent="0.2">
      <c r="A268" s="8" t="s">
        <v>9</v>
      </c>
      <c r="B268" s="5"/>
      <c r="C268" s="74"/>
      <c r="D268" s="6"/>
      <c r="E268" s="6"/>
      <c r="F268" s="6"/>
      <c r="G268" s="6"/>
      <c r="H268" s="6"/>
      <c r="I268" s="6"/>
    </row>
    <row r="269" spans="1:9" hidden="1" x14ac:dyDescent="0.2">
      <c r="A269" s="312" t="s">
        <v>10</v>
      </c>
      <c r="B269" s="313"/>
      <c r="C269" s="313"/>
      <c r="D269" s="313"/>
      <c r="E269" s="314"/>
      <c r="F269" s="11">
        <f>SUM(F259:F268)</f>
        <v>0</v>
      </c>
      <c r="G269" s="11">
        <f>SUM(G259:G268)</f>
        <v>0</v>
      </c>
      <c r="H269" s="11">
        <f>SUM(H259:H268)</f>
        <v>0</v>
      </c>
      <c r="I269" s="11"/>
    </row>
    <row r="270" spans="1:9" hidden="1" x14ac:dyDescent="0.2">
      <c r="A270" s="8" t="s">
        <v>0</v>
      </c>
      <c r="B270" s="5">
        <f>B259+1</f>
        <v>46129</v>
      </c>
      <c r="C270" s="74"/>
      <c r="D270" s="6"/>
      <c r="E270" s="6"/>
      <c r="F270" s="6"/>
      <c r="G270" s="6"/>
      <c r="H270" s="6"/>
      <c r="I270" s="6"/>
    </row>
    <row r="271" spans="1:9" hidden="1" x14ac:dyDescent="0.2">
      <c r="A271" s="8" t="s">
        <v>1</v>
      </c>
      <c r="B271" s="5"/>
      <c r="C271" s="74"/>
      <c r="D271" s="6"/>
      <c r="E271" s="6"/>
      <c r="F271" s="6"/>
      <c r="G271" s="6"/>
      <c r="H271" s="6"/>
      <c r="I271" s="6"/>
    </row>
    <row r="272" spans="1:9" hidden="1" x14ac:dyDescent="0.2">
      <c r="A272" s="8" t="s">
        <v>2</v>
      </c>
      <c r="B272" s="5"/>
      <c r="C272" s="74"/>
      <c r="D272" s="6"/>
      <c r="E272" s="6"/>
      <c r="F272" s="6"/>
      <c r="G272" s="6"/>
      <c r="H272" s="6"/>
      <c r="I272" s="6"/>
    </row>
    <row r="273" spans="1:9" hidden="1" x14ac:dyDescent="0.2">
      <c r="A273" s="8" t="s">
        <v>3</v>
      </c>
      <c r="B273" s="5"/>
      <c r="C273" s="74"/>
      <c r="D273" s="6"/>
      <c r="E273" s="6"/>
      <c r="F273" s="6"/>
      <c r="G273" s="6"/>
      <c r="H273" s="6"/>
      <c r="I273" s="6"/>
    </row>
    <row r="274" spans="1:9" hidden="1" x14ac:dyDescent="0.2">
      <c r="A274" s="8" t="s">
        <v>4</v>
      </c>
      <c r="B274" s="5"/>
      <c r="C274" s="74"/>
      <c r="D274" s="6"/>
      <c r="E274" s="6"/>
      <c r="F274" s="6"/>
      <c r="G274" s="6"/>
      <c r="H274" s="6"/>
      <c r="I274" s="6"/>
    </row>
    <row r="275" spans="1:9" hidden="1" x14ac:dyDescent="0.2">
      <c r="A275" s="8" t="s">
        <v>5</v>
      </c>
      <c r="B275" s="5"/>
      <c r="C275" s="74"/>
      <c r="D275" s="6"/>
      <c r="E275" s="6"/>
      <c r="F275" s="6"/>
      <c r="G275" s="6"/>
      <c r="H275" s="6"/>
      <c r="I275" s="6"/>
    </row>
    <row r="276" spans="1:9" hidden="1" x14ac:dyDescent="0.2">
      <c r="A276" s="8" t="s">
        <v>6</v>
      </c>
      <c r="B276" s="5"/>
      <c r="C276" s="74"/>
      <c r="D276" s="6"/>
      <c r="E276" s="6"/>
      <c r="F276" s="6"/>
      <c r="G276" s="6"/>
      <c r="H276" s="6"/>
      <c r="I276" s="6"/>
    </row>
    <row r="277" spans="1:9" hidden="1" x14ac:dyDescent="0.2">
      <c r="A277" s="8" t="s">
        <v>7</v>
      </c>
      <c r="B277" s="5"/>
      <c r="C277" s="74"/>
      <c r="D277" s="6"/>
      <c r="E277" s="6"/>
      <c r="F277" s="6"/>
      <c r="G277" s="6"/>
      <c r="H277" s="6"/>
      <c r="I277" s="6"/>
    </row>
    <row r="278" spans="1:9" hidden="1" x14ac:dyDescent="0.2">
      <c r="A278" s="8" t="s">
        <v>8</v>
      </c>
      <c r="B278" s="5"/>
      <c r="C278" s="74"/>
      <c r="D278" s="6"/>
      <c r="E278" s="6"/>
      <c r="F278" s="6"/>
      <c r="G278" s="6"/>
      <c r="H278" s="6"/>
      <c r="I278" s="6"/>
    </row>
    <row r="279" spans="1:9" hidden="1" x14ac:dyDescent="0.2">
      <c r="A279" s="8" t="s">
        <v>9</v>
      </c>
      <c r="B279" s="5"/>
      <c r="C279" s="74"/>
      <c r="D279" s="6"/>
      <c r="E279" s="6"/>
      <c r="F279" s="6"/>
      <c r="G279" s="6"/>
      <c r="H279" s="6"/>
      <c r="I279" s="6"/>
    </row>
    <row r="280" spans="1:9" hidden="1" x14ac:dyDescent="0.2">
      <c r="A280" s="312" t="s">
        <v>10</v>
      </c>
      <c r="B280" s="313"/>
      <c r="C280" s="313"/>
      <c r="D280" s="313"/>
      <c r="E280" s="314"/>
      <c r="F280" s="11">
        <f>SUM(F270:F279)</f>
        <v>0</v>
      </c>
      <c r="G280" s="11">
        <f>SUM(G270:G279)</f>
        <v>0</v>
      </c>
      <c r="H280" s="11">
        <f>SUM(H270:H279)</f>
        <v>0</v>
      </c>
      <c r="I280" s="11"/>
    </row>
    <row r="281" spans="1:9" hidden="1" x14ac:dyDescent="0.2">
      <c r="A281" s="8" t="s">
        <v>0</v>
      </c>
      <c r="B281" s="5">
        <f>B270+1</f>
        <v>46130</v>
      </c>
      <c r="C281" s="74"/>
      <c r="D281" s="6"/>
      <c r="E281" s="6"/>
      <c r="F281" s="6"/>
      <c r="G281" s="6"/>
      <c r="H281" s="6"/>
      <c r="I281" s="6"/>
    </row>
    <row r="282" spans="1:9" hidden="1" x14ac:dyDescent="0.2">
      <c r="A282" s="8" t="s">
        <v>1</v>
      </c>
      <c r="B282" s="5"/>
      <c r="C282" s="74"/>
      <c r="D282" s="6"/>
      <c r="E282" s="6"/>
      <c r="F282" s="6"/>
      <c r="G282" s="6"/>
      <c r="H282" s="6"/>
      <c r="I282" s="6"/>
    </row>
    <row r="283" spans="1:9" hidden="1" x14ac:dyDescent="0.2">
      <c r="A283" s="8" t="s">
        <v>2</v>
      </c>
      <c r="B283" s="5"/>
      <c r="C283" s="74"/>
      <c r="D283" s="6"/>
      <c r="E283" s="6"/>
      <c r="F283" s="6"/>
      <c r="G283" s="6"/>
      <c r="H283" s="6"/>
      <c r="I283" s="6"/>
    </row>
    <row r="284" spans="1:9" hidden="1" x14ac:dyDescent="0.2">
      <c r="A284" s="8" t="s">
        <v>3</v>
      </c>
      <c r="B284" s="5"/>
      <c r="C284" s="74"/>
      <c r="D284" s="6"/>
      <c r="E284" s="6"/>
      <c r="F284" s="6"/>
      <c r="G284" s="6"/>
      <c r="H284" s="6"/>
      <c r="I284" s="6"/>
    </row>
    <row r="285" spans="1:9" hidden="1" x14ac:dyDescent="0.2">
      <c r="A285" s="8" t="s">
        <v>4</v>
      </c>
      <c r="B285" s="5"/>
      <c r="C285" s="74"/>
      <c r="D285" s="6"/>
      <c r="E285" s="6"/>
      <c r="F285" s="6"/>
      <c r="G285" s="6"/>
      <c r="H285" s="6"/>
      <c r="I285" s="6"/>
    </row>
    <row r="286" spans="1:9" hidden="1" x14ac:dyDescent="0.2">
      <c r="A286" s="8" t="s">
        <v>5</v>
      </c>
      <c r="B286" s="5"/>
      <c r="C286" s="74"/>
      <c r="D286" s="6"/>
      <c r="E286" s="6"/>
      <c r="F286" s="6"/>
      <c r="G286" s="6"/>
      <c r="H286" s="6"/>
      <c r="I286" s="6"/>
    </row>
    <row r="287" spans="1:9" hidden="1" x14ac:dyDescent="0.2">
      <c r="A287" s="8" t="s">
        <v>6</v>
      </c>
      <c r="B287" s="5"/>
      <c r="C287" s="74"/>
      <c r="D287" s="6"/>
      <c r="E287" s="6"/>
      <c r="F287" s="6"/>
      <c r="G287" s="6"/>
      <c r="H287" s="6"/>
      <c r="I287" s="6"/>
    </row>
    <row r="288" spans="1:9" hidden="1" x14ac:dyDescent="0.2">
      <c r="A288" s="8" t="s">
        <v>7</v>
      </c>
      <c r="B288" s="5"/>
      <c r="C288" s="74"/>
      <c r="D288" s="6"/>
      <c r="E288" s="6"/>
      <c r="F288" s="6"/>
      <c r="G288" s="6"/>
      <c r="H288" s="6"/>
      <c r="I288" s="6"/>
    </row>
    <row r="289" spans="1:9" hidden="1" x14ac:dyDescent="0.2">
      <c r="A289" s="8" t="s">
        <v>8</v>
      </c>
      <c r="B289" s="5"/>
      <c r="C289" s="74"/>
      <c r="D289" s="6"/>
      <c r="E289" s="6"/>
      <c r="F289" s="6"/>
      <c r="G289" s="6"/>
      <c r="H289" s="6"/>
      <c r="I289" s="6"/>
    </row>
    <row r="290" spans="1:9" hidden="1" x14ac:dyDescent="0.2">
      <c r="A290" s="8" t="s">
        <v>9</v>
      </c>
      <c r="B290" s="5"/>
      <c r="C290" s="74"/>
      <c r="D290" s="6"/>
      <c r="E290" s="6"/>
      <c r="F290" s="6"/>
      <c r="G290" s="6"/>
      <c r="H290" s="6"/>
      <c r="I290" s="6"/>
    </row>
    <row r="291" spans="1:9" hidden="1" x14ac:dyDescent="0.2">
      <c r="A291" s="312" t="s">
        <v>10</v>
      </c>
      <c r="B291" s="313"/>
      <c r="C291" s="313"/>
      <c r="D291" s="313"/>
      <c r="E291" s="314"/>
      <c r="F291" s="11">
        <f>SUM(F281:F290)</f>
        <v>0</v>
      </c>
      <c r="G291" s="11">
        <f>SUM(G281:G290)</f>
        <v>0</v>
      </c>
      <c r="H291" s="11">
        <f>SUM(H281:H290)</f>
        <v>0</v>
      </c>
      <c r="I291" s="11"/>
    </row>
    <row r="292" spans="1:9" hidden="1" x14ac:dyDescent="0.2">
      <c r="A292" s="8" t="s">
        <v>0</v>
      </c>
      <c r="B292" s="5">
        <f>B281+1</f>
        <v>46131</v>
      </c>
      <c r="C292" s="75"/>
      <c r="D292" s="6"/>
      <c r="E292" s="6"/>
      <c r="F292" s="6"/>
      <c r="G292" s="6"/>
      <c r="H292" s="6"/>
      <c r="I292" s="6"/>
    </row>
    <row r="293" spans="1:9" hidden="1" x14ac:dyDescent="0.2">
      <c r="A293" s="8" t="s">
        <v>1</v>
      </c>
      <c r="B293" s="5"/>
      <c r="C293" s="75"/>
      <c r="D293" s="6"/>
      <c r="E293" s="6"/>
      <c r="F293" s="6"/>
      <c r="G293" s="6"/>
      <c r="H293" s="6"/>
      <c r="I293" s="6"/>
    </row>
    <row r="294" spans="1:9" hidden="1" x14ac:dyDescent="0.2">
      <c r="A294" s="8" t="s">
        <v>2</v>
      </c>
      <c r="B294" s="5"/>
      <c r="C294" s="75"/>
      <c r="D294" s="6"/>
      <c r="E294" s="6"/>
      <c r="F294" s="6"/>
      <c r="G294" s="6"/>
      <c r="H294" s="6"/>
      <c r="I294" s="6"/>
    </row>
    <row r="295" spans="1:9" hidden="1" x14ac:dyDescent="0.2">
      <c r="A295" s="8" t="s">
        <v>3</v>
      </c>
      <c r="B295" s="5"/>
      <c r="C295" s="75"/>
      <c r="D295" s="6"/>
      <c r="E295" s="6"/>
      <c r="F295" s="6"/>
      <c r="G295" s="6"/>
      <c r="H295" s="6"/>
      <c r="I295" s="6"/>
    </row>
    <row r="296" spans="1:9" hidden="1" x14ac:dyDescent="0.2">
      <c r="A296" s="8" t="s">
        <v>4</v>
      </c>
      <c r="B296" s="5"/>
      <c r="C296" s="75"/>
      <c r="D296" s="6"/>
      <c r="E296" s="6"/>
      <c r="F296" s="6"/>
      <c r="G296" s="6"/>
      <c r="H296" s="6"/>
      <c r="I296" s="6"/>
    </row>
    <row r="297" spans="1:9" hidden="1" x14ac:dyDescent="0.2">
      <c r="A297" s="8" t="s">
        <v>5</v>
      </c>
      <c r="B297" s="5"/>
      <c r="C297" s="75"/>
      <c r="D297" s="6"/>
      <c r="E297" s="6"/>
      <c r="F297" s="6"/>
      <c r="G297" s="6"/>
      <c r="H297" s="6"/>
      <c r="I297" s="6"/>
    </row>
    <row r="298" spans="1:9" hidden="1" x14ac:dyDescent="0.2">
      <c r="A298" s="8" t="s">
        <v>6</v>
      </c>
      <c r="B298" s="5"/>
      <c r="C298" s="75"/>
      <c r="D298" s="6"/>
      <c r="E298" s="6"/>
      <c r="F298" s="6"/>
      <c r="G298" s="6"/>
      <c r="H298" s="6"/>
      <c r="I298" s="6"/>
    </row>
    <row r="299" spans="1:9" hidden="1" x14ac:dyDescent="0.2">
      <c r="A299" s="8" t="s">
        <v>7</v>
      </c>
      <c r="B299" s="5"/>
      <c r="C299" s="74"/>
      <c r="D299" s="6"/>
      <c r="E299" s="6"/>
      <c r="F299" s="6"/>
      <c r="G299" s="6"/>
      <c r="H299" s="6"/>
      <c r="I299" s="6"/>
    </row>
    <row r="300" spans="1:9" hidden="1" x14ac:dyDescent="0.2">
      <c r="A300" s="8" t="s">
        <v>8</v>
      </c>
      <c r="B300" s="5"/>
      <c r="C300" s="74"/>
      <c r="D300" s="6"/>
      <c r="E300" s="6"/>
      <c r="F300" s="6"/>
      <c r="G300" s="6"/>
      <c r="H300" s="6"/>
      <c r="I300" s="6"/>
    </row>
    <row r="301" spans="1:9" hidden="1" x14ac:dyDescent="0.2">
      <c r="A301" s="8" t="s">
        <v>9</v>
      </c>
      <c r="B301" s="5"/>
      <c r="C301" s="74"/>
      <c r="D301" s="6"/>
      <c r="E301" s="6"/>
      <c r="F301" s="6"/>
      <c r="G301" s="6"/>
      <c r="H301" s="6"/>
      <c r="I301" s="6"/>
    </row>
    <row r="302" spans="1:9" hidden="1" x14ac:dyDescent="0.2">
      <c r="A302" s="312" t="s">
        <v>10</v>
      </c>
      <c r="B302" s="313"/>
      <c r="C302" s="313"/>
      <c r="D302" s="313"/>
      <c r="E302" s="314"/>
      <c r="F302" s="11">
        <f>SUM(F292:F301)</f>
        <v>0</v>
      </c>
      <c r="G302" s="11">
        <f>SUM(G292:G301)</f>
        <v>0</v>
      </c>
      <c r="H302" s="11">
        <f>SUM(H292:H301)</f>
        <v>0</v>
      </c>
      <c r="I302" s="11"/>
    </row>
    <row r="303" spans="1:9" x14ac:dyDescent="0.2">
      <c r="A303" s="8" t="s">
        <v>0</v>
      </c>
      <c r="B303" s="5">
        <f>B292+1</f>
        <v>46132</v>
      </c>
      <c r="C303" s="75" t="s">
        <v>1358</v>
      </c>
      <c r="D303" s="6" t="s">
        <v>188</v>
      </c>
      <c r="E303" s="6" t="s">
        <v>165</v>
      </c>
      <c r="F303" s="6">
        <v>1</v>
      </c>
      <c r="G303" s="6"/>
      <c r="H303" s="6">
        <v>6</v>
      </c>
      <c r="I303" s="6"/>
    </row>
    <row r="304" spans="1:9" x14ac:dyDescent="0.2">
      <c r="A304" s="8" t="s">
        <v>1</v>
      </c>
      <c r="B304" s="5"/>
      <c r="C304" s="75" t="s">
        <v>1359</v>
      </c>
      <c r="D304" s="6" t="s">
        <v>188</v>
      </c>
      <c r="E304" s="6" t="s">
        <v>165</v>
      </c>
      <c r="F304" s="6">
        <v>1</v>
      </c>
      <c r="G304" s="6"/>
      <c r="H304" s="6">
        <v>6</v>
      </c>
      <c r="I304" s="6"/>
    </row>
    <row r="305" spans="1:9" x14ac:dyDescent="0.2">
      <c r="A305" s="8" t="s">
        <v>2</v>
      </c>
      <c r="B305" s="5"/>
      <c r="C305" s="75" t="s">
        <v>1360</v>
      </c>
      <c r="D305" s="6" t="s">
        <v>188</v>
      </c>
      <c r="E305" s="6" t="s">
        <v>165</v>
      </c>
      <c r="F305" s="6">
        <v>1</v>
      </c>
      <c r="G305" s="6"/>
      <c r="H305" s="6">
        <v>6</v>
      </c>
      <c r="I305" s="6"/>
    </row>
    <row r="306" spans="1:9" x14ac:dyDescent="0.2">
      <c r="A306" s="8" t="s">
        <v>3</v>
      </c>
      <c r="B306" s="5"/>
      <c r="C306" s="75" t="s">
        <v>1361</v>
      </c>
      <c r="D306" s="6" t="s">
        <v>188</v>
      </c>
      <c r="E306" s="6" t="s">
        <v>165</v>
      </c>
      <c r="F306" s="6">
        <v>1</v>
      </c>
      <c r="G306" s="6"/>
      <c r="H306" s="6">
        <v>6</v>
      </c>
      <c r="I306" s="6"/>
    </row>
    <row r="307" spans="1:9" hidden="1" x14ac:dyDescent="0.2">
      <c r="A307" s="8" t="s">
        <v>4</v>
      </c>
      <c r="B307" s="5"/>
      <c r="C307" s="75"/>
      <c r="D307" s="6"/>
      <c r="E307" s="6"/>
      <c r="F307" s="6"/>
      <c r="G307" s="6"/>
      <c r="H307" s="6"/>
      <c r="I307" s="6"/>
    </row>
    <row r="308" spans="1:9" hidden="1" x14ac:dyDescent="0.2">
      <c r="A308" s="8" t="s">
        <v>5</v>
      </c>
      <c r="B308" s="5"/>
      <c r="C308" s="75"/>
      <c r="D308" s="6"/>
      <c r="E308" s="6"/>
      <c r="F308" s="6"/>
      <c r="G308" s="6"/>
      <c r="H308" s="6"/>
      <c r="I308" s="6"/>
    </row>
    <row r="309" spans="1:9" hidden="1" x14ac:dyDescent="0.2">
      <c r="A309" s="8" t="s">
        <v>6</v>
      </c>
      <c r="B309" s="5"/>
      <c r="C309" s="74"/>
      <c r="D309" s="6"/>
      <c r="E309" s="6"/>
      <c r="F309" s="6"/>
      <c r="G309" s="6"/>
      <c r="H309" s="6"/>
      <c r="I309" s="6"/>
    </row>
    <row r="310" spans="1:9" hidden="1" x14ac:dyDescent="0.2">
      <c r="A310" s="8" t="s">
        <v>7</v>
      </c>
      <c r="B310" s="5"/>
      <c r="C310" s="74"/>
      <c r="D310" s="6"/>
      <c r="E310" s="6"/>
      <c r="F310" s="6"/>
      <c r="G310" s="6"/>
      <c r="H310" s="6"/>
      <c r="I310" s="6"/>
    </row>
    <row r="311" spans="1:9" hidden="1" x14ac:dyDescent="0.2">
      <c r="A311" s="8" t="s">
        <v>8</v>
      </c>
      <c r="B311" s="5"/>
      <c r="C311" s="74"/>
      <c r="D311" s="6"/>
      <c r="E311" s="6"/>
      <c r="F311" s="6"/>
      <c r="G311" s="6"/>
      <c r="H311" s="6"/>
      <c r="I311" s="6"/>
    </row>
    <row r="312" spans="1:9" hidden="1" x14ac:dyDescent="0.2">
      <c r="A312" s="8" t="s">
        <v>9</v>
      </c>
      <c r="B312" s="5"/>
      <c r="C312" s="74"/>
      <c r="D312" s="6"/>
      <c r="E312" s="6"/>
      <c r="F312" s="6"/>
      <c r="G312" s="6"/>
      <c r="H312" s="6"/>
      <c r="I312" s="6"/>
    </row>
    <row r="313" spans="1:9" x14ac:dyDescent="0.2">
      <c r="A313" s="312" t="s">
        <v>10</v>
      </c>
      <c r="B313" s="313"/>
      <c r="C313" s="313"/>
      <c r="D313" s="313"/>
      <c r="E313" s="314"/>
      <c r="F313" s="11">
        <f>SUM(F303:F312)</f>
        <v>4</v>
      </c>
      <c r="G313" s="11">
        <f>SUM(G303:G312)</f>
        <v>0</v>
      </c>
      <c r="H313" s="11">
        <f>SUM(H303:H312)</f>
        <v>24</v>
      </c>
      <c r="I313" s="11"/>
    </row>
    <row r="314" spans="1:9" hidden="1" x14ac:dyDescent="0.2">
      <c r="A314" s="8" t="s">
        <v>0</v>
      </c>
      <c r="B314" s="5">
        <f>B303+1</f>
        <v>46133</v>
      </c>
      <c r="C314" s="75"/>
      <c r="D314" s="6"/>
      <c r="E314" s="6"/>
      <c r="F314" s="6"/>
      <c r="G314" s="6"/>
      <c r="H314" s="6"/>
      <c r="I314" s="6"/>
    </row>
    <row r="315" spans="1:9" hidden="1" x14ac:dyDescent="0.2">
      <c r="A315" s="8" t="s">
        <v>1</v>
      </c>
      <c r="B315" s="5"/>
      <c r="C315" s="75"/>
      <c r="D315" s="6"/>
      <c r="E315" s="6"/>
      <c r="F315" s="6"/>
      <c r="G315" s="6"/>
      <c r="H315" s="6"/>
      <c r="I315" s="6"/>
    </row>
    <row r="316" spans="1:9" hidden="1" x14ac:dyDescent="0.2">
      <c r="A316" s="8" t="s">
        <v>2</v>
      </c>
      <c r="B316" s="5"/>
      <c r="C316" s="75"/>
      <c r="D316" s="6"/>
      <c r="E316" s="6"/>
      <c r="F316" s="6"/>
      <c r="G316" s="6"/>
      <c r="H316" s="6"/>
      <c r="I316" s="6"/>
    </row>
    <row r="317" spans="1:9" hidden="1" x14ac:dyDescent="0.2">
      <c r="A317" s="8" t="s">
        <v>3</v>
      </c>
      <c r="B317" s="5"/>
      <c r="C317" s="75"/>
      <c r="D317" s="6"/>
      <c r="E317" s="6"/>
      <c r="F317" s="6"/>
      <c r="G317" s="6"/>
      <c r="H317" s="6"/>
      <c r="I317" s="6"/>
    </row>
    <row r="318" spans="1:9" hidden="1" x14ac:dyDescent="0.2">
      <c r="A318" s="8" t="s">
        <v>4</v>
      </c>
      <c r="B318" s="5"/>
      <c r="C318" s="75"/>
      <c r="D318" s="6"/>
      <c r="E318" s="6"/>
      <c r="F318" s="6"/>
      <c r="G318" s="6"/>
      <c r="H318" s="6"/>
      <c r="I318" s="6"/>
    </row>
    <row r="319" spans="1:9" hidden="1" x14ac:dyDescent="0.2">
      <c r="A319" s="8" t="s">
        <v>5</v>
      </c>
      <c r="B319" s="5"/>
      <c r="C319" s="75"/>
      <c r="D319" s="6"/>
      <c r="E319" s="6"/>
      <c r="F319" s="6"/>
      <c r="G319" s="6"/>
      <c r="H319" s="6"/>
      <c r="I319" s="6"/>
    </row>
    <row r="320" spans="1:9" hidden="1" x14ac:dyDescent="0.2">
      <c r="A320" s="8" t="s">
        <v>6</v>
      </c>
      <c r="B320" s="5"/>
      <c r="C320" s="75"/>
      <c r="D320" s="6"/>
      <c r="E320" s="6"/>
      <c r="F320" s="6"/>
      <c r="G320" s="6"/>
      <c r="H320" s="6"/>
      <c r="I320" s="6"/>
    </row>
    <row r="321" spans="1:9" hidden="1" x14ac:dyDescent="0.2">
      <c r="A321" s="8" t="s">
        <v>7</v>
      </c>
      <c r="B321" s="5"/>
      <c r="C321" s="75"/>
      <c r="D321" s="6"/>
      <c r="E321" s="6"/>
      <c r="F321" s="6"/>
      <c r="G321" s="6"/>
      <c r="H321" s="6"/>
      <c r="I321" s="6"/>
    </row>
    <row r="322" spans="1:9" hidden="1" x14ac:dyDescent="0.2">
      <c r="A322" s="8" t="s">
        <v>8</v>
      </c>
      <c r="B322" s="5"/>
      <c r="C322" s="75"/>
      <c r="D322" s="6"/>
      <c r="E322" s="6"/>
      <c r="F322" s="6"/>
      <c r="G322" s="6"/>
      <c r="H322" s="6"/>
      <c r="I322" s="6"/>
    </row>
    <row r="323" spans="1:9" hidden="1" x14ac:dyDescent="0.2">
      <c r="A323" s="8" t="s">
        <v>9</v>
      </c>
      <c r="B323" s="5"/>
      <c r="C323" s="75"/>
      <c r="D323" s="6"/>
      <c r="E323" s="6"/>
      <c r="F323" s="6"/>
      <c r="G323" s="6"/>
      <c r="H323" s="6"/>
      <c r="I323" s="6"/>
    </row>
    <row r="324" spans="1:9" hidden="1" x14ac:dyDescent="0.2">
      <c r="A324" s="312" t="s">
        <v>10</v>
      </c>
      <c r="B324" s="313"/>
      <c r="C324" s="313"/>
      <c r="D324" s="313"/>
      <c r="E324" s="314"/>
      <c r="F324" s="11">
        <f>SUM(F314:F323)</f>
        <v>0</v>
      </c>
      <c r="G324" s="11">
        <f>SUM(G314:G323)</f>
        <v>0</v>
      </c>
      <c r="H324" s="11">
        <f>SUM(H314:H323)</f>
        <v>0</v>
      </c>
      <c r="I324" s="11"/>
    </row>
    <row r="325" spans="1:9" hidden="1" x14ac:dyDescent="0.2">
      <c r="A325" s="8" t="s">
        <v>0</v>
      </c>
      <c r="B325" s="5">
        <f>B314+1</f>
        <v>46134</v>
      </c>
      <c r="C325" s="74"/>
      <c r="D325" s="6"/>
      <c r="E325" s="6"/>
      <c r="F325" s="6"/>
      <c r="G325" s="6"/>
      <c r="H325" s="6"/>
      <c r="I325" s="6"/>
    </row>
    <row r="326" spans="1:9" hidden="1" x14ac:dyDescent="0.2">
      <c r="A326" s="8" t="s">
        <v>1</v>
      </c>
      <c r="B326" s="5"/>
      <c r="C326" s="74"/>
      <c r="D326" s="6"/>
      <c r="E326" s="6"/>
      <c r="F326" s="6"/>
      <c r="G326" s="6"/>
      <c r="H326" s="6"/>
      <c r="I326" s="6"/>
    </row>
    <row r="327" spans="1:9" hidden="1" x14ac:dyDescent="0.2">
      <c r="A327" s="8" t="s">
        <v>2</v>
      </c>
      <c r="B327" s="5"/>
      <c r="C327" s="74"/>
      <c r="D327" s="6"/>
      <c r="E327" s="6"/>
      <c r="F327" s="6"/>
      <c r="G327" s="6"/>
      <c r="H327" s="6"/>
      <c r="I327" s="6"/>
    </row>
    <row r="328" spans="1:9" hidden="1" x14ac:dyDescent="0.2">
      <c r="A328" s="8" t="s">
        <v>3</v>
      </c>
      <c r="B328" s="5"/>
      <c r="C328" s="74"/>
      <c r="D328" s="6"/>
      <c r="E328" s="6"/>
      <c r="F328" s="6"/>
      <c r="G328" s="6"/>
      <c r="H328" s="6"/>
      <c r="I328" s="6"/>
    </row>
    <row r="329" spans="1:9" hidden="1" x14ac:dyDescent="0.2">
      <c r="A329" s="8" t="s">
        <v>4</v>
      </c>
      <c r="B329" s="5"/>
      <c r="C329" s="74"/>
      <c r="D329" s="6"/>
      <c r="E329" s="6"/>
      <c r="F329" s="6"/>
      <c r="G329" s="6"/>
      <c r="H329" s="6"/>
      <c r="I329" s="6"/>
    </row>
    <row r="330" spans="1:9" hidden="1" x14ac:dyDescent="0.2">
      <c r="A330" s="8" t="s">
        <v>5</v>
      </c>
      <c r="B330" s="5"/>
      <c r="C330" s="74"/>
      <c r="D330" s="6"/>
      <c r="E330" s="6"/>
      <c r="F330" s="6"/>
      <c r="G330" s="6"/>
      <c r="H330" s="6"/>
      <c r="I330" s="6"/>
    </row>
    <row r="331" spans="1:9" hidden="1" x14ac:dyDescent="0.2">
      <c r="A331" s="8" t="s">
        <v>6</v>
      </c>
      <c r="B331" s="5"/>
      <c r="C331" s="74"/>
      <c r="D331" s="6"/>
      <c r="E331" s="6"/>
      <c r="F331" s="6"/>
      <c r="G331" s="6"/>
      <c r="H331" s="6"/>
      <c r="I331" s="6"/>
    </row>
    <row r="332" spans="1:9" hidden="1" x14ac:dyDescent="0.2">
      <c r="A332" s="8" t="s">
        <v>7</v>
      </c>
      <c r="B332" s="5"/>
      <c r="C332" s="74"/>
      <c r="D332" s="6"/>
      <c r="E332" s="6"/>
      <c r="F332" s="6"/>
      <c r="G332" s="6"/>
      <c r="H332" s="6"/>
      <c r="I332" s="6"/>
    </row>
    <row r="333" spans="1:9" hidden="1" x14ac:dyDescent="0.2">
      <c r="A333" s="8" t="s">
        <v>8</v>
      </c>
      <c r="B333" s="5"/>
      <c r="C333" s="74"/>
      <c r="D333" s="6"/>
      <c r="E333" s="6"/>
      <c r="F333" s="6"/>
      <c r="G333" s="6"/>
      <c r="H333" s="6"/>
      <c r="I333" s="6"/>
    </row>
    <row r="334" spans="1:9" hidden="1" x14ac:dyDescent="0.2">
      <c r="A334" s="8" t="s">
        <v>9</v>
      </c>
      <c r="B334" s="5"/>
      <c r="C334" s="74"/>
      <c r="D334" s="6"/>
      <c r="E334" s="6"/>
      <c r="F334" s="6"/>
      <c r="G334" s="6"/>
      <c r="H334" s="6"/>
      <c r="I334" s="6"/>
    </row>
    <row r="335" spans="1:9" hidden="1" x14ac:dyDescent="0.2">
      <c r="A335" s="312" t="s">
        <v>10</v>
      </c>
      <c r="B335" s="313"/>
      <c r="C335" s="313"/>
      <c r="D335" s="313"/>
      <c r="E335" s="314"/>
      <c r="F335" s="11">
        <f>SUM(F325:F334)</f>
        <v>0</v>
      </c>
      <c r="G335" s="11">
        <f>SUM(G325:G334)</f>
        <v>0</v>
      </c>
      <c r="H335" s="11">
        <f>SUM(H325:H334)</f>
        <v>0</v>
      </c>
      <c r="I335" s="11"/>
    </row>
    <row r="336" spans="1:9" s="25" customFormat="1" ht="18" x14ac:dyDescent="0.2">
      <c r="A336" s="315" t="s">
        <v>39</v>
      </c>
      <c r="B336" s="316"/>
      <c r="C336" s="316"/>
      <c r="D336" s="316"/>
      <c r="E336" s="317"/>
      <c r="F336" s="22">
        <f>F269+F280+F291+F302+F313+F324+F335+F252</f>
        <v>23</v>
      </c>
      <c r="G336" s="22">
        <f>G269+G280+G291+G302+G313+G324+G335+G252</f>
        <v>3</v>
      </c>
      <c r="H336" s="22">
        <f>H269+H280+H291+H302+H313+H324+H335+H252</f>
        <v>126.5</v>
      </c>
      <c r="I336" s="22"/>
    </row>
    <row r="337" spans="1:9" ht="21.95" customHeight="1" x14ac:dyDescent="0.2">
      <c r="A337" s="319" t="s">
        <v>14</v>
      </c>
      <c r="B337" s="319"/>
      <c r="C337" s="319"/>
      <c r="D337" s="319"/>
      <c r="E337" s="319"/>
      <c r="F337" s="319"/>
      <c r="G337" s="319"/>
      <c r="H337" s="319"/>
      <c r="I337" s="319"/>
    </row>
    <row r="338" spans="1:9" s="53" customFormat="1" ht="20.100000000000001" customHeight="1" x14ac:dyDescent="0.2">
      <c r="A338" s="323" t="s">
        <v>86</v>
      </c>
      <c r="B338" s="323"/>
      <c r="C338" s="323"/>
      <c r="D338" s="323"/>
      <c r="E338" s="323"/>
      <c r="F338" s="50" t="str">
        <f>F254</f>
        <v>เมษายน</v>
      </c>
      <c r="G338" s="50" t="s">
        <v>87</v>
      </c>
      <c r="H338" s="51">
        <f>H254</f>
        <v>2569</v>
      </c>
      <c r="I338" s="52"/>
    </row>
    <row r="339" spans="1:9" s="3" customFormat="1" ht="20.100000000000001" customHeight="1" x14ac:dyDescent="0.35">
      <c r="A339" s="318" t="s">
        <v>38</v>
      </c>
      <c r="B339" s="318"/>
      <c r="C339" s="318"/>
      <c r="D339" s="2"/>
      <c r="F339" s="4"/>
      <c r="G339" s="4"/>
      <c r="H339" s="4" t="s">
        <v>21</v>
      </c>
      <c r="I339" s="40">
        <f>I255+1</f>
        <v>5</v>
      </c>
    </row>
    <row r="340" spans="1:9" s="3" customFormat="1" ht="20.100000000000001" customHeight="1" x14ac:dyDescent="0.35">
      <c r="A340" s="311" t="s">
        <v>68</v>
      </c>
      <c r="B340" s="311"/>
      <c r="C340" s="311"/>
      <c r="D340" s="2"/>
      <c r="E340" s="39" t="s">
        <v>81</v>
      </c>
      <c r="F340" s="308">
        <f>F256</f>
        <v>46107</v>
      </c>
      <c r="G340" s="308"/>
      <c r="H340" s="39" t="s">
        <v>82</v>
      </c>
      <c r="I340" s="34">
        <f>I256</f>
        <v>46136</v>
      </c>
    </row>
    <row r="341" spans="1:9" x14ac:dyDescent="0.2">
      <c r="A341" s="12" t="s">
        <v>23</v>
      </c>
      <c r="B341" s="13" t="s">
        <v>11</v>
      </c>
      <c r="C341" s="72" t="s">
        <v>26</v>
      </c>
      <c r="D341" s="12" t="s">
        <v>16</v>
      </c>
      <c r="E341" s="12" t="s">
        <v>17</v>
      </c>
      <c r="F341" s="310" t="s">
        <v>18</v>
      </c>
      <c r="G341" s="310"/>
      <c r="H341" s="310"/>
      <c r="I341" s="12" t="s">
        <v>19</v>
      </c>
    </row>
    <row r="342" spans="1:9" x14ac:dyDescent="0.2">
      <c r="A342" s="15"/>
      <c r="B342" s="16"/>
      <c r="C342" s="73"/>
      <c r="D342" s="15"/>
      <c r="E342" s="15"/>
      <c r="F342" s="21" t="s">
        <v>113</v>
      </c>
      <c r="G342" s="21" t="s">
        <v>114</v>
      </c>
      <c r="H342" s="21" t="s">
        <v>20</v>
      </c>
      <c r="I342" s="15"/>
    </row>
    <row r="343" spans="1:9" x14ac:dyDescent="0.2">
      <c r="A343" s="8" t="s">
        <v>0</v>
      </c>
      <c r="B343" s="5">
        <f>B325+1</f>
        <v>46135</v>
      </c>
      <c r="C343" s="74" t="s">
        <v>1566</v>
      </c>
      <c r="D343" s="6" t="s">
        <v>1567</v>
      </c>
      <c r="E343" s="6" t="s">
        <v>165</v>
      </c>
      <c r="F343" s="6">
        <v>1</v>
      </c>
      <c r="G343" s="6"/>
      <c r="H343" s="6">
        <v>2</v>
      </c>
      <c r="I343" s="6"/>
    </row>
    <row r="344" spans="1:9" hidden="1" x14ac:dyDescent="0.2">
      <c r="A344" s="8" t="s">
        <v>1</v>
      </c>
      <c r="B344" s="5"/>
      <c r="C344" s="74"/>
      <c r="D344" s="6"/>
      <c r="E344" s="6"/>
      <c r="F344" s="6"/>
      <c r="G344" s="6"/>
      <c r="H344" s="6"/>
      <c r="I344" s="6"/>
    </row>
    <row r="345" spans="1:9" hidden="1" x14ac:dyDescent="0.2">
      <c r="A345" s="8" t="s">
        <v>2</v>
      </c>
      <c r="B345" s="5"/>
      <c r="C345" s="74"/>
      <c r="D345" s="6"/>
      <c r="E345" s="6"/>
      <c r="F345" s="6"/>
      <c r="G345" s="6"/>
      <c r="H345" s="6"/>
      <c r="I345" s="6"/>
    </row>
    <row r="346" spans="1:9" hidden="1" x14ac:dyDescent="0.2">
      <c r="A346" s="8" t="s">
        <v>3</v>
      </c>
      <c r="B346" s="5"/>
      <c r="C346" s="74"/>
      <c r="D346" s="6"/>
      <c r="E346" s="6"/>
      <c r="F346" s="6"/>
      <c r="G346" s="6"/>
      <c r="H346" s="6"/>
      <c r="I346" s="6"/>
    </row>
    <row r="347" spans="1:9" hidden="1" x14ac:dyDescent="0.2">
      <c r="A347" s="8" t="s">
        <v>4</v>
      </c>
      <c r="B347" s="5"/>
      <c r="C347" s="74"/>
      <c r="D347" s="6"/>
      <c r="E347" s="6"/>
      <c r="F347" s="6"/>
      <c r="G347" s="6"/>
      <c r="H347" s="6"/>
      <c r="I347" s="6"/>
    </row>
    <row r="348" spans="1:9" hidden="1" x14ac:dyDescent="0.2">
      <c r="A348" s="8" t="s">
        <v>5</v>
      </c>
      <c r="B348" s="5"/>
      <c r="C348" s="74"/>
      <c r="D348" s="6"/>
      <c r="E348" s="6"/>
      <c r="F348" s="6"/>
      <c r="G348" s="6"/>
      <c r="H348" s="6"/>
      <c r="I348" s="6"/>
    </row>
    <row r="349" spans="1:9" hidden="1" x14ac:dyDescent="0.2">
      <c r="A349" s="8" t="s">
        <v>6</v>
      </c>
      <c r="B349" s="5"/>
      <c r="C349" s="74"/>
      <c r="D349" s="6"/>
      <c r="E349" s="6"/>
      <c r="F349" s="6"/>
      <c r="G349" s="6"/>
      <c r="H349" s="6"/>
      <c r="I349" s="6"/>
    </row>
    <row r="350" spans="1:9" hidden="1" x14ac:dyDescent="0.2">
      <c r="A350" s="8" t="s">
        <v>7</v>
      </c>
      <c r="B350" s="5"/>
      <c r="C350" s="74"/>
      <c r="D350" s="6"/>
      <c r="E350" s="6"/>
      <c r="F350" s="6"/>
      <c r="G350" s="6"/>
      <c r="H350" s="6"/>
      <c r="I350" s="6"/>
    </row>
    <row r="351" spans="1:9" hidden="1" x14ac:dyDescent="0.2">
      <c r="A351" s="8" t="s">
        <v>8</v>
      </c>
      <c r="B351" s="5"/>
      <c r="C351" s="74"/>
      <c r="D351" s="6"/>
      <c r="E351" s="6"/>
      <c r="F351" s="6"/>
      <c r="G351" s="6"/>
      <c r="H351" s="6"/>
      <c r="I351" s="6"/>
    </row>
    <row r="352" spans="1:9" hidden="1" x14ac:dyDescent="0.2">
      <c r="A352" s="8" t="s">
        <v>9</v>
      </c>
      <c r="B352" s="5"/>
      <c r="C352" s="74"/>
      <c r="D352" s="6"/>
      <c r="E352" s="6"/>
      <c r="F352" s="6"/>
      <c r="G352" s="6"/>
      <c r="H352" s="6"/>
      <c r="I352" s="6"/>
    </row>
    <row r="353" spans="1:9" hidden="1" x14ac:dyDescent="0.2">
      <c r="A353" s="8" t="s">
        <v>99</v>
      </c>
      <c r="B353" s="5"/>
      <c r="C353" s="74"/>
      <c r="D353" s="6"/>
      <c r="E353" s="6"/>
      <c r="F353" s="6"/>
      <c r="G353" s="6"/>
      <c r="H353" s="6"/>
      <c r="I353" s="6"/>
    </row>
    <row r="354" spans="1:9" x14ac:dyDescent="0.2">
      <c r="A354" s="312" t="s">
        <v>10</v>
      </c>
      <c r="B354" s="313"/>
      <c r="C354" s="313"/>
      <c r="D354" s="313"/>
      <c r="E354" s="314"/>
      <c r="F354" s="11">
        <f>SUM(F343:F353)</f>
        <v>1</v>
      </c>
      <c r="G354" s="11">
        <f>SUM(G343:G353)</f>
        <v>0</v>
      </c>
      <c r="H354" s="11">
        <f>SUM(H343:H353)</f>
        <v>2</v>
      </c>
      <c r="I354" s="11"/>
    </row>
    <row r="355" spans="1:9" x14ac:dyDescent="0.2">
      <c r="A355" s="8" t="s">
        <v>0</v>
      </c>
      <c r="B355" s="5">
        <f>B343+1</f>
        <v>46136</v>
      </c>
      <c r="C355" s="74" t="s">
        <v>1638</v>
      </c>
      <c r="D355" s="6" t="s">
        <v>170</v>
      </c>
      <c r="E355" s="6" t="s">
        <v>165</v>
      </c>
      <c r="F355" s="6">
        <v>1</v>
      </c>
      <c r="G355" s="6"/>
      <c r="H355" s="6">
        <v>5</v>
      </c>
      <c r="I355" s="6"/>
    </row>
    <row r="356" spans="1:9" x14ac:dyDescent="0.2">
      <c r="A356" s="8" t="s">
        <v>1</v>
      </c>
      <c r="B356" s="5"/>
      <c r="C356" s="74" t="s">
        <v>1608</v>
      </c>
      <c r="D356" s="6" t="s">
        <v>170</v>
      </c>
      <c r="E356" s="6" t="s">
        <v>171</v>
      </c>
      <c r="F356" s="6">
        <v>1</v>
      </c>
      <c r="G356" s="6"/>
      <c r="H356" s="6">
        <v>6</v>
      </c>
      <c r="I356" s="6"/>
    </row>
    <row r="357" spans="1:9" hidden="1" x14ac:dyDescent="0.2">
      <c r="A357" s="8" t="s">
        <v>2</v>
      </c>
      <c r="B357" s="5"/>
      <c r="C357" s="74"/>
      <c r="D357" s="6"/>
      <c r="E357" s="6"/>
      <c r="F357" s="6"/>
      <c r="G357" s="6"/>
      <c r="H357" s="6"/>
      <c r="I357" s="6"/>
    </row>
    <row r="358" spans="1:9" hidden="1" x14ac:dyDescent="0.2">
      <c r="A358" s="8" t="s">
        <v>3</v>
      </c>
      <c r="B358" s="5"/>
      <c r="C358" s="74"/>
      <c r="D358" s="6"/>
      <c r="E358" s="6"/>
      <c r="F358" s="6"/>
      <c r="G358" s="6"/>
      <c r="H358" s="6"/>
      <c r="I358" s="6"/>
    </row>
    <row r="359" spans="1:9" hidden="1" x14ac:dyDescent="0.2">
      <c r="A359" s="8" t="s">
        <v>4</v>
      </c>
      <c r="B359" s="5"/>
      <c r="C359" s="74"/>
      <c r="D359" s="6"/>
      <c r="E359" s="6"/>
      <c r="F359" s="6"/>
      <c r="G359" s="6"/>
      <c r="H359" s="6"/>
      <c r="I359" s="6"/>
    </row>
    <row r="360" spans="1:9" hidden="1" x14ac:dyDescent="0.2">
      <c r="A360" s="8" t="s">
        <v>5</v>
      </c>
      <c r="B360" s="5"/>
      <c r="C360" s="74"/>
      <c r="D360" s="6"/>
      <c r="E360" s="6"/>
      <c r="F360" s="6"/>
      <c r="G360" s="6"/>
      <c r="H360" s="6"/>
      <c r="I360" s="6"/>
    </row>
    <row r="361" spans="1:9" hidden="1" x14ac:dyDescent="0.2">
      <c r="A361" s="8" t="s">
        <v>6</v>
      </c>
      <c r="B361" s="5"/>
      <c r="C361" s="74"/>
      <c r="D361" s="6"/>
      <c r="E361" s="6"/>
      <c r="F361" s="6"/>
      <c r="G361" s="6"/>
      <c r="H361" s="6"/>
      <c r="I361" s="6"/>
    </row>
    <row r="362" spans="1:9" hidden="1" x14ac:dyDescent="0.2">
      <c r="A362" s="8" t="s">
        <v>7</v>
      </c>
      <c r="B362" s="5"/>
      <c r="C362" s="74"/>
      <c r="D362" s="6"/>
      <c r="E362" s="6"/>
      <c r="F362" s="6"/>
      <c r="G362" s="6"/>
      <c r="H362" s="6"/>
      <c r="I362" s="6"/>
    </row>
    <row r="363" spans="1:9" hidden="1" x14ac:dyDescent="0.2">
      <c r="A363" s="8" t="s">
        <v>8</v>
      </c>
      <c r="B363" s="5"/>
      <c r="C363" s="74"/>
      <c r="D363" s="6"/>
      <c r="E363" s="6"/>
      <c r="F363" s="6"/>
      <c r="G363" s="6"/>
      <c r="H363" s="6"/>
      <c r="I363" s="6"/>
    </row>
    <row r="364" spans="1:9" hidden="1" x14ac:dyDescent="0.2">
      <c r="A364" s="8" t="s">
        <v>9</v>
      </c>
      <c r="B364" s="5"/>
      <c r="C364" s="74"/>
      <c r="D364" s="6"/>
      <c r="E364" s="6"/>
      <c r="F364" s="6"/>
      <c r="G364" s="6"/>
      <c r="H364" s="6"/>
      <c r="I364" s="6"/>
    </row>
    <row r="365" spans="1:9" x14ac:dyDescent="0.2">
      <c r="A365" s="312" t="s">
        <v>10</v>
      </c>
      <c r="B365" s="313"/>
      <c r="C365" s="313"/>
      <c r="D365" s="313"/>
      <c r="E365" s="314"/>
      <c r="F365" s="11">
        <f>SUM(F355:F364)</f>
        <v>2</v>
      </c>
      <c r="G365" s="11">
        <f>SUM(G355:G364)</f>
        <v>0</v>
      </c>
      <c r="H365" s="11">
        <f>SUM(H355:H364)</f>
        <v>11</v>
      </c>
      <c r="I365" s="11"/>
    </row>
    <row r="366" spans="1:9" hidden="1" x14ac:dyDescent="0.2">
      <c r="A366" s="8" t="s">
        <v>0</v>
      </c>
      <c r="B366" s="5">
        <f>B355+1</f>
        <v>46137</v>
      </c>
      <c r="C366" s="74"/>
      <c r="D366" s="6"/>
      <c r="E366" s="6"/>
      <c r="F366" s="6"/>
      <c r="G366" s="6"/>
      <c r="H366" s="6"/>
      <c r="I366" s="6"/>
    </row>
    <row r="367" spans="1:9" hidden="1" x14ac:dyDescent="0.2">
      <c r="A367" s="8" t="s">
        <v>1</v>
      </c>
      <c r="B367" s="5"/>
      <c r="C367" s="74"/>
      <c r="D367" s="6"/>
      <c r="E367" s="6"/>
      <c r="F367" s="6"/>
      <c r="G367" s="6"/>
      <c r="H367" s="6"/>
      <c r="I367" s="6"/>
    </row>
    <row r="368" spans="1:9" hidden="1" x14ac:dyDescent="0.2">
      <c r="A368" s="8" t="s">
        <v>2</v>
      </c>
      <c r="B368" s="5"/>
      <c r="C368" s="74"/>
      <c r="D368" s="6"/>
      <c r="E368" s="6"/>
      <c r="F368" s="6"/>
      <c r="G368" s="6"/>
      <c r="H368" s="6"/>
      <c r="I368" s="6"/>
    </row>
    <row r="369" spans="1:9" hidden="1" x14ac:dyDescent="0.2">
      <c r="A369" s="8" t="s">
        <v>3</v>
      </c>
      <c r="B369" s="5"/>
      <c r="C369" s="75"/>
      <c r="D369" s="6"/>
      <c r="E369" s="6"/>
      <c r="F369" s="6"/>
      <c r="G369" s="6"/>
      <c r="H369" s="6"/>
      <c r="I369" s="6"/>
    </row>
    <row r="370" spans="1:9" hidden="1" x14ac:dyDescent="0.2">
      <c r="A370" s="8" t="s">
        <v>4</v>
      </c>
      <c r="B370" s="5"/>
      <c r="C370" s="74"/>
      <c r="D370" s="6"/>
      <c r="E370" s="6"/>
      <c r="F370" s="6"/>
      <c r="G370" s="6"/>
      <c r="H370" s="6"/>
      <c r="I370" s="6"/>
    </row>
    <row r="371" spans="1:9" hidden="1" x14ac:dyDescent="0.2">
      <c r="A371" s="8" t="s">
        <v>5</v>
      </c>
      <c r="B371" s="5"/>
      <c r="C371" s="74"/>
      <c r="D371" s="6"/>
      <c r="E371" s="6"/>
      <c r="F371" s="6"/>
      <c r="G371" s="6"/>
      <c r="H371" s="6"/>
      <c r="I371" s="6"/>
    </row>
    <row r="372" spans="1:9" hidden="1" x14ac:dyDescent="0.2">
      <c r="A372" s="8" t="s">
        <v>6</v>
      </c>
      <c r="B372" s="5"/>
      <c r="C372" s="74"/>
      <c r="D372" s="6"/>
      <c r="E372" s="6"/>
      <c r="F372" s="6"/>
      <c r="G372" s="6"/>
      <c r="H372" s="6"/>
      <c r="I372" s="6"/>
    </row>
    <row r="373" spans="1:9" hidden="1" x14ac:dyDescent="0.2">
      <c r="A373" s="8" t="s">
        <v>7</v>
      </c>
      <c r="B373" s="5"/>
      <c r="C373" s="74"/>
      <c r="D373" s="6"/>
      <c r="E373" s="6"/>
      <c r="F373" s="6"/>
      <c r="G373" s="6"/>
      <c r="H373" s="6"/>
      <c r="I373" s="6"/>
    </row>
    <row r="374" spans="1:9" hidden="1" x14ac:dyDescent="0.2">
      <c r="A374" s="8" t="s">
        <v>8</v>
      </c>
      <c r="B374" s="5"/>
      <c r="C374" s="74"/>
      <c r="D374" s="6"/>
      <c r="E374" s="6"/>
      <c r="F374" s="6"/>
      <c r="G374" s="6"/>
      <c r="H374" s="6"/>
      <c r="I374" s="6"/>
    </row>
    <row r="375" spans="1:9" hidden="1" x14ac:dyDescent="0.2">
      <c r="A375" s="8" t="s">
        <v>9</v>
      </c>
      <c r="B375" s="5"/>
      <c r="C375" s="74"/>
      <c r="D375" s="6"/>
      <c r="E375" s="6"/>
      <c r="F375" s="6"/>
      <c r="G375" s="6"/>
      <c r="H375" s="6"/>
      <c r="I375" s="6"/>
    </row>
    <row r="376" spans="1:9" hidden="1" x14ac:dyDescent="0.2">
      <c r="A376" s="312" t="s">
        <v>10</v>
      </c>
      <c r="B376" s="313"/>
      <c r="C376" s="313"/>
      <c r="D376" s="313"/>
      <c r="E376" s="314"/>
      <c r="F376" s="11">
        <f>SUM(F366:F375)</f>
        <v>0</v>
      </c>
      <c r="G376" s="11">
        <f>SUM(G366:G375)</f>
        <v>0</v>
      </c>
      <c r="H376" s="11">
        <f>SUM(H366:H375)</f>
        <v>0</v>
      </c>
      <c r="I376" s="11"/>
    </row>
    <row r="377" spans="1:9" hidden="1" x14ac:dyDescent="0.2">
      <c r="A377" s="8" t="s">
        <v>0</v>
      </c>
      <c r="B377" s="5">
        <f>B366+1</f>
        <v>46138</v>
      </c>
      <c r="C377" s="75"/>
      <c r="D377" s="6"/>
      <c r="E377" s="6"/>
      <c r="F377" s="6"/>
      <c r="G377" s="6"/>
      <c r="H377" s="6"/>
      <c r="I377" s="6"/>
    </row>
    <row r="378" spans="1:9" hidden="1" x14ac:dyDescent="0.2">
      <c r="A378" s="8" t="s">
        <v>1</v>
      </c>
      <c r="B378" s="5"/>
      <c r="C378" s="75"/>
      <c r="D378" s="6"/>
      <c r="E378" s="6"/>
      <c r="F378" s="6"/>
      <c r="G378" s="6"/>
      <c r="H378" s="6"/>
      <c r="I378" s="6"/>
    </row>
    <row r="379" spans="1:9" hidden="1" x14ac:dyDescent="0.2">
      <c r="A379" s="8" t="s">
        <v>2</v>
      </c>
      <c r="B379" s="5"/>
      <c r="C379" s="75"/>
      <c r="D379" s="6"/>
      <c r="E379" s="6"/>
      <c r="F379" s="6"/>
      <c r="G379" s="6"/>
      <c r="H379" s="6"/>
      <c r="I379" s="6"/>
    </row>
    <row r="380" spans="1:9" hidden="1" x14ac:dyDescent="0.2">
      <c r="A380" s="8" t="s">
        <v>3</v>
      </c>
      <c r="B380" s="5"/>
      <c r="C380" s="75"/>
      <c r="D380" s="6"/>
      <c r="E380" s="6"/>
      <c r="F380" s="6"/>
      <c r="G380" s="6"/>
      <c r="H380" s="6"/>
      <c r="I380" s="6"/>
    </row>
    <row r="381" spans="1:9" hidden="1" x14ac:dyDescent="0.2">
      <c r="A381" s="8" t="s">
        <v>4</v>
      </c>
      <c r="B381" s="5"/>
      <c r="C381" s="75"/>
      <c r="D381" s="6"/>
      <c r="E381" s="6"/>
      <c r="F381" s="6"/>
      <c r="G381" s="6"/>
      <c r="H381" s="6"/>
      <c r="I381" s="6"/>
    </row>
    <row r="382" spans="1:9" hidden="1" x14ac:dyDescent="0.2">
      <c r="A382" s="8" t="s">
        <v>5</v>
      </c>
      <c r="B382" s="5"/>
      <c r="C382" s="75"/>
      <c r="D382" s="6"/>
      <c r="E382" s="6"/>
      <c r="F382" s="6"/>
      <c r="G382" s="6"/>
      <c r="H382" s="6"/>
      <c r="I382" s="6"/>
    </row>
    <row r="383" spans="1:9" hidden="1" x14ac:dyDescent="0.2">
      <c r="A383" s="8" t="s">
        <v>6</v>
      </c>
      <c r="B383" s="5"/>
      <c r="C383" s="75"/>
      <c r="D383" s="6"/>
      <c r="E383" s="6"/>
      <c r="F383" s="6"/>
      <c r="G383" s="6"/>
      <c r="H383" s="6"/>
      <c r="I383" s="6"/>
    </row>
    <row r="384" spans="1:9" hidden="1" x14ac:dyDescent="0.2">
      <c r="A384" s="8" t="s">
        <v>7</v>
      </c>
      <c r="B384" s="5"/>
      <c r="C384" s="74"/>
      <c r="D384" s="6"/>
      <c r="E384" s="6"/>
      <c r="F384" s="6"/>
      <c r="G384" s="6"/>
      <c r="H384" s="6"/>
      <c r="I384" s="6"/>
    </row>
    <row r="385" spans="1:9" hidden="1" x14ac:dyDescent="0.2">
      <c r="A385" s="8" t="s">
        <v>8</v>
      </c>
      <c r="B385" s="5"/>
      <c r="C385" s="74"/>
      <c r="D385" s="6"/>
      <c r="E385" s="6"/>
      <c r="F385" s="6"/>
      <c r="G385" s="6"/>
      <c r="H385" s="6"/>
      <c r="I385" s="6"/>
    </row>
    <row r="386" spans="1:9" hidden="1" x14ac:dyDescent="0.2">
      <c r="A386" s="8" t="s">
        <v>9</v>
      </c>
      <c r="B386" s="5"/>
      <c r="C386" s="74"/>
      <c r="D386" s="6"/>
      <c r="E386" s="6"/>
      <c r="F386" s="6"/>
      <c r="G386" s="6"/>
      <c r="H386" s="6"/>
      <c r="I386" s="6"/>
    </row>
    <row r="387" spans="1:9" hidden="1" x14ac:dyDescent="0.2">
      <c r="A387" s="312" t="s">
        <v>10</v>
      </c>
      <c r="B387" s="313"/>
      <c r="C387" s="313"/>
      <c r="D387" s="313"/>
      <c r="E387" s="314"/>
      <c r="F387" s="11">
        <f>SUM(F377:F386)</f>
        <v>0</v>
      </c>
      <c r="G387" s="11">
        <f>SUM(G377:G386)</f>
        <v>0</v>
      </c>
      <c r="H387" s="11">
        <f>SUM(H377:H386)</f>
        <v>0</v>
      </c>
      <c r="I387" s="11"/>
    </row>
    <row r="388" spans="1:9" hidden="1" x14ac:dyDescent="0.2">
      <c r="A388" s="8" t="s">
        <v>0</v>
      </c>
      <c r="B388" s="5">
        <f>B377+1</f>
        <v>46139</v>
      </c>
      <c r="C388" s="75"/>
      <c r="D388" s="6"/>
      <c r="E388" s="6"/>
      <c r="F388" s="6"/>
      <c r="G388" s="6"/>
      <c r="H388" s="6"/>
      <c r="I388" s="6"/>
    </row>
    <row r="389" spans="1:9" hidden="1" x14ac:dyDescent="0.2">
      <c r="A389" s="8" t="s">
        <v>1</v>
      </c>
      <c r="B389" s="5"/>
      <c r="C389" s="75"/>
      <c r="D389" s="6"/>
      <c r="E389" s="6"/>
      <c r="F389" s="6"/>
      <c r="G389" s="6"/>
      <c r="H389" s="6"/>
      <c r="I389" s="6"/>
    </row>
    <row r="390" spans="1:9" hidden="1" x14ac:dyDescent="0.2">
      <c r="A390" s="8" t="s">
        <v>2</v>
      </c>
      <c r="B390" s="5"/>
      <c r="C390" s="75"/>
      <c r="D390" s="6"/>
      <c r="E390" s="6"/>
      <c r="F390" s="6"/>
      <c r="G390" s="6"/>
      <c r="H390" s="6"/>
      <c r="I390" s="6"/>
    </row>
    <row r="391" spans="1:9" hidden="1" x14ac:dyDescent="0.2">
      <c r="A391" s="8" t="s">
        <v>3</v>
      </c>
      <c r="B391" s="5"/>
      <c r="C391" s="75"/>
      <c r="D391" s="6"/>
      <c r="E391" s="6"/>
      <c r="F391" s="6"/>
      <c r="G391" s="6"/>
      <c r="H391" s="6"/>
      <c r="I391" s="6"/>
    </row>
    <row r="392" spans="1:9" hidden="1" x14ac:dyDescent="0.2">
      <c r="A392" s="8" t="s">
        <v>4</v>
      </c>
      <c r="B392" s="5"/>
      <c r="C392" s="75"/>
      <c r="D392" s="6"/>
      <c r="E392" s="6"/>
      <c r="F392" s="6"/>
      <c r="G392" s="6"/>
      <c r="H392" s="6"/>
      <c r="I392" s="6"/>
    </row>
    <row r="393" spans="1:9" hidden="1" x14ac:dyDescent="0.2">
      <c r="A393" s="8" t="s">
        <v>5</v>
      </c>
      <c r="B393" s="5"/>
      <c r="C393" s="75"/>
      <c r="D393" s="6"/>
      <c r="E393" s="6"/>
      <c r="F393" s="6"/>
      <c r="G393" s="6"/>
      <c r="H393" s="6"/>
      <c r="I393" s="6"/>
    </row>
    <row r="394" spans="1:9" hidden="1" x14ac:dyDescent="0.2">
      <c r="A394" s="8" t="s">
        <v>6</v>
      </c>
      <c r="B394" s="5"/>
      <c r="C394" s="74"/>
      <c r="D394" s="6"/>
      <c r="E394" s="6"/>
      <c r="F394" s="6"/>
      <c r="G394" s="6"/>
      <c r="H394" s="6"/>
      <c r="I394" s="6"/>
    </row>
    <row r="395" spans="1:9" hidden="1" x14ac:dyDescent="0.2">
      <c r="A395" s="8" t="s">
        <v>7</v>
      </c>
      <c r="B395" s="5"/>
      <c r="C395" s="74"/>
      <c r="D395" s="6"/>
      <c r="E395" s="6"/>
      <c r="F395" s="6"/>
      <c r="G395" s="6"/>
      <c r="H395" s="6"/>
      <c r="I395" s="6"/>
    </row>
    <row r="396" spans="1:9" hidden="1" x14ac:dyDescent="0.2">
      <c r="A396" s="8" t="s">
        <v>8</v>
      </c>
      <c r="B396" s="5"/>
      <c r="C396" s="74"/>
      <c r="D396" s="6"/>
      <c r="E396" s="6"/>
      <c r="F396" s="6"/>
      <c r="G396" s="6"/>
      <c r="H396" s="6"/>
      <c r="I396" s="6"/>
    </row>
    <row r="397" spans="1:9" hidden="1" x14ac:dyDescent="0.2">
      <c r="A397" s="8" t="s">
        <v>9</v>
      </c>
      <c r="B397" s="5"/>
      <c r="C397" s="74"/>
      <c r="D397" s="6"/>
      <c r="E397" s="6"/>
      <c r="F397" s="6"/>
      <c r="G397" s="6"/>
      <c r="H397" s="6"/>
      <c r="I397" s="6"/>
    </row>
    <row r="398" spans="1:9" hidden="1" x14ac:dyDescent="0.2">
      <c r="A398" s="312" t="s">
        <v>10</v>
      </c>
      <c r="B398" s="313"/>
      <c r="C398" s="313"/>
      <c r="D398" s="313"/>
      <c r="E398" s="314"/>
      <c r="F398" s="11">
        <f>SUM(F388:F397)</f>
        <v>0</v>
      </c>
      <c r="G398" s="11">
        <f>SUM(G388:G397)</f>
        <v>0</v>
      </c>
      <c r="H398" s="11">
        <f>SUM(H388:H397)</f>
        <v>0</v>
      </c>
      <c r="I398" s="11"/>
    </row>
    <row r="399" spans="1:9" hidden="1" x14ac:dyDescent="0.2">
      <c r="A399" s="8" t="s">
        <v>0</v>
      </c>
      <c r="B399" s="5">
        <f>B388+1</f>
        <v>46140</v>
      </c>
      <c r="C399" s="75"/>
      <c r="D399" s="6"/>
      <c r="E399" s="6"/>
      <c r="F399" s="6"/>
      <c r="G399" s="6"/>
      <c r="H399" s="6"/>
      <c r="I399" s="6"/>
    </row>
    <row r="400" spans="1:9" hidden="1" x14ac:dyDescent="0.2">
      <c r="A400" s="8" t="s">
        <v>1</v>
      </c>
      <c r="B400" s="5"/>
      <c r="C400" s="75"/>
      <c r="D400" s="6"/>
      <c r="E400" s="6"/>
      <c r="F400" s="6"/>
      <c r="G400" s="6"/>
      <c r="H400" s="6"/>
      <c r="I400" s="6"/>
    </row>
    <row r="401" spans="1:9" hidden="1" x14ac:dyDescent="0.2">
      <c r="A401" s="8" t="s">
        <v>2</v>
      </c>
      <c r="B401" s="5"/>
      <c r="C401" s="75"/>
      <c r="D401" s="6"/>
      <c r="E401" s="6"/>
      <c r="F401" s="6"/>
      <c r="G401" s="6"/>
      <c r="H401" s="6"/>
      <c r="I401" s="6"/>
    </row>
    <row r="402" spans="1:9" hidden="1" x14ac:dyDescent="0.2">
      <c r="A402" s="8" t="s">
        <v>3</v>
      </c>
      <c r="B402" s="5"/>
      <c r="C402" s="75"/>
      <c r="D402" s="6"/>
      <c r="E402" s="6"/>
      <c r="F402" s="6"/>
      <c r="G402" s="6"/>
      <c r="H402" s="6"/>
      <c r="I402" s="6"/>
    </row>
    <row r="403" spans="1:9" hidden="1" x14ac:dyDescent="0.2">
      <c r="A403" s="8" t="s">
        <v>4</v>
      </c>
      <c r="B403" s="5"/>
      <c r="C403" s="75"/>
      <c r="D403" s="6"/>
      <c r="E403" s="6"/>
      <c r="F403" s="6"/>
      <c r="G403" s="6"/>
      <c r="H403" s="6"/>
      <c r="I403" s="6"/>
    </row>
    <row r="404" spans="1:9" hidden="1" x14ac:dyDescent="0.2">
      <c r="A404" s="8" t="s">
        <v>5</v>
      </c>
      <c r="B404" s="5"/>
      <c r="C404" s="75"/>
      <c r="D404" s="6"/>
      <c r="E404" s="6"/>
      <c r="F404" s="6"/>
      <c r="G404" s="6"/>
      <c r="H404" s="6"/>
      <c r="I404" s="6"/>
    </row>
    <row r="405" spans="1:9" hidden="1" x14ac:dyDescent="0.2">
      <c r="A405" s="8" t="s">
        <v>6</v>
      </c>
      <c r="B405" s="5"/>
      <c r="C405" s="75"/>
      <c r="D405" s="6"/>
      <c r="E405" s="6"/>
      <c r="F405" s="6"/>
      <c r="G405" s="6"/>
      <c r="H405" s="6"/>
      <c r="I405" s="6"/>
    </row>
    <row r="406" spans="1:9" hidden="1" x14ac:dyDescent="0.2">
      <c r="A406" s="8" t="s">
        <v>7</v>
      </c>
      <c r="B406" s="5"/>
      <c r="C406" s="75"/>
      <c r="D406" s="6"/>
      <c r="E406" s="6"/>
      <c r="F406" s="6"/>
      <c r="G406" s="6"/>
      <c r="H406" s="6"/>
      <c r="I406" s="6"/>
    </row>
    <row r="407" spans="1:9" hidden="1" x14ac:dyDescent="0.2">
      <c r="A407" s="8" t="s">
        <v>8</v>
      </c>
      <c r="B407" s="5"/>
      <c r="C407" s="75"/>
      <c r="D407" s="6"/>
      <c r="E407" s="6"/>
      <c r="F407" s="6"/>
      <c r="G407" s="6"/>
      <c r="H407" s="6"/>
      <c r="I407" s="6"/>
    </row>
    <row r="408" spans="1:9" hidden="1" x14ac:dyDescent="0.2">
      <c r="A408" s="8" t="s">
        <v>9</v>
      </c>
      <c r="B408" s="5"/>
      <c r="C408" s="75"/>
      <c r="D408" s="6"/>
      <c r="E408" s="6"/>
      <c r="F408" s="6"/>
      <c r="G408" s="6"/>
      <c r="H408" s="6"/>
      <c r="I408" s="6"/>
    </row>
    <row r="409" spans="1:9" hidden="1" x14ac:dyDescent="0.2">
      <c r="A409" s="312" t="s">
        <v>10</v>
      </c>
      <c r="B409" s="313"/>
      <c r="C409" s="313"/>
      <c r="D409" s="313"/>
      <c r="E409" s="314"/>
      <c r="F409" s="11">
        <f>SUM(F399:F408)</f>
        <v>0</v>
      </c>
      <c r="G409" s="11">
        <f>SUM(G399:G408)</f>
        <v>0</v>
      </c>
      <c r="H409" s="11">
        <f>SUM(H399:H408)</f>
        <v>0</v>
      </c>
      <c r="I409" s="11"/>
    </row>
    <row r="410" spans="1:9" hidden="1" x14ac:dyDescent="0.2">
      <c r="A410" s="8" t="s">
        <v>0</v>
      </c>
      <c r="B410" s="5"/>
      <c r="C410" s="74"/>
      <c r="D410" s="6"/>
      <c r="E410" s="6"/>
      <c r="F410" s="6"/>
      <c r="G410" s="6"/>
      <c r="H410" s="6"/>
      <c r="I410" s="6"/>
    </row>
    <row r="411" spans="1:9" hidden="1" x14ac:dyDescent="0.2">
      <c r="A411" s="8" t="s">
        <v>1</v>
      </c>
      <c r="B411" s="5"/>
      <c r="C411" s="74"/>
      <c r="D411" s="6"/>
      <c r="E411" s="6"/>
      <c r="F411" s="6"/>
      <c r="G411" s="6"/>
      <c r="H411" s="6"/>
      <c r="I411" s="6"/>
    </row>
    <row r="412" spans="1:9" hidden="1" x14ac:dyDescent="0.2">
      <c r="A412" s="8" t="s">
        <v>2</v>
      </c>
      <c r="B412" s="5"/>
      <c r="C412" s="74"/>
      <c r="D412" s="6"/>
      <c r="E412" s="6"/>
      <c r="F412" s="6"/>
      <c r="G412" s="6"/>
      <c r="H412" s="6"/>
      <c r="I412" s="6"/>
    </row>
    <row r="413" spans="1:9" hidden="1" x14ac:dyDescent="0.2">
      <c r="A413" s="8" t="s">
        <v>3</v>
      </c>
      <c r="B413" s="5"/>
      <c r="C413" s="74"/>
      <c r="D413" s="6"/>
      <c r="E413" s="6"/>
      <c r="F413" s="6"/>
      <c r="G413" s="6"/>
      <c r="H413" s="6"/>
      <c r="I413" s="6"/>
    </row>
    <row r="414" spans="1:9" hidden="1" x14ac:dyDescent="0.2">
      <c r="A414" s="8" t="s">
        <v>4</v>
      </c>
      <c r="B414" s="5"/>
      <c r="C414" s="74"/>
      <c r="D414" s="6"/>
      <c r="E414" s="6"/>
      <c r="F414" s="6"/>
      <c r="G414" s="6"/>
      <c r="H414" s="6"/>
      <c r="I414" s="6"/>
    </row>
    <row r="415" spans="1:9" hidden="1" x14ac:dyDescent="0.2">
      <c r="A415" s="8" t="s">
        <v>5</v>
      </c>
      <c r="B415" s="5"/>
      <c r="C415" s="74"/>
      <c r="D415" s="6"/>
      <c r="E415" s="6"/>
      <c r="F415" s="6"/>
      <c r="G415" s="6"/>
      <c r="H415" s="6"/>
      <c r="I415" s="6"/>
    </row>
    <row r="416" spans="1:9" hidden="1" x14ac:dyDescent="0.2">
      <c r="A416" s="8" t="s">
        <v>6</v>
      </c>
      <c r="B416" s="5"/>
      <c r="C416" s="74"/>
      <c r="D416" s="6"/>
      <c r="E416" s="6"/>
      <c r="F416" s="6"/>
      <c r="G416" s="6"/>
      <c r="H416" s="6"/>
      <c r="I416" s="6"/>
    </row>
    <row r="417" spans="1:9" hidden="1" x14ac:dyDescent="0.2">
      <c r="A417" s="8" t="s">
        <v>7</v>
      </c>
      <c r="B417" s="5"/>
      <c r="C417" s="74"/>
      <c r="D417" s="6"/>
      <c r="E417" s="6"/>
      <c r="F417" s="6"/>
      <c r="G417" s="6"/>
      <c r="H417" s="6"/>
      <c r="I417" s="6"/>
    </row>
    <row r="418" spans="1:9" hidden="1" x14ac:dyDescent="0.2">
      <c r="A418" s="8" t="s">
        <v>8</v>
      </c>
      <c r="B418" s="5"/>
      <c r="C418" s="74"/>
      <c r="D418" s="6"/>
      <c r="E418" s="6"/>
      <c r="F418" s="6"/>
      <c r="G418" s="6"/>
      <c r="H418" s="6"/>
      <c r="I418" s="6"/>
    </row>
    <row r="419" spans="1:9" hidden="1" x14ac:dyDescent="0.2">
      <c r="A419" s="8" t="s">
        <v>9</v>
      </c>
      <c r="B419" s="5"/>
      <c r="C419" s="74"/>
      <c r="D419" s="6"/>
      <c r="E419" s="6"/>
      <c r="F419" s="6"/>
      <c r="G419" s="6"/>
      <c r="H419" s="6"/>
      <c r="I419" s="6"/>
    </row>
    <row r="420" spans="1:9" hidden="1" x14ac:dyDescent="0.2">
      <c r="A420" s="312" t="s">
        <v>10</v>
      </c>
      <c r="B420" s="313"/>
      <c r="C420" s="313"/>
      <c r="D420" s="313"/>
      <c r="E420" s="314"/>
      <c r="F420" s="11">
        <f>SUM(F410:F419)</f>
        <v>0</v>
      </c>
      <c r="G420" s="11">
        <f>SUM(G410:G419)</f>
        <v>0</v>
      </c>
      <c r="H420" s="11">
        <f>SUM(H410:H419)</f>
        <v>0</v>
      </c>
      <c r="I420" s="11"/>
    </row>
    <row r="421" spans="1:9" s="25" customFormat="1" ht="18" x14ac:dyDescent="0.2">
      <c r="A421" s="315" t="s">
        <v>39</v>
      </c>
      <c r="B421" s="316"/>
      <c r="C421" s="316"/>
      <c r="D421" s="316"/>
      <c r="E421" s="317"/>
      <c r="F421" s="22">
        <f>F354+F365+F376+F387+F398+F409+F420+F336</f>
        <v>26</v>
      </c>
      <c r="G421" s="22">
        <f>G354+G365+G376+G387+G398+G409+G420+G336</f>
        <v>3</v>
      </c>
      <c r="H421" s="22">
        <f>H354+H365+H376+H387+H398+H409+H420+H336</f>
        <v>139.5</v>
      </c>
      <c r="I421" s="22"/>
    </row>
  </sheetData>
  <mergeCells count="70">
    <mergeCell ref="A409:E409"/>
    <mergeCell ref="A420:E420"/>
    <mergeCell ref="A421:E421"/>
    <mergeCell ref="F341:H341"/>
    <mergeCell ref="A354:E354"/>
    <mergeCell ref="A365:E365"/>
    <mergeCell ref="A376:E376"/>
    <mergeCell ref="A387:E387"/>
    <mergeCell ref="A398:E398"/>
    <mergeCell ref="A336:E336"/>
    <mergeCell ref="A337:I337"/>
    <mergeCell ref="A338:E338"/>
    <mergeCell ref="A339:C339"/>
    <mergeCell ref="A340:C340"/>
    <mergeCell ref="F340:G340"/>
    <mergeCell ref="A335:E335"/>
    <mergeCell ref="A254:E254"/>
    <mergeCell ref="A255:C255"/>
    <mergeCell ref="A256:C256"/>
    <mergeCell ref="F256:G256"/>
    <mergeCell ref="F257:H257"/>
    <mergeCell ref="A269:E269"/>
    <mergeCell ref="A280:E280"/>
    <mergeCell ref="A291:E291"/>
    <mergeCell ref="A302:E302"/>
    <mergeCell ref="A313:E313"/>
    <mergeCell ref="A324:E324"/>
    <mergeCell ref="A253:I253"/>
    <mergeCell ref="A172:C172"/>
    <mergeCell ref="F172:G172"/>
    <mergeCell ref="F173:H173"/>
    <mergeCell ref="A185:E185"/>
    <mergeCell ref="A196:E196"/>
    <mergeCell ref="A207:E207"/>
    <mergeCell ref="A218:E218"/>
    <mergeCell ref="A229:E229"/>
    <mergeCell ref="A240:E240"/>
    <mergeCell ref="A251:E251"/>
    <mergeCell ref="A252:E252"/>
    <mergeCell ref="A171:C171"/>
    <mergeCell ref="F89:H89"/>
    <mergeCell ref="A101:E101"/>
    <mergeCell ref="A112:E112"/>
    <mergeCell ref="A123:E123"/>
    <mergeCell ref="A134:E134"/>
    <mergeCell ref="A145:E145"/>
    <mergeCell ref="A156:E156"/>
    <mergeCell ref="A167:E167"/>
    <mergeCell ref="A168:E168"/>
    <mergeCell ref="A169:I169"/>
    <mergeCell ref="A170:E170"/>
    <mergeCell ref="A88:C88"/>
    <mergeCell ref="F88:G88"/>
    <mergeCell ref="A17:E17"/>
    <mergeCell ref="A28:E28"/>
    <mergeCell ref="A39:E39"/>
    <mergeCell ref="A50:E50"/>
    <mergeCell ref="A61:E61"/>
    <mergeCell ref="A72:E72"/>
    <mergeCell ref="A83:E83"/>
    <mergeCell ref="A84:E84"/>
    <mergeCell ref="A85:I85"/>
    <mergeCell ref="A86:E86"/>
    <mergeCell ref="A87:C87"/>
    <mergeCell ref="F5:H5"/>
    <mergeCell ref="A1:I1"/>
    <mergeCell ref="A2:E2"/>
    <mergeCell ref="A3:C3"/>
    <mergeCell ref="A4:C4"/>
    <mergeCell ref="F4:G4"/>
  </mergeCells>
  <pageMargins left="0.59055118110236227" right="0.39370078740157483" top="0.59055118110236227" bottom="0.39370078740157483" header="0.31496062992125984" footer="0.31496062992125984"/>
  <pageSetup paperSize="9" scale="99" fitToHeight="5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1"/>
  <sheetViews>
    <sheetView topLeftCell="A4" zoomScale="150" zoomScaleNormal="150" workbookViewId="0">
      <selection activeCell="J176" sqref="J176"/>
    </sheetView>
  </sheetViews>
  <sheetFormatPr defaultColWidth="9" defaultRowHeight="17.25" x14ac:dyDescent="0.2"/>
  <cols>
    <col min="1" max="1" width="4" style="1" bestFit="1" customWidth="1"/>
    <col min="2" max="2" width="10.625" style="7" customWidth="1"/>
    <col min="3" max="3" width="11.25" style="76" customWidth="1"/>
    <col min="4" max="4" width="15.625" style="1" customWidth="1"/>
    <col min="5" max="5" width="10.625" style="1" customWidth="1"/>
    <col min="6" max="8" width="7.625" style="1" customWidth="1"/>
    <col min="9" max="9" width="18" style="1" customWidth="1"/>
    <col min="10" max="16384" width="9" style="1"/>
  </cols>
  <sheetData>
    <row r="1" spans="1:9" ht="21.95" customHeight="1" x14ac:dyDescent="0.2">
      <c r="A1" s="319" t="s">
        <v>14</v>
      </c>
      <c r="B1" s="319"/>
      <c r="C1" s="319"/>
      <c r="D1" s="319"/>
      <c r="E1" s="319"/>
      <c r="F1" s="319"/>
      <c r="G1" s="319"/>
      <c r="H1" s="319"/>
      <c r="I1" s="319"/>
    </row>
    <row r="2" spans="1:9" s="53" customFormat="1" ht="20.100000000000001" customHeight="1" x14ac:dyDescent="0.2">
      <c r="A2" s="323" t="s">
        <v>86</v>
      </c>
      <c r="B2" s="323"/>
      <c r="C2" s="323"/>
      <c r="D2" s="323"/>
      <c r="E2" s="323"/>
      <c r="F2" s="104" t="str">
        <f>'1'!$F$2</f>
        <v>เมษายน</v>
      </c>
      <c r="G2" s="50" t="s">
        <v>87</v>
      </c>
      <c r="H2" s="51">
        <f>'1'!$H$2</f>
        <v>2569</v>
      </c>
      <c r="I2" s="52"/>
    </row>
    <row r="3" spans="1:9" s="3" customFormat="1" ht="20.100000000000001" customHeight="1" x14ac:dyDescent="0.4">
      <c r="A3" s="318" t="s">
        <v>38</v>
      </c>
      <c r="B3" s="318"/>
      <c r="C3" s="318"/>
      <c r="D3" s="2"/>
      <c r="F3" s="4"/>
      <c r="G3" s="4"/>
      <c r="H3" s="4" t="s">
        <v>21</v>
      </c>
      <c r="I3" s="41">
        <v>1</v>
      </c>
    </row>
    <row r="4" spans="1:9" s="49" customFormat="1" ht="20.100000000000001" customHeight="1" x14ac:dyDescent="0.35">
      <c r="A4" s="327" t="s">
        <v>68</v>
      </c>
      <c r="B4" s="327"/>
      <c r="C4" s="327"/>
      <c r="D4" s="46"/>
      <c r="E4" s="47" t="s">
        <v>81</v>
      </c>
      <c r="F4" s="328">
        <f>'1'!$F$4</f>
        <v>46107</v>
      </c>
      <c r="G4" s="328"/>
      <c r="H4" s="47" t="s">
        <v>82</v>
      </c>
      <c r="I4" s="48">
        <f>'1'!$I$4</f>
        <v>46136</v>
      </c>
    </row>
    <row r="5" spans="1:9" x14ac:dyDescent="0.2">
      <c r="A5" s="12" t="s">
        <v>23</v>
      </c>
      <c r="B5" s="13" t="s">
        <v>11</v>
      </c>
      <c r="C5" s="72" t="s">
        <v>26</v>
      </c>
      <c r="D5" s="12" t="s">
        <v>16</v>
      </c>
      <c r="E5" s="12" t="s">
        <v>17</v>
      </c>
      <c r="F5" s="310" t="s">
        <v>46</v>
      </c>
      <c r="G5" s="310"/>
      <c r="H5" s="310"/>
      <c r="I5" s="12" t="s">
        <v>19</v>
      </c>
    </row>
    <row r="6" spans="1:9" x14ac:dyDescent="0.2">
      <c r="A6" s="15"/>
      <c r="B6" s="16"/>
      <c r="C6" s="73"/>
      <c r="D6" s="15"/>
      <c r="E6" s="15"/>
      <c r="F6" s="21" t="s">
        <v>113</v>
      </c>
      <c r="G6" s="21" t="s">
        <v>114</v>
      </c>
      <c r="H6" s="21" t="s">
        <v>20</v>
      </c>
      <c r="I6" s="15"/>
    </row>
    <row r="7" spans="1:9" hidden="1" x14ac:dyDescent="0.2">
      <c r="A7" s="8" t="s">
        <v>0</v>
      </c>
      <c r="B7" s="5">
        <f>'9'!B7</f>
        <v>46107</v>
      </c>
      <c r="C7" s="74"/>
      <c r="D7" s="6"/>
      <c r="E7" s="6"/>
      <c r="F7" s="6"/>
      <c r="G7" s="6"/>
      <c r="H7" s="6"/>
      <c r="I7" s="6"/>
    </row>
    <row r="8" spans="1:9" hidden="1" x14ac:dyDescent="0.2">
      <c r="A8" s="8" t="s">
        <v>1</v>
      </c>
      <c r="B8" s="5"/>
      <c r="C8" s="74"/>
      <c r="D8" s="6"/>
      <c r="E8" s="6"/>
      <c r="F8" s="6"/>
      <c r="G8" s="6"/>
      <c r="H8" s="6"/>
      <c r="I8" s="6"/>
    </row>
    <row r="9" spans="1:9" hidden="1" x14ac:dyDescent="0.2">
      <c r="A9" s="8" t="s">
        <v>2</v>
      </c>
      <c r="B9" s="5"/>
      <c r="C9" s="74"/>
      <c r="D9" s="6"/>
      <c r="E9" s="6"/>
      <c r="F9" s="54"/>
      <c r="G9" s="6"/>
      <c r="H9" s="6"/>
      <c r="I9" s="6"/>
    </row>
    <row r="10" spans="1:9" hidden="1" x14ac:dyDescent="0.2">
      <c r="A10" s="8" t="s">
        <v>3</v>
      </c>
      <c r="B10" s="5"/>
      <c r="C10" s="74"/>
      <c r="D10" s="6"/>
      <c r="E10" s="6"/>
      <c r="F10" s="6"/>
      <c r="G10" s="6"/>
      <c r="H10" s="6"/>
      <c r="I10" s="6"/>
    </row>
    <row r="11" spans="1:9" hidden="1" x14ac:dyDescent="0.2">
      <c r="A11" s="8" t="s">
        <v>4</v>
      </c>
      <c r="B11" s="5"/>
      <c r="C11" s="74"/>
      <c r="D11" s="6"/>
      <c r="E11" s="6"/>
      <c r="F11" s="6"/>
      <c r="G11" s="6"/>
      <c r="H11" s="6"/>
      <c r="I11" s="6"/>
    </row>
    <row r="12" spans="1:9" hidden="1" x14ac:dyDescent="0.2">
      <c r="A12" s="8" t="s">
        <v>5</v>
      </c>
      <c r="B12" s="5"/>
      <c r="C12" s="74"/>
      <c r="D12" s="6"/>
      <c r="E12" s="6"/>
      <c r="F12" s="6"/>
      <c r="G12" s="6"/>
      <c r="H12" s="6"/>
      <c r="I12" s="6"/>
    </row>
    <row r="13" spans="1:9" hidden="1" x14ac:dyDescent="0.2">
      <c r="A13" s="8" t="s">
        <v>6</v>
      </c>
      <c r="B13" s="5"/>
      <c r="C13" s="74"/>
      <c r="D13" s="6"/>
      <c r="E13" s="6"/>
      <c r="F13" s="6"/>
      <c r="G13" s="6"/>
      <c r="H13" s="6"/>
      <c r="I13" s="6"/>
    </row>
    <row r="14" spans="1:9" hidden="1" x14ac:dyDescent="0.2">
      <c r="A14" s="8" t="s">
        <v>7</v>
      </c>
      <c r="B14" s="5"/>
      <c r="C14" s="74"/>
      <c r="D14" s="6"/>
      <c r="E14" s="6"/>
      <c r="F14" s="6"/>
      <c r="G14" s="6"/>
      <c r="H14" s="6"/>
      <c r="I14" s="6"/>
    </row>
    <row r="15" spans="1:9" hidden="1" x14ac:dyDescent="0.2">
      <c r="A15" s="8" t="s">
        <v>8</v>
      </c>
      <c r="B15" s="5"/>
      <c r="C15" s="74"/>
      <c r="D15" s="6"/>
      <c r="E15" s="6"/>
      <c r="F15" s="6"/>
      <c r="G15" s="6"/>
      <c r="H15" s="6"/>
      <c r="I15" s="6"/>
    </row>
    <row r="16" spans="1:9" hidden="1" x14ac:dyDescent="0.2">
      <c r="A16" s="8" t="s">
        <v>9</v>
      </c>
      <c r="B16" s="5"/>
      <c r="C16" s="74"/>
      <c r="D16" s="6"/>
      <c r="E16" s="6"/>
      <c r="F16" s="6"/>
      <c r="G16" s="6"/>
      <c r="H16" s="6"/>
      <c r="I16" s="6"/>
    </row>
    <row r="17" spans="1:9" hidden="1" x14ac:dyDescent="0.2">
      <c r="A17" s="312" t="s">
        <v>10</v>
      </c>
      <c r="B17" s="313"/>
      <c r="C17" s="313"/>
      <c r="D17" s="313"/>
      <c r="E17" s="314"/>
      <c r="F17" s="11">
        <f>SUM(F7:F16)</f>
        <v>0</v>
      </c>
      <c r="G17" s="11">
        <f>SUM(G7:G16)</f>
        <v>0</v>
      </c>
      <c r="H17" s="11">
        <f>SUM(H7:H16)</f>
        <v>0</v>
      </c>
      <c r="I17" s="11"/>
    </row>
    <row r="18" spans="1:9" hidden="1" x14ac:dyDescent="0.2">
      <c r="A18" s="8" t="s">
        <v>0</v>
      </c>
      <c r="B18" s="5">
        <f>B7+1</f>
        <v>46108</v>
      </c>
      <c r="C18" s="75"/>
      <c r="D18" s="6"/>
      <c r="E18" s="6"/>
      <c r="F18" s="6"/>
      <c r="G18" s="6"/>
      <c r="H18" s="6"/>
      <c r="I18" s="6"/>
    </row>
    <row r="19" spans="1:9" hidden="1" x14ac:dyDescent="0.2">
      <c r="A19" s="8" t="s">
        <v>1</v>
      </c>
      <c r="B19" s="5"/>
      <c r="C19" s="75"/>
      <c r="D19" s="6"/>
      <c r="E19" s="6"/>
      <c r="F19" s="6"/>
      <c r="G19" s="6"/>
      <c r="H19" s="6"/>
      <c r="I19" s="6"/>
    </row>
    <row r="20" spans="1:9" hidden="1" x14ac:dyDescent="0.2">
      <c r="A20" s="8" t="s">
        <v>2</v>
      </c>
      <c r="B20" s="5"/>
      <c r="C20" s="75"/>
      <c r="D20" s="6"/>
      <c r="E20" s="6"/>
      <c r="F20" s="6"/>
      <c r="G20" s="6"/>
      <c r="H20" s="6"/>
      <c r="I20" s="6"/>
    </row>
    <row r="21" spans="1:9" hidden="1" x14ac:dyDescent="0.2">
      <c r="A21" s="8" t="s">
        <v>3</v>
      </c>
      <c r="B21" s="5"/>
      <c r="C21" s="75"/>
      <c r="D21" s="6"/>
      <c r="E21" s="6"/>
      <c r="F21" s="6"/>
      <c r="G21" s="6"/>
      <c r="H21" s="6"/>
      <c r="I21" s="6"/>
    </row>
    <row r="22" spans="1:9" hidden="1" x14ac:dyDescent="0.2">
      <c r="A22" s="8" t="s">
        <v>4</v>
      </c>
      <c r="B22" s="5"/>
      <c r="C22" s="75"/>
      <c r="D22" s="6"/>
      <c r="E22" s="6"/>
      <c r="F22" s="6"/>
      <c r="G22" s="6"/>
      <c r="H22" s="6"/>
      <c r="I22" s="6"/>
    </row>
    <row r="23" spans="1:9" hidden="1" x14ac:dyDescent="0.2">
      <c r="A23" s="8" t="s">
        <v>5</v>
      </c>
      <c r="B23" s="5"/>
      <c r="C23" s="75"/>
      <c r="D23" s="6"/>
      <c r="E23" s="6"/>
      <c r="F23" s="6"/>
      <c r="G23" s="6"/>
      <c r="H23" s="6"/>
      <c r="I23" s="6"/>
    </row>
    <row r="24" spans="1:9" hidden="1" x14ac:dyDescent="0.2">
      <c r="A24" s="8" t="s">
        <v>6</v>
      </c>
      <c r="B24" s="5"/>
      <c r="C24" s="75"/>
      <c r="D24" s="6"/>
      <c r="E24" s="6"/>
      <c r="F24" s="6"/>
      <c r="G24" s="6"/>
      <c r="H24" s="6"/>
      <c r="I24" s="6"/>
    </row>
    <row r="25" spans="1:9" hidden="1" x14ac:dyDescent="0.2">
      <c r="A25" s="8" t="s">
        <v>7</v>
      </c>
      <c r="B25" s="5"/>
      <c r="C25" s="75"/>
      <c r="D25" s="6"/>
      <c r="E25" s="6"/>
      <c r="F25" s="6"/>
      <c r="G25" s="6"/>
      <c r="H25" s="6"/>
      <c r="I25" s="6"/>
    </row>
    <row r="26" spans="1:9" hidden="1" x14ac:dyDescent="0.2">
      <c r="A26" s="8" t="s">
        <v>8</v>
      </c>
      <c r="B26" s="5"/>
      <c r="C26" s="74"/>
      <c r="D26" s="6"/>
      <c r="E26" s="6"/>
      <c r="F26" s="6"/>
      <c r="G26" s="6"/>
      <c r="H26" s="6"/>
      <c r="I26" s="6"/>
    </row>
    <row r="27" spans="1:9" hidden="1" x14ac:dyDescent="0.2">
      <c r="A27" s="8" t="s">
        <v>9</v>
      </c>
      <c r="B27" s="5"/>
      <c r="C27" s="74"/>
      <c r="D27" s="6"/>
      <c r="E27" s="6"/>
      <c r="F27" s="6"/>
      <c r="G27" s="6"/>
      <c r="H27" s="6"/>
      <c r="I27" s="6"/>
    </row>
    <row r="28" spans="1:9" hidden="1" x14ac:dyDescent="0.2">
      <c r="A28" s="312" t="s">
        <v>10</v>
      </c>
      <c r="B28" s="313"/>
      <c r="C28" s="313"/>
      <c r="D28" s="313"/>
      <c r="E28" s="314"/>
      <c r="F28" s="11">
        <f>SUM(F18:F27)</f>
        <v>0</v>
      </c>
      <c r="G28" s="11">
        <f>SUM(G18:G27)</f>
        <v>0</v>
      </c>
      <c r="H28" s="11">
        <f>SUM(H18:H27)</f>
        <v>0</v>
      </c>
      <c r="I28" s="11"/>
    </row>
    <row r="29" spans="1:9" hidden="1" x14ac:dyDescent="0.2">
      <c r="A29" s="8" t="s">
        <v>0</v>
      </c>
      <c r="B29" s="5">
        <f>B18+1</f>
        <v>46109</v>
      </c>
      <c r="C29" s="74"/>
      <c r="D29" s="6"/>
      <c r="E29" s="6"/>
      <c r="F29" s="6"/>
      <c r="G29" s="6"/>
      <c r="H29" s="6"/>
      <c r="I29" s="6"/>
    </row>
    <row r="30" spans="1:9" hidden="1" x14ac:dyDescent="0.2">
      <c r="A30" s="8" t="s">
        <v>1</v>
      </c>
      <c r="B30" s="5"/>
      <c r="C30" s="74"/>
      <c r="D30" s="6"/>
      <c r="E30" s="6"/>
      <c r="F30" s="6"/>
      <c r="G30" s="6"/>
      <c r="H30" s="6"/>
      <c r="I30" s="6"/>
    </row>
    <row r="31" spans="1:9" hidden="1" x14ac:dyDescent="0.2">
      <c r="A31" s="8" t="s">
        <v>2</v>
      </c>
      <c r="B31" s="5"/>
      <c r="C31" s="74"/>
      <c r="D31" s="6"/>
      <c r="E31" s="6"/>
      <c r="F31" s="6"/>
      <c r="G31" s="6"/>
      <c r="H31" s="6"/>
      <c r="I31" s="6"/>
    </row>
    <row r="32" spans="1:9" hidden="1" x14ac:dyDescent="0.2">
      <c r="A32" s="8" t="s">
        <v>3</v>
      </c>
      <c r="B32" s="5"/>
      <c r="C32" s="74"/>
      <c r="D32" s="6"/>
      <c r="E32" s="6"/>
      <c r="F32" s="6"/>
      <c r="G32" s="6"/>
      <c r="H32" s="6"/>
      <c r="I32" s="6"/>
    </row>
    <row r="33" spans="1:9" hidden="1" x14ac:dyDescent="0.2">
      <c r="A33" s="8" t="s">
        <v>4</v>
      </c>
      <c r="B33" s="5"/>
      <c r="C33" s="74"/>
      <c r="D33" s="6"/>
      <c r="E33" s="6"/>
      <c r="F33" s="6"/>
      <c r="G33" s="6"/>
      <c r="H33" s="6"/>
      <c r="I33" s="6"/>
    </row>
    <row r="34" spans="1:9" hidden="1" x14ac:dyDescent="0.2">
      <c r="A34" s="8" t="s">
        <v>5</v>
      </c>
      <c r="B34" s="5"/>
      <c r="C34" s="74"/>
      <c r="D34" s="6"/>
      <c r="E34" s="6"/>
      <c r="F34" s="6"/>
      <c r="G34" s="6"/>
      <c r="H34" s="6"/>
      <c r="I34" s="6"/>
    </row>
    <row r="35" spans="1:9" hidden="1" x14ac:dyDescent="0.2">
      <c r="A35" s="8" t="s">
        <v>6</v>
      </c>
      <c r="B35" s="5"/>
      <c r="C35" s="74"/>
      <c r="D35" s="6"/>
      <c r="E35" s="6"/>
      <c r="F35" s="6"/>
      <c r="G35" s="6"/>
      <c r="H35" s="6"/>
      <c r="I35" s="6"/>
    </row>
    <row r="36" spans="1:9" hidden="1" x14ac:dyDescent="0.2">
      <c r="A36" s="8" t="s">
        <v>7</v>
      </c>
      <c r="B36" s="5"/>
      <c r="C36" s="74"/>
      <c r="D36" s="6"/>
      <c r="E36" s="6"/>
      <c r="F36" s="6"/>
      <c r="G36" s="6"/>
      <c r="H36" s="6"/>
      <c r="I36" s="6"/>
    </row>
    <row r="37" spans="1:9" hidden="1" x14ac:dyDescent="0.2">
      <c r="A37" s="8" t="s">
        <v>8</v>
      </c>
      <c r="B37" s="5"/>
      <c r="C37" s="74"/>
      <c r="D37" s="6"/>
      <c r="E37" s="6"/>
      <c r="F37" s="6"/>
      <c r="G37" s="6"/>
      <c r="H37" s="6"/>
      <c r="I37" s="6"/>
    </row>
    <row r="38" spans="1:9" hidden="1" x14ac:dyDescent="0.2">
      <c r="A38" s="8" t="s">
        <v>9</v>
      </c>
      <c r="B38" s="5"/>
      <c r="C38" s="74"/>
      <c r="D38" s="6"/>
      <c r="E38" s="6"/>
      <c r="F38" s="6"/>
      <c r="G38" s="6"/>
      <c r="H38" s="6"/>
      <c r="I38" s="6"/>
    </row>
    <row r="39" spans="1:9" hidden="1" x14ac:dyDescent="0.2">
      <c r="A39" s="312" t="s">
        <v>10</v>
      </c>
      <c r="B39" s="313"/>
      <c r="C39" s="313"/>
      <c r="D39" s="313"/>
      <c r="E39" s="314"/>
      <c r="F39" s="11">
        <f>SUM(F29:F38)</f>
        <v>0</v>
      </c>
      <c r="G39" s="11">
        <f>SUM(G29:G38)</f>
        <v>0</v>
      </c>
      <c r="H39" s="11">
        <f>SUM(H29:H38)</f>
        <v>0</v>
      </c>
      <c r="I39" s="11"/>
    </row>
    <row r="40" spans="1:9" hidden="1" x14ac:dyDescent="0.2">
      <c r="A40" s="8" t="s">
        <v>0</v>
      </c>
      <c r="B40" s="5">
        <f>B29+1</f>
        <v>46110</v>
      </c>
      <c r="C40" s="75"/>
      <c r="D40" s="6"/>
      <c r="E40" s="6"/>
      <c r="F40" s="6"/>
      <c r="G40" s="6"/>
      <c r="H40" s="6"/>
      <c r="I40" s="6"/>
    </row>
    <row r="41" spans="1:9" hidden="1" x14ac:dyDescent="0.2">
      <c r="A41" s="8" t="s">
        <v>1</v>
      </c>
      <c r="B41" s="5"/>
      <c r="C41" s="75"/>
      <c r="D41" s="6"/>
      <c r="E41" s="6"/>
      <c r="F41" s="6"/>
      <c r="G41" s="6"/>
      <c r="H41" s="6"/>
      <c r="I41" s="6"/>
    </row>
    <row r="42" spans="1:9" hidden="1" x14ac:dyDescent="0.2">
      <c r="A42" s="8" t="s">
        <v>2</v>
      </c>
      <c r="B42" s="5"/>
      <c r="C42" s="75"/>
      <c r="D42" s="6"/>
      <c r="E42" s="6"/>
      <c r="F42" s="6"/>
      <c r="G42" s="6"/>
      <c r="H42" s="6"/>
      <c r="I42" s="6"/>
    </row>
    <row r="43" spans="1:9" hidden="1" x14ac:dyDescent="0.2">
      <c r="A43" s="8" t="s">
        <v>3</v>
      </c>
      <c r="B43" s="5"/>
      <c r="C43" s="75"/>
      <c r="D43" s="6"/>
      <c r="E43" s="6"/>
      <c r="F43" s="6"/>
      <c r="G43" s="6"/>
      <c r="H43" s="6"/>
      <c r="I43" s="6"/>
    </row>
    <row r="44" spans="1:9" hidden="1" x14ac:dyDescent="0.2">
      <c r="A44" s="8" t="s">
        <v>4</v>
      </c>
      <c r="B44" s="5"/>
      <c r="C44" s="75"/>
      <c r="D44" s="6"/>
      <c r="E44" s="6"/>
      <c r="F44" s="6"/>
      <c r="G44" s="6"/>
      <c r="H44" s="6"/>
      <c r="I44" s="6"/>
    </row>
    <row r="45" spans="1:9" hidden="1" x14ac:dyDescent="0.2">
      <c r="A45" s="8" t="s">
        <v>5</v>
      </c>
      <c r="B45" s="5"/>
      <c r="C45" s="75"/>
      <c r="D45" s="6"/>
      <c r="E45" s="6"/>
      <c r="F45" s="6"/>
      <c r="G45" s="6"/>
      <c r="H45" s="6"/>
      <c r="I45" s="6"/>
    </row>
    <row r="46" spans="1:9" hidden="1" x14ac:dyDescent="0.2">
      <c r="A46" s="8" t="s">
        <v>6</v>
      </c>
      <c r="B46" s="5"/>
      <c r="C46" s="75"/>
      <c r="D46" s="6"/>
      <c r="E46" s="6"/>
      <c r="F46" s="6"/>
      <c r="G46" s="6"/>
      <c r="H46" s="6"/>
      <c r="I46" s="6"/>
    </row>
    <row r="47" spans="1:9" hidden="1" x14ac:dyDescent="0.2">
      <c r="A47" s="8" t="s">
        <v>7</v>
      </c>
      <c r="B47" s="5"/>
      <c r="C47" s="74"/>
      <c r="D47" s="6"/>
      <c r="E47" s="6"/>
      <c r="F47" s="6"/>
      <c r="G47" s="6"/>
      <c r="H47" s="6"/>
      <c r="I47" s="6"/>
    </row>
    <row r="48" spans="1:9" hidden="1" x14ac:dyDescent="0.2">
      <c r="A48" s="8" t="s">
        <v>8</v>
      </c>
      <c r="B48" s="5"/>
      <c r="C48" s="74"/>
      <c r="D48" s="6"/>
      <c r="E48" s="6"/>
      <c r="F48" s="6"/>
      <c r="G48" s="6"/>
      <c r="H48" s="6"/>
      <c r="I48" s="6"/>
    </row>
    <row r="49" spans="1:9" hidden="1" x14ac:dyDescent="0.2">
      <c r="A49" s="8" t="s">
        <v>9</v>
      </c>
      <c r="B49" s="5"/>
      <c r="C49" s="74"/>
      <c r="D49" s="6"/>
      <c r="E49" s="6"/>
      <c r="F49" s="6"/>
      <c r="G49" s="6"/>
      <c r="H49" s="6"/>
      <c r="I49" s="6"/>
    </row>
    <row r="50" spans="1:9" hidden="1" x14ac:dyDescent="0.2">
      <c r="A50" s="312" t="s">
        <v>10</v>
      </c>
      <c r="B50" s="313"/>
      <c r="C50" s="313"/>
      <c r="D50" s="313"/>
      <c r="E50" s="314"/>
      <c r="F50" s="11">
        <f>SUM(F40:F49)</f>
        <v>0</v>
      </c>
      <c r="G50" s="11">
        <f>SUM(G40:G49)</f>
        <v>0</v>
      </c>
      <c r="H50" s="11">
        <f>SUM(H40:H49)</f>
        <v>0</v>
      </c>
      <c r="I50" s="11"/>
    </row>
    <row r="51" spans="1:9" hidden="1" x14ac:dyDescent="0.2">
      <c r="A51" s="8" t="s">
        <v>0</v>
      </c>
      <c r="B51" s="5">
        <f>B40+1</f>
        <v>46111</v>
      </c>
      <c r="C51" s="75"/>
      <c r="D51" s="6"/>
      <c r="E51" s="6"/>
      <c r="F51" s="6"/>
      <c r="G51" s="6"/>
      <c r="H51" s="6"/>
      <c r="I51" s="6"/>
    </row>
    <row r="52" spans="1:9" hidden="1" x14ac:dyDescent="0.2">
      <c r="A52" s="8" t="s">
        <v>1</v>
      </c>
      <c r="B52" s="5"/>
      <c r="C52" s="75"/>
      <c r="D52" s="6"/>
      <c r="E52" s="6"/>
      <c r="F52" s="6"/>
      <c r="G52" s="6"/>
      <c r="H52" s="6"/>
      <c r="I52" s="6"/>
    </row>
    <row r="53" spans="1:9" hidden="1" x14ac:dyDescent="0.2">
      <c r="A53" s="8" t="s">
        <v>2</v>
      </c>
      <c r="B53" s="5"/>
      <c r="C53" s="75"/>
      <c r="D53" s="6"/>
      <c r="E53" s="6"/>
      <c r="F53" s="6"/>
      <c r="G53" s="6"/>
      <c r="H53" s="6"/>
      <c r="I53" s="6"/>
    </row>
    <row r="54" spans="1:9" hidden="1" x14ac:dyDescent="0.2">
      <c r="A54" s="8" t="s">
        <v>3</v>
      </c>
      <c r="B54" s="5"/>
      <c r="C54" s="75"/>
      <c r="D54" s="6"/>
      <c r="E54" s="6"/>
      <c r="F54" s="6"/>
      <c r="G54" s="6"/>
      <c r="H54" s="6"/>
      <c r="I54" s="6"/>
    </row>
    <row r="55" spans="1:9" hidden="1" x14ac:dyDescent="0.2">
      <c r="A55" s="8" t="s">
        <v>4</v>
      </c>
      <c r="B55" s="5"/>
      <c r="C55" s="75"/>
      <c r="D55" s="6"/>
      <c r="E55" s="6"/>
      <c r="F55" s="6"/>
      <c r="G55" s="6"/>
      <c r="H55" s="6"/>
      <c r="I55" s="6"/>
    </row>
    <row r="56" spans="1:9" hidden="1" x14ac:dyDescent="0.2">
      <c r="A56" s="8" t="s">
        <v>5</v>
      </c>
      <c r="B56" s="5"/>
      <c r="C56" s="75"/>
      <c r="D56" s="6"/>
      <c r="E56" s="6"/>
      <c r="F56" s="6"/>
      <c r="G56" s="6"/>
      <c r="H56" s="6"/>
      <c r="I56" s="6"/>
    </row>
    <row r="57" spans="1:9" hidden="1" x14ac:dyDescent="0.2">
      <c r="A57" s="8" t="s">
        <v>6</v>
      </c>
      <c r="B57" s="5"/>
      <c r="C57" s="74"/>
      <c r="D57" s="6"/>
      <c r="E57" s="6"/>
      <c r="F57" s="6"/>
      <c r="G57" s="6"/>
      <c r="H57" s="6"/>
      <c r="I57" s="6"/>
    </row>
    <row r="58" spans="1:9" hidden="1" x14ac:dyDescent="0.2">
      <c r="A58" s="8" t="s">
        <v>7</v>
      </c>
      <c r="B58" s="5"/>
      <c r="C58" s="74"/>
      <c r="D58" s="6"/>
      <c r="E58" s="6"/>
      <c r="F58" s="6"/>
      <c r="G58" s="6"/>
      <c r="H58" s="6"/>
      <c r="I58" s="6"/>
    </row>
    <row r="59" spans="1:9" hidden="1" x14ac:dyDescent="0.2">
      <c r="A59" s="8" t="s">
        <v>8</v>
      </c>
      <c r="B59" s="5"/>
      <c r="C59" s="74"/>
      <c r="D59" s="6"/>
      <c r="E59" s="6"/>
      <c r="F59" s="6"/>
      <c r="G59" s="6"/>
      <c r="H59" s="6"/>
      <c r="I59" s="6"/>
    </row>
    <row r="60" spans="1:9" hidden="1" x14ac:dyDescent="0.2">
      <c r="A60" s="8" t="s">
        <v>9</v>
      </c>
      <c r="B60" s="5"/>
      <c r="C60" s="74"/>
      <c r="D60" s="6"/>
      <c r="E60" s="6"/>
      <c r="F60" s="6"/>
      <c r="G60" s="6"/>
      <c r="H60" s="6"/>
      <c r="I60" s="6"/>
    </row>
    <row r="61" spans="1:9" hidden="1" x14ac:dyDescent="0.2">
      <c r="A61" s="312" t="s">
        <v>10</v>
      </c>
      <c r="B61" s="313"/>
      <c r="C61" s="313"/>
      <c r="D61" s="313"/>
      <c r="E61" s="314"/>
      <c r="F61" s="11">
        <f>SUM(F51:F60)</f>
        <v>0</v>
      </c>
      <c r="G61" s="11">
        <f>SUM(G51:G60)</f>
        <v>0</v>
      </c>
      <c r="H61" s="11">
        <f>SUM(H51:H60)</f>
        <v>0</v>
      </c>
      <c r="I61" s="11"/>
    </row>
    <row r="62" spans="1:9" hidden="1" x14ac:dyDescent="0.2">
      <c r="A62" s="8" t="s">
        <v>0</v>
      </c>
      <c r="B62" s="5">
        <f>B51+1</f>
        <v>46112</v>
      </c>
      <c r="C62" s="74"/>
      <c r="D62" s="6"/>
      <c r="E62" s="6"/>
      <c r="F62" s="6"/>
      <c r="G62" s="6"/>
      <c r="H62" s="6"/>
      <c r="I62" s="6"/>
    </row>
    <row r="63" spans="1:9" hidden="1" x14ac:dyDescent="0.2">
      <c r="A63" s="8" t="s">
        <v>1</v>
      </c>
      <c r="B63" s="5"/>
      <c r="C63" s="74"/>
      <c r="D63" s="6"/>
      <c r="E63" s="6"/>
      <c r="F63" s="6"/>
      <c r="G63" s="6"/>
      <c r="H63" s="6"/>
      <c r="I63" s="6"/>
    </row>
    <row r="64" spans="1:9" hidden="1" x14ac:dyDescent="0.2">
      <c r="A64" s="8" t="s">
        <v>2</v>
      </c>
      <c r="B64" s="5"/>
      <c r="C64" s="74"/>
      <c r="D64" s="6"/>
      <c r="E64" s="6"/>
      <c r="F64" s="6"/>
      <c r="G64" s="6"/>
      <c r="H64" s="6"/>
      <c r="I64" s="6"/>
    </row>
    <row r="65" spans="1:9" hidden="1" x14ac:dyDescent="0.2">
      <c r="A65" s="8" t="s">
        <v>3</v>
      </c>
      <c r="B65" s="5"/>
      <c r="C65" s="74"/>
      <c r="D65" s="6"/>
      <c r="E65" s="6"/>
      <c r="F65" s="6"/>
      <c r="G65" s="6"/>
      <c r="H65" s="6"/>
      <c r="I65" s="6"/>
    </row>
    <row r="66" spans="1:9" hidden="1" x14ac:dyDescent="0.2">
      <c r="A66" s="8" t="s">
        <v>4</v>
      </c>
      <c r="B66" s="5"/>
      <c r="C66" s="74"/>
      <c r="D66" s="6"/>
      <c r="E66" s="6"/>
      <c r="F66" s="6"/>
      <c r="G66" s="6"/>
      <c r="H66" s="6"/>
      <c r="I66" s="6"/>
    </row>
    <row r="67" spans="1:9" hidden="1" x14ac:dyDescent="0.2">
      <c r="A67" s="8" t="s">
        <v>5</v>
      </c>
      <c r="B67" s="5"/>
      <c r="C67" s="74"/>
      <c r="D67" s="6"/>
      <c r="E67" s="6"/>
      <c r="F67" s="6"/>
      <c r="G67" s="6"/>
      <c r="H67" s="6"/>
      <c r="I67" s="6"/>
    </row>
    <row r="68" spans="1:9" hidden="1" x14ac:dyDescent="0.2">
      <c r="A68" s="8" t="s">
        <v>6</v>
      </c>
      <c r="B68" s="5"/>
      <c r="C68" s="74"/>
      <c r="D68" s="6"/>
      <c r="E68" s="6"/>
      <c r="F68" s="6"/>
      <c r="G68" s="6"/>
      <c r="H68" s="6"/>
      <c r="I68" s="6"/>
    </row>
    <row r="69" spans="1:9" hidden="1" x14ac:dyDescent="0.2">
      <c r="A69" s="8" t="s">
        <v>7</v>
      </c>
      <c r="B69" s="5"/>
      <c r="C69" s="74"/>
      <c r="D69" s="6"/>
      <c r="E69" s="6"/>
      <c r="F69" s="6"/>
      <c r="G69" s="6"/>
      <c r="H69" s="6"/>
      <c r="I69" s="6"/>
    </row>
    <row r="70" spans="1:9" hidden="1" x14ac:dyDescent="0.2">
      <c r="A70" s="8" t="s">
        <v>8</v>
      </c>
      <c r="B70" s="5"/>
      <c r="C70" s="74"/>
      <c r="D70" s="6"/>
      <c r="E70" s="6"/>
      <c r="F70" s="6"/>
      <c r="G70" s="6"/>
      <c r="H70" s="6"/>
      <c r="I70" s="6"/>
    </row>
    <row r="71" spans="1:9" hidden="1" x14ac:dyDescent="0.2">
      <c r="A71" s="8" t="s">
        <v>9</v>
      </c>
      <c r="B71" s="5"/>
      <c r="C71" s="75"/>
      <c r="D71" s="6"/>
      <c r="E71" s="6"/>
      <c r="F71" s="6"/>
      <c r="G71" s="6"/>
      <c r="H71" s="6"/>
      <c r="I71" s="6"/>
    </row>
    <row r="72" spans="1:9" hidden="1" x14ac:dyDescent="0.2">
      <c r="A72" s="312" t="s">
        <v>10</v>
      </c>
      <c r="B72" s="313"/>
      <c r="C72" s="313"/>
      <c r="D72" s="313"/>
      <c r="E72" s="314"/>
      <c r="F72" s="11">
        <f>SUM(F62:F71)</f>
        <v>0</v>
      </c>
      <c r="G72" s="11">
        <f>SUM(G62:G71)</f>
        <v>0</v>
      </c>
      <c r="H72" s="11">
        <f>SUM(H62:H71)</f>
        <v>0</v>
      </c>
      <c r="I72" s="11"/>
    </row>
    <row r="73" spans="1:9" hidden="1" x14ac:dyDescent="0.2">
      <c r="A73" s="8" t="s">
        <v>0</v>
      </c>
      <c r="B73" s="5">
        <f>B62+1</f>
        <v>46113</v>
      </c>
      <c r="C73" s="74"/>
      <c r="D73" s="6"/>
      <c r="E73" s="6"/>
      <c r="F73" s="6"/>
      <c r="G73" s="6"/>
      <c r="H73" s="6"/>
      <c r="I73" s="6"/>
    </row>
    <row r="74" spans="1:9" hidden="1" x14ac:dyDescent="0.2">
      <c r="A74" s="8" t="s">
        <v>1</v>
      </c>
      <c r="B74" s="5"/>
      <c r="C74" s="74"/>
      <c r="D74" s="6"/>
      <c r="E74" s="6"/>
      <c r="F74" s="6"/>
      <c r="G74" s="6"/>
      <c r="H74" s="6"/>
      <c r="I74" s="6"/>
    </row>
    <row r="75" spans="1:9" hidden="1" x14ac:dyDescent="0.2">
      <c r="A75" s="8" t="s">
        <v>2</v>
      </c>
      <c r="B75" s="5"/>
      <c r="C75" s="74"/>
      <c r="D75" s="6"/>
      <c r="E75" s="6"/>
      <c r="F75" s="6"/>
      <c r="G75" s="6"/>
      <c r="H75" s="6"/>
      <c r="I75" s="6"/>
    </row>
    <row r="76" spans="1:9" hidden="1" x14ac:dyDescent="0.2">
      <c r="A76" s="8" t="s">
        <v>3</v>
      </c>
      <c r="B76" s="5"/>
      <c r="C76" s="74"/>
      <c r="D76" s="6"/>
      <c r="E76" s="6"/>
      <c r="F76" s="6"/>
      <c r="G76" s="6"/>
      <c r="H76" s="6"/>
      <c r="I76" s="6"/>
    </row>
    <row r="77" spans="1:9" hidden="1" x14ac:dyDescent="0.2">
      <c r="A77" s="8" t="s">
        <v>4</v>
      </c>
      <c r="B77" s="5"/>
      <c r="C77" s="74"/>
      <c r="D77" s="6"/>
      <c r="E77" s="6"/>
      <c r="F77" s="6"/>
      <c r="G77" s="6"/>
      <c r="H77" s="6"/>
      <c r="I77" s="6"/>
    </row>
    <row r="78" spans="1:9" hidden="1" x14ac:dyDescent="0.2">
      <c r="A78" s="8" t="s">
        <v>5</v>
      </c>
      <c r="B78" s="5"/>
      <c r="C78" s="74"/>
      <c r="D78" s="6"/>
      <c r="E78" s="6"/>
      <c r="F78" s="6"/>
      <c r="G78" s="6"/>
      <c r="H78" s="6"/>
      <c r="I78" s="6"/>
    </row>
    <row r="79" spans="1:9" hidden="1" x14ac:dyDescent="0.2">
      <c r="A79" s="8" t="s">
        <v>6</v>
      </c>
      <c r="B79" s="5"/>
      <c r="C79" s="74"/>
      <c r="D79" s="6"/>
      <c r="E79" s="6"/>
      <c r="F79" s="6"/>
      <c r="G79" s="6"/>
      <c r="H79" s="6"/>
      <c r="I79" s="6"/>
    </row>
    <row r="80" spans="1:9" hidden="1" x14ac:dyDescent="0.2">
      <c r="A80" s="8" t="s">
        <v>7</v>
      </c>
      <c r="B80" s="5"/>
      <c r="C80" s="74"/>
      <c r="D80" s="6"/>
      <c r="E80" s="6"/>
      <c r="F80" s="6"/>
      <c r="G80" s="6"/>
      <c r="H80" s="6"/>
      <c r="I80" s="6"/>
    </row>
    <row r="81" spans="1:9" hidden="1" x14ac:dyDescent="0.2">
      <c r="A81" s="8" t="s">
        <v>8</v>
      </c>
      <c r="B81" s="5"/>
      <c r="C81" s="74"/>
      <c r="D81" s="6"/>
      <c r="E81" s="6"/>
      <c r="F81" s="6"/>
      <c r="G81" s="6"/>
      <c r="H81" s="6"/>
      <c r="I81" s="6"/>
    </row>
    <row r="82" spans="1:9" hidden="1" x14ac:dyDescent="0.2">
      <c r="A82" s="8" t="s">
        <v>9</v>
      </c>
      <c r="B82" s="5"/>
      <c r="C82" s="74"/>
      <c r="D82" s="6"/>
      <c r="E82" s="6"/>
      <c r="F82" s="6"/>
      <c r="G82" s="6"/>
      <c r="H82" s="6"/>
      <c r="I82" s="6"/>
    </row>
    <row r="83" spans="1:9" hidden="1" x14ac:dyDescent="0.2">
      <c r="A83" s="312" t="s">
        <v>10</v>
      </c>
      <c r="B83" s="313"/>
      <c r="C83" s="313"/>
      <c r="D83" s="313"/>
      <c r="E83" s="314"/>
      <c r="F83" s="11">
        <f>SUM(F73:F82)</f>
        <v>0</v>
      </c>
      <c r="G83" s="11">
        <f>SUM(G73:G82)</f>
        <v>0</v>
      </c>
      <c r="H83" s="11">
        <f>SUM(H73:H82)</f>
        <v>0</v>
      </c>
      <c r="I83" s="11"/>
    </row>
    <row r="84" spans="1:9" s="25" customFormat="1" ht="18" hidden="1" x14ac:dyDescent="0.2">
      <c r="A84" s="324" t="s">
        <v>39</v>
      </c>
      <c r="B84" s="325"/>
      <c r="C84" s="325"/>
      <c r="D84" s="325"/>
      <c r="E84" s="326"/>
      <c r="F84" s="24">
        <f>F17+F28+F39+F50+F61+F72+F83</f>
        <v>0</v>
      </c>
      <c r="G84" s="24">
        <f>G17+G28+G39+G50+G61+G72+G83</f>
        <v>0</v>
      </c>
      <c r="H84" s="24">
        <f>H17+H28+H39+H50+H61+H72+H83</f>
        <v>0</v>
      </c>
      <c r="I84" s="24"/>
    </row>
    <row r="85" spans="1:9" ht="21.95" hidden="1" customHeight="1" x14ac:dyDescent="0.2">
      <c r="A85" s="319" t="s">
        <v>14</v>
      </c>
      <c r="B85" s="319"/>
      <c r="C85" s="319"/>
      <c r="D85" s="319"/>
      <c r="E85" s="319"/>
      <c r="F85" s="319"/>
      <c r="G85" s="319"/>
      <c r="H85" s="319"/>
      <c r="I85" s="319"/>
    </row>
    <row r="86" spans="1:9" s="53" customFormat="1" ht="20.100000000000001" hidden="1" customHeight="1" x14ac:dyDescent="0.2">
      <c r="A86" s="323" t="s">
        <v>86</v>
      </c>
      <c r="B86" s="323"/>
      <c r="C86" s="323"/>
      <c r="D86" s="323"/>
      <c r="E86" s="323"/>
      <c r="F86" s="50" t="str">
        <f>F2</f>
        <v>เมษายน</v>
      </c>
      <c r="G86" s="50" t="s">
        <v>87</v>
      </c>
      <c r="H86" s="51">
        <f>H2</f>
        <v>2569</v>
      </c>
      <c r="I86" s="52"/>
    </row>
    <row r="87" spans="1:9" s="3" customFormat="1" ht="20.100000000000001" hidden="1" customHeight="1" x14ac:dyDescent="0.35">
      <c r="A87" s="318" t="s">
        <v>38</v>
      </c>
      <c r="B87" s="318"/>
      <c r="C87" s="318"/>
      <c r="D87" s="2"/>
      <c r="F87" s="4"/>
      <c r="G87" s="4"/>
      <c r="H87" s="4" t="s">
        <v>21</v>
      </c>
      <c r="I87" s="40">
        <f>I3+1</f>
        <v>2</v>
      </c>
    </row>
    <row r="88" spans="1:9" s="3" customFormat="1" ht="20.100000000000001" hidden="1" customHeight="1" x14ac:dyDescent="0.35">
      <c r="A88" s="311" t="s">
        <v>68</v>
      </c>
      <c r="B88" s="311"/>
      <c r="C88" s="311"/>
      <c r="D88" s="2"/>
      <c r="E88" s="39" t="s">
        <v>81</v>
      </c>
      <c r="F88" s="308">
        <f>F4</f>
        <v>46107</v>
      </c>
      <c r="G88" s="308"/>
      <c r="H88" s="39" t="s">
        <v>82</v>
      </c>
      <c r="I88" s="34">
        <f>I4</f>
        <v>46136</v>
      </c>
    </row>
    <row r="89" spans="1:9" hidden="1" x14ac:dyDescent="0.2">
      <c r="A89" s="12" t="s">
        <v>23</v>
      </c>
      <c r="B89" s="13" t="s">
        <v>11</v>
      </c>
      <c r="C89" s="72" t="s">
        <v>26</v>
      </c>
      <c r="D89" s="12" t="s">
        <v>16</v>
      </c>
      <c r="E89" s="12" t="s">
        <v>17</v>
      </c>
      <c r="F89" s="310" t="s">
        <v>46</v>
      </c>
      <c r="G89" s="310"/>
      <c r="H89" s="310"/>
      <c r="I89" s="12" t="s">
        <v>19</v>
      </c>
    </row>
    <row r="90" spans="1:9" hidden="1" x14ac:dyDescent="0.2">
      <c r="A90" s="15"/>
      <c r="B90" s="16"/>
      <c r="C90" s="73"/>
      <c r="D90" s="15"/>
      <c r="E90" s="15"/>
      <c r="F90" s="21" t="s">
        <v>113</v>
      </c>
      <c r="G90" s="21" t="s">
        <v>114</v>
      </c>
      <c r="H90" s="21" t="s">
        <v>20</v>
      </c>
      <c r="I90" s="15"/>
    </row>
    <row r="91" spans="1:9" x14ac:dyDescent="0.2">
      <c r="A91" s="8" t="s">
        <v>0</v>
      </c>
      <c r="B91" s="5">
        <f>B73+1</f>
        <v>46114</v>
      </c>
      <c r="C91" s="74" t="s">
        <v>714</v>
      </c>
      <c r="D91" s="6" t="s">
        <v>170</v>
      </c>
      <c r="E91" s="6" t="s">
        <v>171</v>
      </c>
      <c r="F91" s="6">
        <v>1</v>
      </c>
      <c r="G91" s="6"/>
      <c r="H91" s="6">
        <v>6</v>
      </c>
      <c r="I91" s="6"/>
    </row>
    <row r="92" spans="1:9" hidden="1" x14ac:dyDescent="0.2">
      <c r="A92" s="8" t="s">
        <v>1</v>
      </c>
      <c r="B92" s="5"/>
      <c r="C92" s="74"/>
      <c r="D92" s="6"/>
      <c r="E92" s="6"/>
      <c r="F92" s="6"/>
      <c r="G92" s="6"/>
      <c r="H92" s="6"/>
      <c r="I92" s="6"/>
    </row>
    <row r="93" spans="1:9" hidden="1" x14ac:dyDescent="0.2">
      <c r="A93" s="8" t="s">
        <v>2</v>
      </c>
      <c r="B93" s="5"/>
      <c r="C93" s="74"/>
      <c r="D93" s="6"/>
      <c r="E93" s="6"/>
      <c r="F93" s="6"/>
      <c r="G93" s="6"/>
      <c r="H93" s="6"/>
      <c r="I93" s="6"/>
    </row>
    <row r="94" spans="1:9" hidden="1" x14ac:dyDescent="0.2">
      <c r="A94" s="8" t="s">
        <v>3</v>
      </c>
      <c r="B94" s="5"/>
      <c r="C94" s="74"/>
      <c r="D94" s="6"/>
      <c r="E94" s="6"/>
      <c r="F94" s="6"/>
      <c r="G94" s="6"/>
      <c r="H94" s="6"/>
      <c r="I94" s="6"/>
    </row>
    <row r="95" spans="1:9" hidden="1" x14ac:dyDescent="0.2">
      <c r="A95" s="8" t="s">
        <v>4</v>
      </c>
      <c r="B95" s="5"/>
      <c r="C95" s="74"/>
      <c r="D95" s="6"/>
      <c r="E95" s="6"/>
      <c r="F95" s="6"/>
      <c r="G95" s="6"/>
      <c r="H95" s="6"/>
      <c r="I95" s="6"/>
    </row>
    <row r="96" spans="1:9" hidden="1" x14ac:dyDescent="0.2">
      <c r="A96" s="8" t="s">
        <v>5</v>
      </c>
      <c r="B96" s="5"/>
      <c r="C96" s="74"/>
      <c r="D96" s="6"/>
      <c r="E96" s="6"/>
      <c r="F96" s="6"/>
      <c r="G96" s="6"/>
      <c r="H96" s="6"/>
      <c r="I96" s="6"/>
    </row>
    <row r="97" spans="1:9" hidden="1" x14ac:dyDescent="0.2">
      <c r="A97" s="8" t="s">
        <v>6</v>
      </c>
      <c r="B97" s="5"/>
      <c r="C97" s="74"/>
      <c r="D97" s="6"/>
      <c r="E97" s="6"/>
      <c r="F97" s="6"/>
      <c r="G97" s="6"/>
      <c r="H97" s="6"/>
      <c r="I97" s="6"/>
    </row>
    <row r="98" spans="1:9" hidden="1" x14ac:dyDescent="0.2">
      <c r="A98" s="8" t="s">
        <v>7</v>
      </c>
      <c r="B98" s="5"/>
      <c r="C98" s="74"/>
      <c r="D98" s="6"/>
      <c r="E98" s="6"/>
      <c r="F98" s="6"/>
      <c r="G98" s="6"/>
      <c r="H98" s="6"/>
      <c r="I98" s="6"/>
    </row>
    <row r="99" spans="1:9" hidden="1" x14ac:dyDescent="0.2">
      <c r="A99" s="8" t="s">
        <v>8</v>
      </c>
      <c r="B99" s="5"/>
      <c r="C99" s="74"/>
      <c r="D99" s="6"/>
      <c r="E99" s="6"/>
      <c r="F99" s="6"/>
      <c r="G99" s="6"/>
      <c r="H99" s="6"/>
      <c r="I99" s="6"/>
    </row>
    <row r="100" spans="1:9" hidden="1" x14ac:dyDescent="0.2">
      <c r="A100" s="8" t="s">
        <v>9</v>
      </c>
      <c r="B100" s="5"/>
      <c r="C100" s="74"/>
      <c r="D100" s="6"/>
      <c r="E100" s="6"/>
      <c r="F100" s="6"/>
      <c r="G100" s="6"/>
      <c r="H100" s="6"/>
      <c r="I100" s="6"/>
    </row>
    <row r="101" spans="1:9" x14ac:dyDescent="0.2">
      <c r="A101" s="312" t="s">
        <v>10</v>
      </c>
      <c r="B101" s="313"/>
      <c r="C101" s="313"/>
      <c r="D101" s="313"/>
      <c r="E101" s="314"/>
      <c r="F101" s="11">
        <f>SUM(F91:F100)</f>
        <v>1</v>
      </c>
      <c r="G101" s="11">
        <f>SUM(G91:G100)</f>
        <v>0</v>
      </c>
      <c r="H101" s="11">
        <f>SUM(H91:H100)</f>
        <v>6</v>
      </c>
      <c r="I101" s="11"/>
    </row>
    <row r="102" spans="1:9" hidden="1" x14ac:dyDescent="0.2">
      <c r="A102" s="8" t="s">
        <v>0</v>
      </c>
      <c r="B102" s="5">
        <f>B91+1</f>
        <v>46115</v>
      </c>
      <c r="C102" s="74"/>
      <c r="D102" s="6"/>
      <c r="E102" s="6"/>
      <c r="F102" s="6"/>
      <c r="G102" s="6"/>
      <c r="H102" s="6"/>
      <c r="I102" s="6"/>
    </row>
    <row r="103" spans="1:9" hidden="1" x14ac:dyDescent="0.2">
      <c r="A103" s="8" t="s">
        <v>1</v>
      </c>
      <c r="B103" s="5"/>
      <c r="C103" s="74"/>
      <c r="D103" s="6"/>
      <c r="E103" s="6"/>
      <c r="F103" s="6"/>
      <c r="G103" s="6"/>
      <c r="H103" s="6"/>
      <c r="I103" s="6"/>
    </row>
    <row r="104" spans="1:9" hidden="1" x14ac:dyDescent="0.2">
      <c r="A104" s="8" t="s">
        <v>2</v>
      </c>
      <c r="B104" s="5"/>
      <c r="C104" s="74"/>
      <c r="D104" s="6"/>
      <c r="E104" s="6"/>
      <c r="F104" s="6"/>
      <c r="G104" s="6"/>
      <c r="H104" s="6"/>
      <c r="I104" s="6"/>
    </row>
    <row r="105" spans="1:9" hidden="1" x14ac:dyDescent="0.2">
      <c r="A105" s="8" t="s">
        <v>3</v>
      </c>
      <c r="B105" s="5"/>
      <c r="C105" s="74"/>
      <c r="D105" s="6"/>
      <c r="E105" s="6"/>
      <c r="F105" s="6"/>
      <c r="G105" s="6"/>
      <c r="H105" s="6"/>
      <c r="I105" s="6"/>
    </row>
    <row r="106" spans="1:9" hidden="1" x14ac:dyDescent="0.2">
      <c r="A106" s="8" t="s">
        <v>4</v>
      </c>
      <c r="B106" s="5"/>
      <c r="C106" s="74"/>
      <c r="D106" s="6"/>
      <c r="E106" s="6"/>
      <c r="F106" s="6"/>
      <c r="G106" s="6"/>
      <c r="H106" s="6"/>
      <c r="I106" s="6"/>
    </row>
    <row r="107" spans="1:9" hidden="1" x14ac:dyDescent="0.2">
      <c r="A107" s="8" t="s">
        <v>5</v>
      </c>
      <c r="B107" s="5"/>
      <c r="C107" s="74"/>
      <c r="D107" s="6"/>
      <c r="E107" s="6"/>
      <c r="F107" s="6"/>
      <c r="G107" s="6"/>
      <c r="H107" s="6"/>
      <c r="I107" s="6"/>
    </row>
    <row r="108" spans="1:9" hidden="1" x14ac:dyDescent="0.2">
      <c r="A108" s="8" t="s">
        <v>6</v>
      </c>
      <c r="B108" s="5"/>
      <c r="C108" s="74"/>
      <c r="D108" s="6"/>
      <c r="E108" s="6"/>
      <c r="F108" s="6"/>
      <c r="G108" s="6"/>
      <c r="H108" s="6"/>
      <c r="I108" s="6"/>
    </row>
    <row r="109" spans="1:9" hidden="1" x14ac:dyDescent="0.2">
      <c r="A109" s="8" t="s">
        <v>7</v>
      </c>
      <c r="B109" s="5"/>
      <c r="C109" s="74"/>
      <c r="D109" s="6"/>
      <c r="E109" s="6"/>
      <c r="F109" s="6"/>
      <c r="G109" s="6"/>
      <c r="H109" s="6"/>
      <c r="I109" s="6"/>
    </row>
    <row r="110" spans="1:9" hidden="1" x14ac:dyDescent="0.2">
      <c r="A110" s="8" t="s">
        <v>8</v>
      </c>
      <c r="B110" s="5"/>
      <c r="C110" s="74"/>
      <c r="D110" s="6"/>
      <c r="E110" s="6"/>
      <c r="F110" s="6"/>
      <c r="G110" s="6"/>
      <c r="H110" s="6"/>
      <c r="I110" s="6"/>
    </row>
    <row r="111" spans="1:9" hidden="1" x14ac:dyDescent="0.2">
      <c r="A111" s="8" t="s">
        <v>9</v>
      </c>
      <c r="B111" s="5"/>
      <c r="C111" s="74"/>
      <c r="D111" s="6"/>
      <c r="E111" s="6"/>
      <c r="F111" s="6"/>
      <c r="G111" s="6"/>
      <c r="H111" s="6"/>
      <c r="I111" s="6"/>
    </row>
    <row r="112" spans="1:9" hidden="1" x14ac:dyDescent="0.2">
      <c r="A112" s="312" t="s">
        <v>10</v>
      </c>
      <c r="B112" s="313"/>
      <c r="C112" s="313"/>
      <c r="D112" s="313"/>
      <c r="E112" s="314"/>
      <c r="F112" s="11">
        <f>SUM(F102:F111)</f>
        <v>0</v>
      </c>
      <c r="G112" s="11">
        <f>SUM(G102:G111)</f>
        <v>0</v>
      </c>
      <c r="H112" s="11">
        <f>SUM(H102:H111)</f>
        <v>0</v>
      </c>
      <c r="I112" s="11"/>
    </row>
    <row r="113" spans="1:9" hidden="1" x14ac:dyDescent="0.2">
      <c r="A113" s="8" t="s">
        <v>0</v>
      </c>
      <c r="B113" s="5">
        <f>B102+1</f>
        <v>46116</v>
      </c>
      <c r="C113" s="74"/>
      <c r="D113" s="6"/>
      <c r="E113" s="6"/>
      <c r="F113" s="6"/>
      <c r="G113" s="6"/>
      <c r="H113" s="6"/>
      <c r="I113" s="6"/>
    </row>
    <row r="114" spans="1:9" hidden="1" x14ac:dyDescent="0.2">
      <c r="A114" s="8" t="s">
        <v>1</v>
      </c>
      <c r="B114" s="5"/>
      <c r="C114" s="74"/>
      <c r="D114" s="6"/>
      <c r="E114" s="6"/>
      <c r="F114" s="6"/>
      <c r="G114" s="6"/>
      <c r="H114" s="6"/>
      <c r="I114" s="6"/>
    </row>
    <row r="115" spans="1:9" hidden="1" x14ac:dyDescent="0.2">
      <c r="A115" s="8" t="s">
        <v>2</v>
      </c>
      <c r="B115" s="5"/>
      <c r="C115" s="74"/>
      <c r="D115" s="6"/>
      <c r="E115" s="6"/>
      <c r="F115" s="6"/>
      <c r="G115" s="6"/>
      <c r="H115" s="6"/>
      <c r="I115" s="6"/>
    </row>
    <row r="116" spans="1:9" hidden="1" x14ac:dyDescent="0.2">
      <c r="A116" s="8" t="s">
        <v>3</v>
      </c>
      <c r="B116" s="5"/>
      <c r="C116" s="74"/>
      <c r="D116" s="6"/>
      <c r="E116" s="6"/>
      <c r="F116" s="6"/>
      <c r="G116" s="6"/>
      <c r="H116" s="6"/>
      <c r="I116" s="6"/>
    </row>
    <row r="117" spans="1:9" hidden="1" x14ac:dyDescent="0.2">
      <c r="A117" s="8" t="s">
        <v>4</v>
      </c>
      <c r="B117" s="5"/>
      <c r="C117" s="74"/>
      <c r="D117" s="6"/>
      <c r="E117" s="6"/>
      <c r="F117" s="6"/>
      <c r="G117" s="6"/>
      <c r="H117" s="6"/>
      <c r="I117" s="6"/>
    </row>
    <row r="118" spans="1:9" hidden="1" x14ac:dyDescent="0.2">
      <c r="A118" s="8" t="s">
        <v>5</v>
      </c>
      <c r="B118" s="5"/>
      <c r="C118" s="74"/>
      <c r="D118" s="6"/>
      <c r="E118" s="6"/>
      <c r="F118" s="6"/>
      <c r="G118" s="6"/>
      <c r="H118" s="6"/>
      <c r="I118" s="6"/>
    </row>
    <row r="119" spans="1:9" hidden="1" x14ac:dyDescent="0.2">
      <c r="A119" s="8" t="s">
        <v>6</v>
      </c>
      <c r="B119" s="5"/>
      <c r="C119" s="74"/>
      <c r="D119" s="6"/>
      <c r="E119" s="6"/>
      <c r="F119" s="6"/>
      <c r="G119" s="6"/>
      <c r="H119" s="6"/>
      <c r="I119" s="6"/>
    </row>
    <row r="120" spans="1:9" hidden="1" x14ac:dyDescent="0.2">
      <c r="A120" s="8" t="s">
        <v>7</v>
      </c>
      <c r="B120" s="5"/>
      <c r="C120" s="74"/>
      <c r="D120" s="6"/>
      <c r="E120" s="6"/>
      <c r="F120" s="6"/>
      <c r="G120" s="6"/>
      <c r="H120" s="6"/>
      <c r="I120" s="6"/>
    </row>
    <row r="121" spans="1:9" hidden="1" x14ac:dyDescent="0.2">
      <c r="A121" s="8" t="s">
        <v>8</v>
      </c>
      <c r="B121" s="5"/>
      <c r="C121" s="74"/>
      <c r="D121" s="6"/>
      <c r="E121" s="6"/>
      <c r="F121" s="6"/>
      <c r="G121" s="6"/>
      <c r="H121" s="6"/>
      <c r="I121" s="6"/>
    </row>
    <row r="122" spans="1:9" hidden="1" x14ac:dyDescent="0.2">
      <c r="A122" s="8" t="s">
        <v>9</v>
      </c>
      <c r="B122" s="5"/>
      <c r="C122" s="74"/>
      <c r="D122" s="6"/>
      <c r="E122" s="6"/>
      <c r="F122" s="6"/>
      <c r="G122" s="6"/>
      <c r="H122" s="6"/>
      <c r="I122" s="6"/>
    </row>
    <row r="123" spans="1:9" hidden="1" x14ac:dyDescent="0.2">
      <c r="A123" s="312" t="s">
        <v>10</v>
      </c>
      <c r="B123" s="313"/>
      <c r="C123" s="313"/>
      <c r="D123" s="313"/>
      <c r="E123" s="314"/>
      <c r="F123" s="11">
        <f>SUM(F113:F122)</f>
        <v>0</v>
      </c>
      <c r="G123" s="11">
        <f>SUM(G113:G122)</f>
        <v>0</v>
      </c>
      <c r="H123" s="11">
        <f>SUM(H113:H122)</f>
        <v>0</v>
      </c>
      <c r="I123" s="11"/>
    </row>
    <row r="124" spans="1:9" hidden="1" x14ac:dyDescent="0.2">
      <c r="A124" s="8" t="s">
        <v>0</v>
      </c>
      <c r="B124" s="5">
        <f>B113+1</f>
        <v>46117</v>
      </c>
      <c r="C124" s="75"/>
      <c r="D124" s="6"/>
      <c r="E124" s="6"/>
      <c r="F124" s="6"/>
      <c r="G124" s="6"/>
      <c r="H124" s="6"/>
      <c r="I124" s="6"/>
    </row>
    <row r="125" spans="1:9" hidden="1" x14ac:dyDescent="0.2">
      <c r="A125" s="8" t="s">
        <v>1</v>
      </c>
      <c r="B125" s="5"/>
      <c r="C125" s="75"/>
      <c r="D125" s="6"/>
      <c r="E125" s="6"/>
      <c r="F125" s="6"/>
      <c r="G125" s="6"/>
      <c r="H125" s="6"/>
      <c r="I125" s="6"/>
    </row>
    <row r="126" spans="1:9" hidden="1" x14ac:dyDescent="0.2">
      <c r="A126" s="8" t="s">
        <v>2</v>
      </c>
      <c r="B126" s="5"/>
      <c r="C126" s="75"/>
      <c r="D126" s="6"/>
      <c r="E126" s="6"/>
      <c r="F126" s="6"/>
      <c r="G126" s="6"/>
      <c r="H126" s="6"/>
      <c r="I126" s="6"/>
    </row>
    <row r="127" spans="1:9" hidden="1" x14ac:dyDescent="0.2">
      <c r="A127" s="8" t="s">
        <v>3</v>
      </c>
      <c r="B127" s="5"/>
      <c r="C127" s="75"/>
      <c r="D127" s="6"/>
      <c r="E127" s="6"/>
      <c r="F127" s="6"/>
      <c r="G127" s="6"/>
      <c r="H127" s="6"/>
      <c r="I127" s="6"/>
    </row>
    <row r="128" spans="1:9" hidden="1" x14ac:dyDescent="0.2">
      <c r="A128" s="8" t="s">
        <v>4</v>
      </c>
      <c r="B128" s="5"/>
      <c r="C128" s="75"/>
      <c r="D128" s="6"/>
      <c r="E128" s="6"/>
      <c r="F128" s="6"/>
      <c r="G128" s="6"/>
      <c r="H128" s="6"/>
      <c r="I128" s="6"/>
    </row>
    <row r="129" spans="1:9" hidden="1" x14ac:dyDescent="0.2">
      <c r="A129" s="8" t="s">
        <v>5</v>
      </c>
      <c r="B129" s="5"/>
      <c r="C129" s="74"/>
      <c r="D129" s="6"/>
      <c r="E129" s="6"/>
      <c r="F129" s="6"/>
      <c r="G129" s="6"/>
      <c r="H129" s="6"/>
      <c r="I129" s="6"/>
    </row>
    <row r="130" spans="1:9" hidden="1" x14ac:dyDescent="0.2">
      <c r="A130" s="8" t="s">
        <v>6</v>
      </c>
      <c r="B130" s="5"/>
      <c r="C130" s="74"/>
      <c r="D130" s="6"/>
      <c r="E130" s="6"/>
      <c r="F130" s="6"/>
      <c r="G130" s="6"/>
      <c r="H130" s="6"/>
      <c r="I130" s="6"/>
    </row>
    <row r="131" spans="1:9" hidden="1" x14ac:dyDescent="0.2">
      <c r="A131" s="8" t="s">
        <v>7</v>
      </c>
      <c r="B131" s="5"/>
      <c r="C131" s="74"/>
      <c r="D131" s="6"/>
      <c r="E131" s="6"/>
      <c r="F131" s="6"/>
      <c r="G131" s="6"/>
      <c r="H131" s="6"/>
      <c r="I131" s="6"/>
    </row>
    <row r="132" spans="1:9" hidden="1" x14ac:dyDescent="0.2">
      <c r="A132" s="8" t="s">
        <v>8</v>
      </c>
      <c r="B132" s="5"/>
      <c r="C132" s="74"/>
      <c r="D132" s="6"/>
      <c r="E132" s="6"/>
      <c r="F132" s="6"/>
      <c r="G132" s="6"/>
      <c r="H132" s="6"/>
      <c r="I132" s="6"/>
    </row>
    <row r="133" spans="1:9" hidden="1" x14ac:dyDescent="0.2">
      <c r="A133" s="8" t="s">
        <v>9</v>
      </c>
      <c r="B133" s="5"/>
      <c r="C133" s="74"/>
      <c r="D133" s="6"/>
      <c r="E133" s="6"/>
      <c r="F133" s="6"/>
      <c r="G133" s="6"/>
      <c r="H133" s="6"/>
      <c r="I133" s="6"/>
    </row>
    <row r="134" spans="1:9" hidden="1" x14ac:dyDescent="0.2">
      <c r="A134" s="312" t="s">
        <v>10</v>
      </c>
      <c r="B134" s="313"/>
      <c r="C134" s="313"/>
      <c r="D134" s="313"/>
      <c r="E134" s="314"/>
      <c r="F134" s="11">
        <f>SUM(F124:F133)</f>
        <v>0</v>
      </c>
      <c r="G134" s="11">
        <f>SUM(G124:G133)</f>
        <v>0</v>
      </c>
      <c r="H134" s="11">
        <f>SUM(H124:H133)</f>
        <v>0</v>
      </c>
      <c r="I134" s="11"/>
    </row>
    <row r="135" spans="1:9" hidden="1" x14ac:dyDescent="0.2">
      <c r="A135" s="8" t="s">
        <v>0</v>
      </c>
      <c r="B135" s="5">
        <f>B124+1</f>
        <v>46118</v>
      </c>
      <c r="C135" s="75"/>
      <c r="D135" s="6"/>
      <c r="E135" s="6"/>
      <c r="F135" s="6"/>
      <c r="G135" s="6"/>
      <c r="H135" s="6"/>
      <c r="I135" s="6"/>
    </row>
    <row r="136" spans="1:9" hidden="1" x14ac:dyDescent="0.2">
      <c r="A136" s="8" t="s">
        <v>1</v>
      </c>
      <c r="B136" s="5"/>
      <c r="C136" s="75"/>
      <c r="D136" s="6"/>
      <c r="E136" s="6"/>
      <c r="F136" s="6"/>
      <c r="G136" s="6"/>
      <c r="H136" s="6"/>
      <c r="I136" s="6"/>
    </row>
    <row r="137" spans="1:9" hidden="1" x14ac:dyDescent="0.2">
      <c r="A137" s="8" t="s">
        <v>2</v>
      </c>
      <c r="B137" s="5"/>
      <c r="C137" s="75"/>
      <c r="D137" s="6"/>
      <c r="E137" s="6"/>
      <c r="F137" s="6"/>
      <c r="G137" s="6"/>
      <c r="H137" s="6"/>
      <c r="I137" s="6"/>
    </row>
    <row r="138" spans="1:9" hidden="1" x14ac:dyDescent="0.2">
      <c r="A138" s="8" t="s">
        <v>3</v>
      </c>
      <c r="B138" s="5"/>
      <c r="C138" s="75"/>
      <c r="D138" s="6"/>
      <c r="E138" s="6"/>
      <c r="F138" s="6"/>
      <c r="G138" s="6"/>
      <c r="H138" s="6"/>
      <c r="I138" s="6"/>
    </row>
    <row r="139" spans="1:9" hidden="1" x14ac:dyDescent="0.2">
      <c r="A139" s="8" t="s">
        <v>4</v>
      </c>
      <c r="B139" s="5"/>
      <c r="C139" s="75"/>
      <c r="D139" s="6"/>
      <c r="E139" s="6"/>
      <c r="F139" s="6"/>
      <c r="G139" s="6"/>
      <c r="H139" s="6"/>
      <c r="I139" s="6"/>
    </row>
    <row r="140" spans="1:9" hidden="1" x14ac:dyDescent="0.2">
      <c r="A140" s="8" t="s">
        <v>5</v>
      </c>
      <c r="B140" s="5"/>
      <c r="C140" s="75"/>
      <c r="D140" s="6"/>
      <c r="E140" s="6"/>
      <c r="F140" s="6"/>
      <c r="G140" s="6"/>
      <c r="H140" s="6"/>
      <c r="I140" s="6"/>
    </row>
    <row r="141" spans="1:9" hidden="1" x14ac:dyDescent="0.2">
      <c r="A141" s="8" t="s">
        <v>6</v>
      </c>
      <c r="B141" s="5"/>
      <c r="C141" s="74"/>
      <c r="D141" s="6"/>
      <c r="E141" s="6"/>
      <c r="F141" s="6"/>
      <c r="G141" s="6"/>
      <c r="H141" s="6"/>
      <c r="I141" s="6"/>
    </row>
    <row r="142" spans="1:9" hidden="1" x14ac:dyDescent="0.2">
      <c r="A142" s="8" t="s">
        <v>7</v>
      </c>
      <c r="B142" s="5"/>
      <c r="C142" s="74"/>
      <c r="D142" s="6"/>
      <c r="E142" s="6"/>
      <c r="F142" s="6"/>
      <c r="G142" s="6"/>
      <c r="H142" s="6"/>
      <c r="I142" s="6"/>
    </row>
    <row r="143" spans="1:9" hidden="1" x14ac:dyDescent="0.2">
      <c r="A143" s="8" t="s">
        <v>8</v>
      </c>
      <c r="B143" s="5"/>
      <c r="C143" s="74"/>
      <c r="D143" s="6"/>
      <c r="E143" s="6"/>
      <c r="F143" s="6"/>
      <c r="G143" s="6"/>
      <c r="H143" s="6"/>
      <c r="I143" s="6"/>
    </row>
    <row r="144" spans="1:9" hidden="1" x14ac:dyDescent="0.2">
      <c r="A144" s="8" t="s">
        <v>9</v>
      </c>
      <c r="B144" s="5"/>
      <c r="C144" s="74"/>
      <c r="D144" s="6"/>
      <c r="E144" s="6"/>
      <c r="F144" s="6"/>
      <c r="G144" s="6"/>
      <c r="H144" s="6"/>
      <c r="I144" s="6"/>
    </row>
    <row r="145" spans="1:9" hidden="1" x14ac:dyDescent="0.2">
      <c r="A145" s="312" t="s">
        <v>10</v>
      </c>
      <c r="B145" s="313"/>
      <c r="C145" s="313"/>
      <c r="D145" s="313"/>
      <c r="E145" s="314"/>
      <c r="F145" s="11">
        <f>SUM(F135:F144)</f>
        <v>0</v>
      </c>
      <c r="G145" s="11">
        <f>SUM(G135:G144)</f>
        <v>0</v>
      </c>
      <c r="H145" s="11">
        <f>SUM(H135:H144)</f>
        <v>0</v>
      </c>
      <c r="I145" s="11"/>
    </row>
    <row r="146" spans="1:9" hidden="1" x14ac:dyDescent="0.2">
      <c r="A146" s="8" t="s">
        <v>0</v>
      </c>
      <c r="B146" s="5">
        <f>B135+1</f>
        <v>46119</v>
      </c>
      <c r="C146" s="74"/>
      <c r="D146" s="6"/>
      <c r="E146" s="6"/>
      <c r="F146" s="6"/>
      <c r="G146" s="6"/>
      <c r="H146" s="6"/>
      <c r="I146" s="6"/>
    </row>
    <row r="147" spans="1:9" hidden="1" x14ac:dyDescent="0.2">
      <c r="A147" s="8" t="s">
        <v>1</v>
      </c>
      <c r="B147" s="5"/>
      <c r="C147" s="74"/>
      <c r="D147" s="6"/>
      <c r="E147" s="6"/>
      <c r="F147" s="6"/>
      <c r="G147" s="6"/>
      <c r="H147" s="6"/>
      <c r="I147" s="6"/>
    </row>
    <row r="148" spans="1:9" hidden="1" x14ac:dyDescent="0.2">
      <c r="A148" s="8" t="s">
        <v>2</v>
      </c>
      <c r="B148" s="5"/>
      <c r="C148" s="74"/>
      <c r="D148" s="6"/>
      <c r="E148" s="6"/>
      <c r="F148" s="6"/>
      <c r="G148" s="6"/>
      <c r="H148" s="6"/>
      <c r="I148" s="6"/>
    </row>
    <row r="149" spans="1:9" hidden="1" x14ac:dyDescent="0.2">
      <c r="A149" s="8" t="s">
        <v>3</v>
      </c>
      <c r="B149" s="5"/>
      <c r="C149" s="74"/>
      <c r="D149" s="6"/>
      <c r="E149" s="6"/>
      <c r="F149" s="6"/>
      <c r="G149" s="6"/>
      <c r="H149" s="6"/>
      <c r="I149" s="6"/>
    </row>
    <row r="150" spans="1:9" hidden="1" x14ac:dyDescent="0.2">
      <c r="A150" s="8" t="s">
        <v>4</v>
      </c>
      <c r="B150" s="5"/>
      <c r="C150" s="74"/>
      <c r="D150" s="6"/>
      <c r="E150" s="6"/>
      <c r="F150" s="6"/>
      <c r="G150" s="6"/>
      <c r="H150" s="6"/>
      <c r="I150" s="6"/>
    </row>
    <row r="151" spans="1:9" hidden="1" x14ac:dyDescent="0.2">
      <c r="A151" s="8" t="s">
        <v>5</v>
      </c>
      <c r="B151" s="5"/>
      <c r="C151" s="74"/>
      <c r="D151" s="6"/>
      <c r="E151" s="6"/>
      <c r="F151" s="6"/>
      <c r="G151" s="6"/>
      <c r="H151" s="6"/>
      <c r="I151" s="6"/>
    </row>
    <row r="152" spans="1:9" hidden="1" x14ac:dyDescent="0.2">
      <c r="A152" s="8" t="s">
        <v>6</v>
      </c>
      <c r="B152" s="5"/>
      <c r="C152" s="74"/>
      <c r="D152" s="6"/>
      <c r="E152" s="6"/>
      <c r="F152" s="6"/>
      <c r="G152" s="6"/>
      <c r="H152" s="6"/>
      <c r="I152" s="6"/>
    </row>
    <row r="153" spans="1:9" hidden="1" x14ac:dyDescent="0.2">
      <c r="A153" s="8" t="s">
        <v>7</v>
      </c>
      <c r="B153" s="5"/>
      <c r="C153" s="74"/>
      <c r="D153" s="6"/>
      <c r="E153" s="6"/>
      <c r="F153" s="6"/>
      <c r="G153" s="6"/>
      <c r="H153" s="6"/>
      <c r="I153" s="6"/>
    </row>
    <row r="154" spans="1:9" hidden="1" x14ac:dyDescent="0.2">
      <c r="A154" s="8" t="s">
        <v>8</v>
      </c>
      <c r="B154" s="5"/>
      <c r="C154" s="74"/>
      <c r="D154" s="6"/>
      <c r="E154" s="6"/>
      <c r="F154" s="6"/>
      <c r="G154" s="6"/>
      <c r="H154" s="6"/>
      <c r="I154" s="6"/>
    </row>
    <row r="155" spans="1:9" hidden="1" x14ac:dyDescent="0.2">
      <c r="A155" s="8" t="s">
        <v>9</v>
      </c>
      <c r="B155" s="5"/>
      <c r="C155" s="75"/>
      <c r="D155" s="6"/>
      <c r="E155" s="6"/>
      <c r="F155" s="6"/>
      <c r="G155" s="6"/>
      <c r="H155" s="6"/>
      <c r="I155" s="6"/>
    </row>
    <row r="156" spans="1:9" hidden="1" x14ac:dyDescent="0.2">
      <c r="A156" s="312" t="s">
        <v>10</v>
      </c>
      <c r="B156" s="313"/>
      <c r="C156" s="313"/>
      <c r="D156" s="313"/>
      <c r="E156" s="314"/>
      <c r="F156" s="11">
        <f>SUM(F146:F155)</f>
        <v>0</v>
      </c>
      <c r="G156" s="11">
        <f>SUM(G146:G155)</f>
        <v>0</v>
      </c>
      <c r="H156" s="11">
        <f>SUM(H146:H155)</f>
        <v>0</v>
      </c>
      <c r="I156" s="11"/>
    </row>
    <row r="157" spans="1:9" hidden="1" x14ac:dyDescent="0.2">
      <c r="A157" s="8" t="s">
        <v>0</v>
      </c>
      <c r="B157" s="5">
        <f>B146+1</f>
        <v>46120</v>
      </c>
      <c r="C157" s="74"/>
      <c r="D157" s="6"/>
      <c r="E157" s="6"/>
      <c r="F157" s="6"/>
      <c r="G157" s="6"/>
      <c r="H157" s="6"/>
      <c r="I157" s="6"/>
    </row>
    <row r="158" spans="1:9" hidden="1" x14ac:dyDescent="0.2">
      <c r="A158" s="8" t="s">
        <v>1</v>
      </c>
      <c r="B158" s="5"/>
      <c r="C158" s="74"/>
      <c r="D158" s="6"/>
      <c r="E158" s="6"/>
      <c r="F158" s="6"/>
      <c r="G158" s="6"/>
      <c r="H158" s="6"/>
      <c r="I158" s="6"/>
    </row>
    <row r="159" spans="1:9" hidden="1" x14ac:dyDescent="0.2">
      <c r="A159" s="8" t="s">
        <v>2</v>
      </c>
      <c r="B159" s="5"/>
      <c r="C159" s="74"/>
      <c r="D159" s="6"/>
      <c r="E159" s="6"/>
      <c r="F159" s="6"/>
      <c r="G159" s="6"/>
      <c r="H159" s="6"/>
      <c r="I159" s="6"/>
    </row>
    <row r="160" spans="1:9" hidden="1" x14ac:dyDescent="0.2">
      <c r="A160" s="8" t="s">
        <v>3</v>
      </c>
      <c r="B160" s="5"/>
      <c r="C160" s="74"/>
      <c r="D160" s="6"/>
      <c r="E160" s="6"/>
      <c r="F160" s="6"/>
      <c r="G160" s="6"/>
      <c r="H160" s="6"/>
      <c r="I160" s="6"/>
    </row>
    <row r="161" spans="1:9" hidden="1" x14ac:dyDescent="0.2">
      <c r="A161" s="8" t="s">
        <v>4</v>
      </c>
      <c r="B161" s="5"/>
      <c r="C161" s="74"/>
      <c r="D161" s="6"/>
      <c r="E161" s="6"/>
      <c r="F161" s="6"/>
      <c r="G161" s="6"/>
      <c r="H161" s="6"/>
      <c r="I161" s="6"/>
    </row>
    <row r="162" spans="1:9" hidden="1" x14ac:dyDescent="0.2">
      <c r="A162" s="8" t="s">
        <v>5</v>
      </c>
      <c r="B162" s="5"/>
      <c r="C162" s="74"/>
      <c r="D162" s="6"/>
      <c r="E162" s="6"/>
      <c r="F162" s="6"/>
      <c r="G162" s="6"/>
      <c r="H162" s="6"/>
      <c r="I162" s="6"/>
    </row>
    <row r="163" spans="1:9" hidden="1" x14ac:dyDescent="0.2">
      <c r="A163" s="8" t="s">
        <v>6</v>
      </c>
      <c r="B163" s="5"/>
      <c r="C163" s="74"/>
      <c r="D163" s="6"/>
      <c r="E163" s="6"/>
      <c r="F163" s="6"/>
      <c r="G163" s="6"/>
      <c r="H163" s="6"/>
      <c r="I163" s="6"/>
    </row>
    <row r="164" spans="1:9" hidden="1" x14ac:dyDescent="0.2">
      <c r="A164" s="8" t="s">
        <v>7</v>
      </c>
      <c r="B164" s="5"/>
      <c r="C164" s="74"/>
      <c r="D164" s="6"/>
      <c r="E164" s="6"/>
      <c r="F164" s="6"/>
      <c r="G164" s="6"/>
      <c r="H164" s="6"/>
      <c r="I164" s="6"/>
    </row>
    <row r="165" spans="1:9" hidden="1" x14ac:dyDescent="0.2">
      <c r="A165" s="8" t="s">
        <v>8</v>
      </c>
      <c r="B165" s="5"/>
      <c r="C165" s="74"/>
      <c r="D165" s="6"/>
      <c r="E165" s="6"/>
      <c r="F165" s="6"/>
      <c r="G165" s="6"/>
      <c r="H165" s="6"/>
      <c r="I165" s="6"/>
    </row>
    <row r="166" spans="1:9" hidden="1" x14ac:dyDescent="0.2">
      <c r="A166" s="8" t="s">
        <v>9</v>
      </c>
      <c r="B166" s="5"/>
      <c r="C166" s="74"/>
      <c r="D166" s="6"/>
      <c r="E166" s="6"/>
      <c r="F166" s="6"/>
      <c r="G166" s="6"/>
      <c r="H166" s="6"/>
      <c r="I166" s="6"/>
    </row>
    <row r="167" spans="1:9" hidden="1" x14ac:dyDescent="0.2">
      <c r="A167" s="312" t="s">
        <v>10</v>
      </c>
      <c r="B167" s="313"/>
      <c r="C167" s="313"/>
      <c r="D167" s="313"/>
      <c r="E167" s="314"/>
      <c r="F167" s="11">
        <f>SUM(F157:F166)</f>
        <v>0</v>
      </c>
      <c r="G167" s="11">
        <f>SUM(G157:G166)</f>
        <v>0</v>
      </c>
      <c r="H167" s="11">
        <f>SUM(H157:H166)</f>
        <v>0</v>
      </c>
      <c r="I167" s="11"/>
    </row>
    <row r="168" spans="1:9" s="25" customFormat="1" ht="18" x14ac:dyDescent="0.2">
      <c r="A168" s="315" t="s">
        <v>39</v>
      </c>
      <c r="B168" s="316"/>
      <c r="C168" s="316"/>
      <c r="D168" s="316"/>
      <c r="E168" s="317"/>
      <c r="F168" s="22">
        <f>F101+F112+F123+F134+F145+F156+F167+F84</f>
        <v>1</v>
      </c>
      <c r="G168" s="22">
        <f>G101+G112+G123+G134+G145+G156+G167+G84</f>
        <v>0</v>
      </c>
      <c r="H168" s="22">
        <f>H101+H112+H123+H134+H145+H156+H167+H84</f>
        <v>6</v>
      </c>
      <c r="I168" s="22"/>
    </row>
    <row r="169" spans="1:9" ht="21.95" customHeight="1" x14ac:dyDescent="0.2">
      <c r="A169" s="319" t="s">
        <v>14</v>
      </c>
      <c r="B169" s="319"/>
      <c r="C169" s="319"/>
      <c r="D169" s="319"/>
      <c r="E169" s="319"/>
      <c r="F169" s="319"/>
      <c r="G169" s="319"/>
      <c r="H169" s="319"/>
      <c r="I169" s="319"/>
    </row>
    <row r="170" spans="1:9" s="53" customFormat="1" ht="20.100000000000001" customHeight="1" x14ac:dyDescent="0.2">
      <c r="A170" s="323" t="s">
        <v>86</v>
      </c>
      <c r="B170" s="323"/>
      <c r="C170" s="323"/>
      <c r="D170" s="323"/>
      <c r="E170" s="323"/>
      <c r="F170" s="50" t="str">
        <f>F86</f>
        <v>เมษายน</v>
      </c>
      <c r="G170" s="50" t="s">
        <v>87</v>
      </c>
      <c r="H170" s="51">
        <f>H86</f>
        <v>2569</v>
      </c>
      <c r="I170" s="52"/>
    </row>
    <row r="171" spans="1:9" s="3" customFormat="1" ht="20.100000000000001" customHeight="1" x14ac:dyDescent="0.35">
      <c r="A171" s="318" t="s">
        <v>38</v>
      </c>
      <c r="B171" s="318"/>
      <c r="C171" s="318"/>
      <c r="D171" s="2"/>
      <c r="F171" s="4"/>
      <c r="G171" s="4"/>
      <c r="H171" s="4" t="s">
        <v>21</v>
      </c>
      <c r="I171" s="40">
        <f>I87+1</f>
        <v>3</v>
      </c>
    </row>
    <row r="172" spans="1:9" s="3" customFormat="1" ht="20.100000000000001" customHeight="1" x14ac:dyDescent="0.35">
      <c r="A172" s="311" t="s">
        <v>68</v>
      </c>
      <c r="B172" s="311"/>
      <c r="C172" s="311"/>
      <c r="D172" s="2"/>
      <c r="E172" s="39" t="s">
        <v>81</v>
      </c>
      <c r="F172" s="308">
        <f>F88</f>
        <v>46107</v>
      </c>
      <c r="G172" s="308"/>
      <c r="H172" s="39" t="s">
        <v>82</v>
      </c>
      <c r="I172" s="34">
        <f>I88</f>
        <v>46136</v>
      </c>
    </row>
    <row r="173" spans="1:9" x14ac:dyDescent="0.2">
      <c r="A173" s="12" t="s">
        <v>23</v>
      </c>
      <c r="B173" s="13" t="s">
        <v>11</v>
      </c>
      <c r="C173" s="72" t="s">
        <v>26</v>
      </c>
      <c r="D173" s="12" t="s">
        <v>16</v>
      </c>
      <c r="E173" s="12" t="s">
        <v>17</v>
      </c>
      <c r="F173" s="310" t="s">
        <v>46</v>
      </c>
      <c r="G173" s="310"/>
      <c r="H173" s="310"/>
      <c r="I173" s="12" t="s">
        <v>19</v>
      </c>
    </row>
    <row r="174" spans="1:9" x14ac:dyDescent="0.2">
      <c r="A174" s="15"/>
      <c r="B174" s="16"/>
      <c r="C174" s="73"/>
      <c r="D174" s="15"/>
      <c r="E174" s="15"/>
      <c r="F174" s="21" t="s">
        <v>113</v>
      </c>
      <c r="G174" s="21" t="s">
        <v>114</v>
      </c>
      <c r="H174" s="21" t="s">
        <v>20</v>
      </c>
      <c r="I174" s="15"/>
    </row>
    <row r="175" spans="1:9" x14ac:dyDescent="0.2">
      <c r="A175" s="8" t="s">
        <v>0</v>
      </c>
      <c r="B175" s="5">
        <f>B157+1</f>
        <v>46121</v>
      </c>
      <c r="C175" s="74" t="s">
        <v>1172</v>
      </c>
      <c r="D175" s="6" t="s">
        <v>379</v>
      </c>
      <c r="E175" s="6" t="s">
        <v>165</v>
      </c>
      <c r="F175" s="6">
        <v>1</v>
      </c>
      <c r="G175" s="6"/>
      <c r="H175" s="6">
        <v>5</v>
      </c>
      <c r="I175" s="6"/>
    </row>
    <row r="176" spans="1:9" x14ac:dyDescent="0.2">
      <c r="A176" s="8" t="s">
        <v>1</v>
      </c>
      <c r="B176" s="5"/>
      <c r="C176" s="74" t="s">
        <v>1173</v>
      </c>
      <c r="D176" s="6" t="s">
        <v>334</v>
      </c>
      <c r="E176" s="6" t="s">
        <v>168</v>
      </c>
      <c r="F176" s="6">
        <v>1</v>
      </c>
      <c r="G176" s="6"/>
      <c r="H176" s="6">
        <v>4</v>
      </c>
      <c r="I176" s="6"/>
    </row>
    <row r="177" spans="1:9" hidden="1" x14ac:dyDescent="0.2">
      <c r="A177" s="8" t="s">
        <v>2</v>
      </c>
      <c r="B177" s="5"/>
      <c r="C177" s="74"/>
      <c r="D177" s="6"/>
      <c r="E177" s="6"/>
      <c r="F177" s="6"/>
      <c r="G177" s="6"/>
      <c r="H177" s="6"/>
      <c r="I177" s="6"/>
    </row>
    <row r="178" spans="1:9" hidden="1" x14ac:dyDescent="0.2">
      <c r="A178" s="8" t="s">
        <v>3</v>
      </c>
      <c r="B178" s="5"/>
      <c r="C178" s="74"/>
      <c r="D178" s="6"/>
      <c r="E178" s="6"/>
      <c r="F178" s="6"/>
      <c r="G178" s="6"/>
      <c r="H178" s="6"/>
      <c r="I178" s="6"/>
    </row>
    <row r="179" spans="1:9" hidden="1" x14ac:dyDescent="0.2">
      <c r="A179" s="8" t="s">
        <v>4</v>
      </c>
      <c r="B179" s="5"/>
      <c r="C179" s="74"/>
      <c r="D179" s="6"/>
      <c r="E179" s="6"/>
      <c r="F179" s="6"/>
      <c r="G179" s="6"/>
      <c r="H179" s="6"/>
      <c r="I179" s="6"/>
    </row>
    <row r="180" spans="1:9" hidden="1" x14ac:dyDescent="0.2">
      <c r="A180" s="8" t="s">
        <v>5</v>
      </c>
      <c r="B180" s="5"/>
      <c r="C180" s="74"/>
      <c r="D180" s="6"/>
      <c r="E180" s="6"/>
      <c r="F180" s="6"/>
      <c r="G180" s="6"/>
      <c r="H180" s="6"/>
      <c r="I180" s="6"/>
    </row>
    <row r="181" spans="1:9" hidden="1" x14ac:dyDescent="0.2">
      <c r="A181" s="8" t="s">
        <v>6</v>
      </c>
      <c r="B181" s="5"/>
      <c r="C181" s="74"/>
      <c r="D181" s="6"/>
      <c r="E181" s="6"/>
      <c r="F181" s="6"/>
      <c r="G181" s="6"/>
      <c r="H181" s="6"/>
      <c r="I181" s="6"/>
    </row>
    <row r="182" spans="1:9" hidden="1" x14ac:dyDescent="0.2">
      <c r="A182" s="8" t="s">
        <v>7</v>
      </c>
      <c r="B182" s="5"/>
      <c r="C182" s="74"/>
      <c r="D182" s="6"/>
      <c r="E182" s="6"/>
      <c r="F182" s="6"/>
      <c r="G182" s="6"/>
      <c r="H182" s="6"/>
      <c r="I182" s="6"/>
    </row>
    <row r="183" spans="1:9" hidden="1" x14ac:dyDescent="0.2">
      <c r="A183" s="8" t="s">
        <v>8</v>
      </c>
      <c r="B183" s="5"/>
      <c r="C183" s="74"/>
      <c r="D183" s="6"/>
      <c r="E183" s="6"/>
      <c r="F183" s="6"/>
      <c r="G183" s="6"/>
      <c r="H183" s="6"/>
      <c r="I183" s="6"/>
    </row>
    <row r="184" spans="1:9" hidden="1" x14ac:dyDescent="0.2">
      <c r="A184" s="8" t="s">
        <v>9</v>
      </c>
      <c r="B184" s="5"/>
      <c r="C184" s="74"/>
      <c r="D184" s="6"/>
      <c r="E184" s="6"/>
      <c r="F184" s="6"/>
      <c r="G184" s="6"/>
      <c r="H184" s="6"/>
      <c r="I184" s="6"/>
    </row>
    <row r="185" spans="1:9" x14ac:dyDescent="0.2">
      <c r="A185" s="312" t="s">
        <v>10</v>
      </c>
      <c r="B185" s="313"/>
      <c r="C185" s="313"/>
      <c r="D185" s="313"/>
      <c r="E185" s="314"/>
      <c r="F185" s="11">
        <f>SUM(F175:F184)</f>
        <v>2</v>
      </c>
      <c r="G185" s="11">
        <f>SUM(G175:G184)</f>
        <v>0</v>
      </c>
      <c r="H185" s="11">
        <f>SUM(H175:H184)</f>
        <v>9</v>
      </c>
      <c r="I185" s="11"/>
    </row>
    <row r="186" spans="1:9" x14ac:dyDescent="0.2">
      <c r="A186" s="8" t="s">
        <v>0</v>
      </c>
      <c r="B186" s="5">
        <f>B175+1</f>
        <v>46122</v>
      </c>
      <c r="C186" s="74"/>
      <c r="D186" s="6"/>
      <c r="E186" s="6"/>
      <c r="F186" s="6"/>
      <c r="G186" s="6"/>
      <c r="H186" s="6"/>
      <c r="I186" s="6"/>
    </row>
    <row r="187" spans="1:9" x14ac:dyDescent="0.2">
      <c r="A187" s="8" t="s">
        <v>1</v>
      </c>
      <c r="B187" s="5"/>
      <c r="C187" s="74"/>
      <c r="D187" s="6"/>
      <c r="E187" s="6"/>
      <c r="F187" s="6"/>
      <c r="G187" s="6"/>
      <c r="H187" s="6"/>
      <c r="I187" s="6"/>
    </row>
    <row r="188" spans="1:9" x14ac:dyDescent="0.2">
      <c r="A188" s="8" t="s">
        <v>2</v>
      </c>
      <c r="B188" s="5"/>
      <c r="C188" s="74"/>
      <c r="D188" s="6"/>
      <c r="E188" s="6"/>
      <c r="F188" s="6"/>
      <c r="G188" s="6"/>
      <c r="H188" s="6"/>
      <c r="I188" s="6"/>
    </row>
    <row r="189" spans="1:9" x14ac:dyDescent="0.2">
      <c r="A189" s="8" t="s">
        <v>3</v>
      </c>
      <c r="B189" s="5"/>
      <c r="C189" s="74"/>
      <c r="D189" s="6"/>
      <c r="E189" s="6"/>
      <c r="F189" s="6"/>
      <c r="G189" s="6"/>
      <c r="H189" s="6"/>
      <c r="I189" s="6"/>
    </row>
    <row r="190" spans="1:9" x14ac:dyDescent="0.2">
      <c r="A190" s="8" t="s">
        <v>4</v>
      </c>
      <c r="B190" s="5"/>
      <c r="C190" s="74"/>
      <c r="D190" s="6"/>
      <c r="E190" s="6"/>
      <c r="F190" s="6"/>
      <c r="G190" s="6"/>
      <c r="H190" s="6"/>
      <c r="I190" s="6"/>
    </row>
    <row r="191" spans="1:9" x14ac:dyDescent="0.2">
      <c r="A191" s="8" t="s">
        <v>5</v>
      </c>
      <c r="B191" s="5"/>
      <c r="C191" s="74"/>
      <c r="D191" s="6"/>
      <c r="E191" s="6"/>
      <c r="F191" s="6"/>
      <c r="G191" s="6"/>
      <c r="H191" s="6"/>
      <c r="I191" s="6"/>
    </row>
    <row r="192" spans="1:9" x14ac:dyDescent="0.2">
      <c r="A192" s="8" t="s">
        <v>6</v>
      </c>
      <c r="B192" s="5"/>
      <c r="C192" s="74"/>
      <c r="D192" s="6"/>
      <c r="E192" s="6"/>
      <c r="F192" s="6"/>
      <c r="G192" s="6"/>
      <c r="H192" s="6"/>
      <c r="I192" s="6"/>
    </row>
    <row r="193" spans="1:9" x14ac:dyDescent="0.2">
      <c r="A193" s="8" t="s">
        <v>7</v>
      </c>
      <c r="B193" s="5"/>
      <c r="C193" s="74"/>
      <c r="D193" s="6"/>
      <c r="E193" s="6"/>
      <c r="F193" s="6"/>
      <c r="G193" s="6"/>
      <c r="H193" s="6"/>
      <c r="I193" s="6"/>
    </row>
    <row r="194" spans="1:9" x14ac:dyDescent="0.2">
      <c r="A194" s="8" t="s">
        <v>8</v>
      </c>
      <c r="B194" s="5"/>
      <c r="C194" s="74"/>
      <c r="D194" s="6"/>
      <c r="E194" s="6"/>
      <c r="F194" s="6"/>
      <c r="G194" s="6"/>
      <c r="H194" s="6"/>
      <c r="I194" s="6"/>
    </row>
    <row r="195" spans="1:9" x14ac:dyDescent="0.2">
      <c r="A195" s="8" t="s">
        <v>9</v>
      </c>
      <c r="B195" s="5"/>
      <c r="C195" s="74"/>
      <c r="D195" s="6"/>
      <c r="E195" s="6"/>
      <c r="F195" s="6"/>
      <c r="G195" s="6"/>
      <c r="H195" s="6"/>
      <c r="I195" s="6"/>
    </row>
    <row r="196" spans="1:9" x14ac:dyDescent="0.2">
      <c r="A196" s="312" t="s">
        <v>10</v>
      </c>
      <c r="B196" s="313"/>
      <c r="C196" s="313"/>
      <c r="D196" s="313"/>
      <c r="E196" s="314"/>
      <c r="F196" s="11">
        <f>SUM(F186:F195)</f>
        <v>0</v>
      </c>
      <c r="G196" s="11">
        <f>SUM(G186:G195)</f>
        <v>0</v>
      </c>
      <c r="H196" s="11">
        <f>SUM(H186:H195)</f>
        <v>0</v>
      </c>
      <c r="I196" s="11"/>
    </row>
    <row r="197" spans="1:9" x14ac:dyDescent="0.2">
      <c r="A197" s="8" t="s">
        <v>0</v>
      </c>
      <c r="B197" s="5">
        <f>B186+1</f>
        <v>46123</v>
      </c>
      <c r="C197" s="74"/>
      <c r="D197" s="6"/>
      <c r="E197" s="6"/>
      <c r="F197" s="6"/>
      <c r="G197" s="6"/>
      <c r="H197" s="6"/>
      <c r="I197" s="6"/>
    </row>
    <row r="198" spans="1:9" x14ac:dyDescent="0.2">
      <c r="A198" s="8" t="s">
        <v>1</v>
      </c>
      <c r="B198" s="5"/>
      <c r="C198" s="74"/>
      <c r="D198" s="6"/>
      <c r="E198" s="6"/>
      <c r="F198" s="6"/>
      <c r="G198" s="6"/>
      <c r="H198" s="6"/>
      <c r="I198" s="6"/>
    </row>
    <row r="199" spans="1:9" x14ac:dyDescent="0.2">
      <c r="A199" s="8" t="s">
        <v>2</v>
      </c>
      <c r="B199" s="5"/>
      <c r="C199" s="74"/>
      <c r="D199" s="6"/>
      <c r="E199" s="6"/>
      <c r="F199" s="6"/>
      <c r="G199" s="6"/>
      <c r="H199" s="6"/>
      <c r="I199" s="6"/>
    </row>
    <row r="200" spans="1:9" x14ac:dyDescent="0.2">
      <c r="A200" s="8" t="s">
        <v>3</v>
      </c>
      <c r="B200" s="5"/>
      <c r="C200" s="74"/>
      <c r="D200" s="6"/>
      <c r="E200" s="6"/>
      <c r="F200" s="6"/>
      <c r="G200" s="6"/>
      <c r="H200" s="6"/>
      <c r="I200" s="6"/>
    </row>
    <row r="201" spans="1:9" x14ac:dyDescent="0.2">
      <c r="A201" s="8" t="s">
        <v>4</v>
      </c>
      <c r="B201" s="5"/>
      <c r="C201" s="74"/>
      <c r="D201" s="6"/>
      <c r="E201" s="6"/>
      <c r="F201" s="6"/>
      <c r="G201" s="6"/>
      <c r="H201" s="6"/>
      <c r="I201" s="6"/>
    </row>
    <row r="202" spans="1:9" x14ac:dyDescent="0.2">
      <c r="A202" s="8" t="s">
        <v>5</v>
      </c>
      <c r="B202" s="5"/>
      <c r="C202" s="74"/>
      <c r="D202" s="6"/>
      <c r="E202" s="6"/>
      <c r="F202" s="6"/>
      <c r="G202" s="6"/>
      <c r="H202" s="6"/>
      <c r="I202" s="6"/>
    </row>
    <row r="203" spans="1:9" x14ac:dyDescent="0.2">
      <c r="A203" s="8" t="s">
        <v>6</v>
      </c>
      <c r="B203" s="5"/>
      <c r="C203" s="74"/>
      <c r="D203" s="6"/>
      <c r="E203" s="6"/>
      <c r="F203" s="6"/>
      <c r="G203" s="6"/>
      <c r="H203" s="6"/>
      <c r="I203" s="6"/>
    </row>
    <row r="204" spans="1:9" x14ac:dyDescent="0.2">
      <c r="A204" s="8" t="s">
        <v>7</v>
      </c>
      <c r="B204" s="5"/>
      <c r="C204" s="74"/>
      <c r="D204" s="6"/>
      <c r="E204" s="6"/>
      <c r="F204" s="6"/>
      <c r="G204" s="6"/>
      <c r="H204" s="6"/>
      <c r="I204" s="6"/>
    </row>
    <row r="205" spans="1:9" x14ac:dyDescent="0.2">
      <c r="A205" s="8" t="s">
        <v>8</v>
      </c>
      <c r="B205" s="5"/>
      <c r="C205" s="74"/>
      <c r="D205" s="6"/>
      <c r="E205" s="6"/>
      <c r="F205" s="6"/>
      <c r="G205" s="6"/>
      <c r="H205" s="6"/>
      <c r="I205" s="6"/>
    </row>
    <row r="206" spans="1:9" x14ac:dyDescent="0.2">
      <c r="A206" s="8" t="s">
        <v>9</v>
      </c>
      <c r="B206" s="5"/>
      <c r="C206" s="74"/>
      <c r="D206" s="6"/>
      <c r="E206" s="6"/>
      <c r="F206" s="6"/>
      <c r="G206" s="6"/>
      <c r="H206" s="6"/>
      <c r="I206" s="6"/>
    </row>
    <row r="207" spans="1:9" x14ac:dyDescent="0.2">
      <c r="A207" s="312" t="s">
        <v>10</v>
      </c>
      <c r="B207" s="313"/>
      <c r="C207" s="313"/>
      <c r="D207" s="313"/>
      <c r="E207" s="314"/>
      <c r="F207" s="11">
        <f>SUM(F197:F206)</f>
        <v>0</v>
      </c>
      <c r="G207" s="11">
        <f>SUM(G197:G206)</f>
        <v>0</v>
      </c>
      <c r="H207" s="11">
        <f>SUM(H197:H206)</f>
        <v>0</v>
      </c>
      <c r="I207" s="11"/>
    </row>
    <row r="208" spans="1:9" x14ac:dyDescent="0.2">
      <c r="A208" s="8" t="s">
        <v>0</v>
      </c>
      <c r="B208" s="5">
        <f>B197+1</f>
        <v>46124</v>
      </c>
      <c r="C208" s="75"/>
      <c r="D208" s="6"/>
      <c r="E208" s="6"/>
      <c r="F208" s="6"/>
      <c r="G208" s="6"/>
      <c r="H208" s="6"/>
      <c r="I208" s="6"/>
    </row>
    <row r="209" spans="1:9" x14ac:dyDescent="0.2">
      <c r="A209" s="8" t="s">
        <v>1</v>
      </c>
      <c r="B209" s="5"/>
      <c r="C209" s="75"/>
      <c r="D209" s="6"/>
      <c r="E209" s="6"/>
      <c r="F209" s="6"/>
      <c r="G209" s="6"/>
      <c r="H209" s="6"/>
      <c r="I209" s="6"/>
    </row>
    <row r="210" spans="1:9" x14ac:dyDescent="0.2">
      <c r="A210" s="8" t="s">
        <v>2</v>
      </c>
      <c r="B210" s="5"/>
      <c r="C210" s="75"/>
      <c r="D210" s="6"/>
      <c r="E210" s="6"/>
      <c r="F210" s="6"/>
      <c r="G210" s="6"/>
      <c r="H210" s="6"/>
      <c r="I210" s="6"/>
    </row>
    <row r="211" spans="1:9" x14ac:dyDescent="0.2">
      <c r="A211" s="8" t="s">
        <v>3</v>
      </c>
      <c r="B211" s="5"/>
      <c r="C211" s="75"/>
      <c r="D211" s="6"/>
      <c r="E211" s="6"/>
      <c r="F211" s="6"/>
      <c r="G211" s="6"/>
      <c r="H211" s="6"/>
      <c r="I211" s="6"/>
    </row>
    <row r="212" spans="1:9" x14ac:dyDescent="0.2">
      <c r="A212" s="8" t="s">
        <v>4</v>
      </c>
      <c r="B212" s="5"/>
      <c r="C212" s="75"/>
      <c r="D212" s="6"/>
      <c r="E212" s="6"/>
      <c r="F212" s="6"/>
      <c r="G212" s="6"/>
      <c r="H212" s="6"/>
      <c r="I212" s="6"/>
    </row>
    <row r="213" spans="1:9" x14ac:dyDescent="0.2">
      <c r="A213" s="8" t="s">
        <v>5</v>
      </c>
      <c r="B213" s="5"/>
      <c r="C213" s="75"/>
      <c r="D213" s="6"/>
      <c r="E213" s="6"/>
      <c r="F213" s="6"/>
      <c r="G213" s="6"/>
      <c r="H213" s="6"/>
      <c r="I213" s="6"/>
    </row>
    <row r="214" spans="1:9" x14ac:dyDescent="0.2">
      <c r="A214" s="8" t="s">
        <v>6</v>
      </c>
      <c r="B214" s="5"/>
      <c r="C214" s="75"/>
      <c r="D214" s="6"/>
      <c r="E214" s="6"/>
      <c r="F214" s="6"/>
      <c r="G214" s="6"/>
      <c r="H214" s="6"/>
      <c r="I214" s="6"/>
    </row>
    <row r="215" spans="1:9" x14ac:dyDescent="0.2">
      <c r="A215" s="8" t="s">
        <v>7</v>
      </c>
      <c r="B215" s="5"/>
      <c r="C215" s="74"/>
      <c r="D215" s="6"/>
      <c r="E215" s="6"/>
      <c r="F215" s="6"/>
      <c r="G215" s="6"/>
      <c r="H215" s="6"/>
      <c r="I215" s="6"/>
    </row>
    <row r="216" spans="1:9" x14ac:dyDescent="0.2">
      <c r="A216" s="8" t="s">
        <v>8</v>
      </c>
      <c r="B216" s="5"/>
      <c r="C216" s="74"/>
      <c r="D216" s="6"/>
      <c r="E216" s="6"/>
      <c r="F216" s="6"/>
      <c r="G216" s="6"/>
      <c r="H216" s="6"/>
      <c r="I216" s="6"/>
    </row>
    <row r="217" spans="1:9" x14ac:dyDescent="0.2">
      <c r="A217" s="8" t="s">
        <v>9</v>
      </c>
      <c r="B217" s="5"/>
      <c r="C217" s="74"/>
      <c r="D217" s="6"/>
      <c r="E217" s="6"/>
      <c r="F217" s="6"/>
      <c r="G217" s="6"/>
      <c r="H217" s="6"/>
      <c r="I217" s="6"/>
    </row>
    <row r="218" spans="1:9" x14ac:dyDescent="0.2">
      <c r="A218" s="312" t="s">
        <v>10</v>
      </c>
      <c r="B218" s="313"/>
      <c r="C218" s="313"/>
      <c r="D218" s="313"/>
      <c r="E218" s="314"/>
      <c r="F218" s="11">
        <f>SUM(F208:F217)</f>
        <v>0</v>
      </c>
      <c r="G218" s="11">
        <f>SUM(G208:G217)</f>
        <v>0</v>
      </c>
      <c r="H218" s="11">
        <f>SUM(H208:H217)</f>
        <v>0</v>
      </c>
      <c r="I218" s="11"/>
    </row>
    <row r="219" spans="1:9" x14ac:dyDescent="0.2">
      <c r="A219" s="8" t="s">
        <v>0</v>
      </c>
      <c r="B219" s="5">
        <f>B208+1</f>
        <v>46125</v>
      </c>
      <c r="C219" s="75"/>
      <c r="D219" s="6"/>
      <c r="E219" s="6"/>
      <c r="F219" s="6"/>
      <c r="G219" s="6"/>
      <c r="H219" s="6"/>
      <c r="I219" s="6"/>
    </row>
    <row r="220" spans="1:9" x14ac:dyDescent="0.2">
      <c r="A220" s="8" t="s">
        <v>1</v>
      </c>
      <c r="B220" s="5"/>
      <c r="C220" s="75"/>
      <c r="D220" s="6"/>
      <c r="E220" s="6"/>
      <c r="F220" s="6"/>
      <c r="G220" s="6"/>
      <c r="H220" s="6"/>
      <c r="I220" s="6"/>
    </row>
    <row r="221" spans="1:9" x14ac:dyDescent="0.2">
      <c r="A221" s="8" t="s">
        <v>2</v>
      </c>
      <c r="B221" s="5"/>
      <c r="C221" s="75"/>
      <c r="D221" s="6"/>
      <c r="E221" s="6"/>
      <c r="F221" s="6"/>
      <c r="G221" s="6"/>
      <c r="H221" s="6"/>
      <c r="I221" s="6"/>
    </row>
    <row r="222" spans="1:9" x14ac:dyDescent="0.2">
      <c r="A222" s="8" t="s">
        <v>3</v>
      </c>
      <c r="B222" s="5"/>
      <c r="C222" s="75"/>
      <c r="D222" s="6"/>
      <c r="E222" s="6"/>
      <c r="F222" s="6"/>
      <c r="G222" s="6"/>
      <c r="H222" s="6"/>
      <c r="I222" s="6"/>
    </row>
    <row r="223" spans="1:9" x14ac:dyDescent="0.2">
      <c r="A223" s="8" t="s">
        <v>4</v>
      </c>
      <c r="B223" s="5"/>
      <c r="C223" s="75"/>
      <c r="D223" s="6"/>
      <c r="E223" s="6"/>
      <c r="F223" s="6"/>
      <c r="G223" s="6"/>
      <c r="H223" s="6"/>
      <c r="I223" s="6"/>
    </row>
    <row r="224" spans="1:9" x14ac:dyDescent="0.2">
      <c r="A224" s="8" t="s">
        <v>5</v>
      </c>
      <c r="B224" s="5"/>
      <c r="C224" s="75"/>
      <c r="D224" s="6"/>
      <c r="E224" s="6"/>
      <c r="F224" s="6"/>
      <c r="G224" s="6"/>
      <c r="H224" s="6"/>
      <c r="I224" s="6"/>
    </row>
    <row r="225" spans="1:9" x14ac:dyDescent="0.2">
      <c r="A225" s="8" t="s">
        <v>6</v>
      </c>
      <c r="B225" s="5"/>
      <c r="C225" s="74"/>
      <c r="D225" s="6"/>
      <c r="E225" s="6"/>
      <c r="F225" s="6"/>
      <c r="G225" s="6"/>
      <c r="H225" s="6"/>
      <c r="I225" s="6"/>
    </row>
    <row r="226" spans="1:9" x14ac:dyDescent="0.2">
      <c r="A226" s="8" t="s">
        <v>7</v>
      </c>
      <c r="B226" s="5"/>
      <c r="C226" s="74"/>
      <c r="D226" s="6"/>
      <c r="E226" s="6"/>
      <c r="F226" s="6"/>
      <c r="G226" s="6"/>
      <c r="H226" s="6"/>
      <c r="I226" s="6"/>
    </row>
    <row r="227" spans="1:9" x14ac:dyDescent="0.2">
      <c r="A227" s="8" t="s">
        <v>8</v>
      </c>
      <c r="B227" s="5"/>
      <c r="C227" s="74"/>
      <c r="D227" s="6"/>
      <c r="E227" s="6"/>
      <c r="F227" s="6"/>
      <c r="G227" s="6"/>
      <c r="H227" s="6"/>
      <c r="I227" s="6"/>
    </row>
    <row r="228" spans="1:9" x14ac:dyDescent="0.2">
      <c r="A228" s="8" t="s">
        <v>9</v>
      </c>
      <c r="B228" s="5"/>
      <c r="C228" s="74"/>
      <c r="D228" s="6"/>
      <c r="E228" s="6"/>
      <c r="F228" s="6"/>
      <c r="G228" s="6"/>
      <c r="H228" s="6"/>
      <c r="I228" s="6"/>
    </row>
    <row r="229" spans="1:9" x14ac:dyDescent="0.2">
      <c r="A229" s="312" t="s">
        <v>10</v>
      </c>
      <c r="B229" s="313"/>
      <c r="C229" s="313"/>
      <c r="D229" s="313"/>
      <c r="E229" s="314"/>
      <c r="F229" s="11">
        <f>SUM(F219:F228)</f>
        <v>0</v>
      </c>
      <c r="G229" s="11">
        <f>SUM(G219:G228)</f>
        <v>0</v>
      </c>
      <c r="H229" s="11">
        <f>SUM(H219:H228)</f>
        <v>0</v>
      </c>
      <c r="I229" s="11"/>
    </row>
    <row r="230" spans="1:9" x14ac:dyDescent="0.2">
      <c r="A230" s="8" t="s">
        <v>0</v>
      </c>
      <c r="B230" s="5">
        <f>B219+1</f>
        <v>46126</v>
      </c>
      <c r="C230" s="75"/>
      <c r="D230" s="6"/>
      <c r="E230" s="6"/>
      <c r="F230" s="6"/>
      <c r="G230" s="6"/>
      <c r="H230" s="6"/>
      <c r="I230" s="6"/>
    </row>
    <row r="231" spans="1:9" x14ac:dyDescent="0.2">
      <c r="A231" s="8" t="s">
        <v>1</v>
      </c>
      <c r="B231" s="5"/>
      <c r="C231" s="75"/>
      <c r="D231" s="6"/>
      <c r="E231" s="6"/>
      <c r="F231" s="6"/>
      <c r="G231" s="6"/>
      <c r="H231" s="6"/>
      <c r="I231" s="6"/>
    </row>
    <row r="232" spans="1:9" x14ac:dyDescent="0.2">
      <c r="A232" s="8" t="s">
        <v>2</v>
      </c>
      <c r="B232" s="5"/>
      <c r="C232" s="75"/>
      <c r="D232" s="6"/>
      <c r="E232" s="6"/>
      <c r="F232" s="6"/>
      <c r="G232" s="6"/>
      <c r="H232" s="6"/>
      <c r="I232" s="6"/>
    </row>
    <row r="233" spans="1:9" x14ac:dyDescent="0.2">
      <c r="A233" s="8" t="s">
        <v>3</v>
      </c>
      <c r="B233" s="5"/>
      <c r="C233" s="75"/>
      <c r="D233" s="6"/>
      <c r="E233" s="6"/>
      <c r="F233" s="6"/>
      <c r="G233" s="6"/>
      <c r="H233" s="6"/>
      <c r="I233" s="6"/>
    </row>
    <row r="234" spans="1:9" x14ac:dyDescent="0.2">
      <c r="A234" s="8" t="s">
        <v>4</v>
      </c>
      <c r="B234" s="5"/>
      <c r="C234" s="75"/>
      <c r="D234" s="6"/>
      <c r="E234" s="6"/>
      <c r="F234" s="6"/>
      <c r="G234" s="6"/>
      <c r="H234" s="6"/>
      <c r="I234" s="6"/>
    </row>
    <row r="235" spans="1:9" x14ac:dyDescent="0.2">
      <c r="A235" s="8" t="s">
        <v>5</v>
      </c>
      <c r="B235" s="5"/>
      <c r="C235" s="75"/>
      <c r="D235" s="6"/>
      <c r="E235" s="6"/>
      <c r="F235" s="6"/>
      <c r="G235" s="6"/>
      <c r="H235" s="6"/>
      <c r="I235" s="6"/>
    </row>
    <row r="236" spans="1:9" x14ac:dyDescent="0.2">
      <c r="A236" s="8" t="s">
        <v>6</v>
      </c>
      <c r="B236" s="5"/>
      <c r="C236" s="75"/>
      <c r="D236" s="6"/>
      <c r="E236" s="6"/>
      <c r="F236" s="6"/>
      <c r="G236" s="6"/>
      <c r="H236" s="6"/>
      <c r="I236" s="6"/>
    </row>
    <row r="237" spans="1:9" x14ac:dyDescent="0.2">
      <c r="A237" s="8" t="s">
        <v>7</v>
      </c>
      <c r="B237" s="5"/>
      <c r="C237" s="75"/>
      <c r="D237" s="6"/>
      <c r="E237" s="6"/>
      <c r="F237" s="6"/>
      <c r="G237" s="6"/>
      <c r="H237" s="6"/>
      <c r="I237" s="6"/>
    </row>
    <row r="238" spans="1:9" x14ac:dyDescent="0.2">
      <c r="A238" s="8" t="s">
        <v>8</v>
      </c>
      <c r="B238" s="5"/>
      <c r="C238" s="75"/>
      <c r="D238" s="6"/>
      <c r="E238" s="6"/>
      <c r="F238" s="6"/>
      <c r="G238" s="6"/>
      <c r="H238" s="6"/>
      <c r="I238" s="6"/>
    </row>
    <row r="239" spans="1:9" x14ac:dyDescent="0.2">
      <c r="A239" s="8" t="s">
        <v>9</v>
      </c>
      <c r="B239" s="5"/>
      <c r="C239" s="75"/>
      <c r="D239" s="6"/>
      <c r="E239" s="6"/>
      <c r="F239" s="6"/>
      <c r="G239" s="6"/>
      <c r="H239" s="6"/>
      <c r="I239" s="6"/>
    </row>
    <row r="240" spans="1:9" x14ac:dyDescent="0.2">
      <c r="A240" s="312" t="s">
        <v>10</v>
      </c>
      <c r="B240" s="313"/>
      <c r="C240" s="313"/>
      <c r="D240" s="313"/>
      <c r="E240" s="314"/>
      <c r="F240" s="11">
        <f>SUM(F230:F239)</f>
        <v>0</v>
      </c>
      <c r="G240" s="11">
        <f>SUM(G230:G239)</f>
        <v>0</v>
      </c>
      <c r="H240" s="11">
        <f>SUM(H230:H239)</f>
        <v>0</v>
      </c>
      <c r="I240" s="11"/>
    </row>
    <row r="241" spans="1:9" x14ac:dyDescent="0.2">
      <c r="A241" s="8" t="s">
        <v>0</v>
      </c>
      <c r="B241" s="5">
        <f>B230+1</f>
        <v>46127</v>
      </c>
      <c r="C241" s="74"/>
      <c r="D241" s="6"/>
      <c r="E241" s="6"/>
      <c r="F241" s="6"/>
      <c r="G241" s="6"/>
      <c r="H241" s="6"/>
      <c r="I241" s="6"/>
    </row>
    <row r="242" spans="1:9" x14ac:dyDescent="0.2">
      <c r="A242" s="8" t="s">
        <v>1</v>
      </c>
      <c r="B242" s="5"/>
      <c r="C242" s="74"/>
      <c r="D242" s="6"/>
      <c r="E242" s="6"/>
      <c r="F242" s="6"/>
      <c r="G242" s="6"/>
      <c r="H242" s="6"/>
      <c r="I242" s="6"/>
    </row>
    <row r="243" spans="1:9" x14ac:dyDescent="0.2">
      <c r="A243" s="8" t="s">
        <v>2</v>
      </c>
      <c r="B243" s="5"/>
      <c r="C243" s="74"/>
      <c r="D243" s="6"/>
      <c r="E243" s="6"/>
      <c r="F243" s="6"/>
      <c r="G243" s="6"/>
      <c r="H243" s="6"/>
      <c r="I243" s="6"/>
    </row>
    <row r="244" spans="1:9" x14ac:dyDescent="0.2">
      <c r="A244" s="8" t="s">
        <v>3</v>
      </c>
      <c r="B244" s="5"/>
      <c r="C244" s="74"/>
      <c r="D244" s="6"/>
      <c r="E244" s="6"/>
      <c r="F244" s="6"/>
      <c r="G244" s="6"/>
      <c r="H244" s="6"/>
      <c r="I244" s="6"/>
    </row>
    <row r="245" spans="1:9" x14ac:dyDescent="0.2">
      <c r="A245" s="8" t="s">
        <v>4</v>
      </c>
      <c r="B245" s="5"/>
      <c r="C245" s="74"/>
      <c r="D245" s="6"/>
      <c r="E245" s="6"/>
      <c r="F245" s="6"/>
      <c r="G245" s="6"/>
      <c r="H245" s="6"/>
      <c r="I245" s="6"/>
    </row>
    <row r="246" spans="1:9" x14ac:dyDescent="0.2">
      <c r="A246" s="8" t="s">
        <v>5</v>
      </c>
      <c r="B246" s="5"/>
      <c r="C246" s="74"/>
      <c r="D246" s="6"/>
      <c r="E246" s="6"/>
      <c r="F246" s="6"/>
      <c r="G246" s="6"/>
      <c r="H246" s="6"/>
      <c r="I246" s="6"/>
    </row>
    <row r="247" spans="1:9" x14ac:dyDescent="0.2">
      <c r="A247" s="8" t="s">
        <v>6</v>
      </c>
      <c r="B247" s="5"/>
      <c r="C247" s="74"/>
      <c r="D247" s="6"/>
      <c r="E247" s="6"/>
      <c r="F247" s="6"/>
      <c r="G247" s="6"/>
      <c r="H247" s="6"/>
      <c r="I247" s="6"/>
    </row>
    <row r="248" spans="1:9" x14ac:dyDescent="0.2">
      <c r="A248" s="8" t="s">
        <v>7</v>
      </c>
      <c r="B248" s="5"/>
      <c r="C248" s="74"/>
      <c r="D248" s="6"/>
      <c r="E248" s="6"/>
      <c r="F248" s="6"/>
      <c r="G248" s="6"/>
      <c r="H248" s="6"/>
      <c r="I248" s="6"/>
    </row>
    <row r="249" spans="1:9" x14ac:dyDescent="0.2">
      <c r="A249" s="8" t="s">
        <v>8</v>
      </c>
      <c r="B249" s="5"/>
      <c r="C249" s="74"/>
      <c r="D249" s="6"/>
      <c r="E249" s="6"/>
      <c r="F249" s="6"/>
      <c r="G249" s="6"/>
      <c r="H249" s="6"/>
      <c r="I249" s="6"/>
    </row>
    <row r="250" spans="1:9" x14ac:dyDescent="0.2">
      <c r="A250" s="8" t="s">
        <v>9</v>
      </c>
      <c r="B250" s="5"/>
      <c r="C250" s="74"/>
      <c r="D250" s="6"/>
      <c r="E250" s="6"/>
      <c r="F250" s="6"/>
      <c r="G250" s="6"/>
      <c r="H250" s="6"/>
      <c r="I250" s="6"/>
    </row>
    <row r="251" spans="1:9" x14ac:dyDescent="0.2">
      <c r="A251" s="312" t="s">
        <v>10</v>
      </c>
      <c r="B251" s="313"/>
      <c r="C251" s="313"/>
      <c r="D251" s="313"/>
      <c r="E251" s="314"/>
      <c r="F251" s="11">
        <f>SUM(F241:F250)</f>
        <v>0</v>
      </c>
      <c r="G251" s="11">
        <f>SUM(G241:G250)</f>
        <v>0</v>
      </c>
      <c r="H251" s="11">
        <f>SUM(H241:H250)</f>
        <v>0</v>
      </c>
      <c r="I251" s="11"/>
    </row>
    <row r="252" spans="1:9" s="25" customFormat="1" ht="18" x14ac:dyDescent="0.2">
      <c r="A252" s="315" t="s">
        <v>39</v>
      </c>
      <c r="B252" s="316"/>
      <c r="C252" s="316"/>
      <c r="D252" s="316"/>
      <c r="E252" s="317"/>
      <c r="F252" s="22">
        <f>F185+F196+F207+F218+F229+F240+F251+F168</f>
        <v>3</v>
      </c>
      <c r="G252" s="22">
        <f>G185+G196+G207+G218+G229+G240+G251+G168</f>
        <v>0</v>
      </c>
      <c r="H252" s="22">
        <f>H185+H196+H207+H218+H229+H240+H251+H168</f>
        <v>15</v>
      </c>
      <c r="I252" s="22"/>
    </row>
    <row r="253" spans="1:9" ht="21.95" customHeight="1" x14ac:dyDescent="0.2">
      <c r="A253" s="319" t="s">
        <v>14</v>
      </c>
      <c r="B253" s="319"/>
      <c r="C253" s="319"/>
      <c r="D253" s="319"/>
      <c r="E253" s="319"/>
      <c r="F253" s="319"/>
      <c r="G253" s="319"/>
      <c r="H253" s="319"/>
      <c r="I253" s="319"/>
    </row>
    <row r="254" spans="1:9" s="53" customFormat="1" ht="20.100000000000001" customHeight="1" x14ac:dyDescent="0.2">
      <c r="A254" s="323" t="s">
        <v>86</v>
      </c>
      <c r="B254" s="323"/>
      <c r="C254" s="323"/>
      <c r="D254" s="323"/>
      <c r="E254" s="323"/>
      <c r="F254" s="50" t="str">
        <f>F170</f>
        <v>เมษายน</v>
      </c>
      <c r="G254" s="50" t="s">
        <v>87</v>
      </c>
      <c r="H254" s="51">
        <f>H170</f>
        <v>2569</v>
      </c>
      <c r="I254" s="52"/>
    </row>
    <row r="255" spans="1:9" s="3" customFormat="1" ht="20.100000000000001" customHeight="1" x14ac:dyDescent="0.35">
      <c r="A255" s="318" t="s">
        <v>38</v>
      </c>
      <c r="B255" s="318"/>
      <c r="C255" s="318"/>
      <c r="D255" s="2"/>
      <c r="F255" s="4"/>
      <c r="G255" s="4"/>
      <c r="H255" s="4" t="s">
        <v>21</v>
      </c>
      <c r="I255" s="40">
        <f>I171+1</f>
        <v>4</v>
      </c>
    </row>
    <row r="256" spans="1:9" s="3" customFormat="1" ht="20.100000000000001" customHeight="1" x14ac:dyDescent="0.35">
      <c r="A256" s="311" t="s">
        <v>68</v>
      </c>
      <c r="B256" s="311"/>
      <c r="C256" s="311"/>
      <c r="D256" s="2"/>
      <c r="E256" s="39" t="s">
        <v>81</v>
      </c>
      <c r="F256" s="308">
        <f>F172</f>
        <v>46107</v>
      </c>
      <c r="G256" s="308"/>
      <c r="H256" s="39" t="s">
        <v>82</v>
      </c>
      <c r="I256" s="34">
        <f>I172</f>
        <v>46136</v>
      </c>
    </row>
    <row r="257" spans="1:9" x14ac:dyDescent="0.2">
      <c r="A257" s="12" t="s">
        <v>23</v>
      </c>
      <c r="B257" s="13" t="s">
        <v>11</v>
      </c>
      <c r="C257" s="72" t="s">
        <v>26</v>
      </c>
      <c r="D257" s="12" t="s">
        <v>16</v>
      </c>
      <c r="E257" s="12" t="s">
        <v>17</v>
      </c>
      <c r="F257" s="310" t="s">
        <v>46</v>
      </c>
      <c r="G257" s="310"/>
      <c r="H257" s="310"/>
      <c r="I257" s="12" t="s">
        <v>19</v>
      </c>
    </row>
    <row r="258" spans="1:9" x14ac:dyDescent="0.2">
      <c r="A258" s="15"/>
      <c r="B258" s="16"/>
      <c r="C258" s="73"/>
      <c r="D258" s="15"/>
      <c r="E258" s="15"/>
      <c r="F258" s="21" t="s">
        <v>113</v>
      </c>
      <c r="G258" s="21" t="s">
        <v>114</v>
      </c>
      <c r="H258" s="21" t="s">
        <v>20</v>
      </c>
      <c r="I258" s="15"/>
    </row>
    <row r="259" spans="1:9" x14ac:dyDescent="0.2">
      <c r="A259" s="8" t="s">
        <v>0</v>
      </c>
      <c r="B259" s="5">
        <f>B241+1</f>
        <v>46128</v>
      </c>
      <c r="C259" s="74"/>
      <c r="D259" s="6"/>
      <c r="E259" s="6"/>
      <c r="F259" s="6"/>
      <c r="G259" s="6"/>
      <c r="H259" s="6"/>
      <c r="I259" s="6"/>
    </row>
    <row r="260" spans="1:9" x14ac:dyDescent="0.2">
      <c r="A260" s="8" t="s">
        <v>1</v>
      </c>
      <c r="B260" s="5"/>
      <c r="C260" s="74"/>
      <c r="D260" s="6"/>
      <c r="E260" s="6"/>
      <c r="F260" s="6"/>
      <c r="G260" s="6"/>
      <c r="H260" s="6"/>
      <c r="I260" s="6"/>
    </row>
    <row r="261" spans="1:9" x14ac:dyDescent="0.2">
      <c r="A261" s="8" t="s">
        <v>2</v>
      </c>
      <c r="B261" s="5"/>
      <c r="C261" s="74"/>
      <c r="D261" s="6"/>
      <c r="E261" s="6"/>
      <c r="F261" s="6"/>
      <c r="G261" s="6"/>
      <c r="H261" s="6"/>
      <c r="I261" s="6"/>
    </row>
    <row r="262" spans="1:9" x14ac:dyDescent="0.2">
      <c r="A262" s="8" t="s">
        <v>3</v>
      </c>
      <c r="B262" s="5"/>
      <c r="C262" s="74"/>
      <c r="D262" s="6"/>
      <c r="E262" s="6"/>
      <c r="F262" s="6"/>
      <c r="G262" s="6"/>
      <c r="H262" s="6"/>
      <c r="I262" s="6"/>
    </row>
    <row r="263" spans="1:9" x14ac:dyDescent="0.2">
      <c r="A263" s="8" t="s">
        <v>4</v>
      </c>
      <c r="B263" s="5"/>
      <c r="C263" s="74"/>
      <c r="D263" s="6"/>
      <c r="E263" s="6"/>
      <c r="F263" s="6"/>
      <c r="G263" s="6"/>
      <c r="H263" s="6"/>
      <c r="I263" s="6"/>
    </row>
    <row r="264" spans="1:9" x14ac:dyDescent="0.2">
      <c r="A264" s="8" t="s">
        <v>5</v>
      </c>
      <c r="B264" s="5"/>
      <c r="C264" s="74"/>
      <c r="D264" s="6"/>
      <c r="E264" s="6"/>
      <c r="F264" s="6"/>
      <c r="G264" s="6"/>
      <c r="H264" s="6"/>
      <c r="I264" s="6"/>
    </row>
    <row r="265" spans="1:9" x14ac:dyDescent="0.2">
      <c r="A265" s="8" t="s">
        <v>6</v>
      </c>
      <c r="B265" s="5"/>
      <c r="C265" s="74"/>
      <c r="D265" s="6"/>
      <c r="E265" s="6"/>
      <c r="F265" s="6"/>
      <c r="G265" s="6"/>
      <c r="H265" s="6"/>
      <c r="I265" s="6"/>
    </row>
    <row r="266" spans="1:9" x14ac:dyDescent="0.2">
      <c r="A266" s="8" t="s">
        <v>7</v>
      </c>
      <c r="B266" s="5"/>
      <c r="C266" s="74"/>
      <c r="D266" s="6"/>
      <c r="E266" s="6"/>
      <c r="F266" s="6"/>
      <c r="G266" s="6"/>
      <c r="H266" s="6"/>
      <c r="I266" s="6"/>
    </row>
    <row r="267" spans="1:9" x14ac:dyDescent="0.2">
      <c r="A267" s="8" t="s">
        <v>8</v>
      </c>
      <c r="B267" s="5"/>
      <c r="C267" s="74"/>
      <c r="D267" s="6"/>
      <c r="E267" s="6"/>
      <c r="F267" s="6"/>
      <c r="G267" s="6"/>
      <c r="H267" s="6"/>
      <c r="I267" s="6"/>
    </row>
    <row r="268" spans="1:9" x14ac:dyDescent="0.2">
      <c r="A268" s="8" t="s">
        <v>9</v>
      </c>
      <c r="B268" s="5"/>
      <c r="C268" s="74"/>
      <c r="D268" s="6"/>
      <c r="E268" s="6"/>
      <c r="F268" s="6"/>
      <c r="G268" s="6"/>
      <c r="H268" s="6"/>
      <c r="I268" s="6"/>
    </row>
    <row r="269" spans="1:9" x14ac:dyDescent="0.2">
      <c r="A269" s="312" t="s">
        <v>10</v>
      </c>
      <c r="B269" s="313"/>
      <c r="C269" s="313"/>
      <c r="D269" s="313"/>
      <c r="E269" s="314"/>
      <c r="F269" s="11">
        <f>SUM(F259:F268)</f>
        <v>0</v>
      </c>
      <c r="G269" s="11">
        <f>SUM(G259:G268)</f>
        <v>0</v>
      </c>
      <c r="H269" s="11">
        <f>SUM(H259:H268)</f>
        <v>0</v>
      </c>
      <c r="I269" s="11"/>
    </row>
    <row r="270" spans="1:9" x14ac:dyDescent="0.2">
      <c r="A270" s="8" t="s">
        <v>0</v>
      </c>
      <c r="B270" s="5">
        <f>B259+1</f>
        <v>46129</v>
      </c>
      <c r="C270" s="74"/>
      <c r="D270" s="6"/>
      <c r="E270" s="6"/>
      <c r="F270" s="6"/>
      <c r="G270" s="6"/>
      <c r="H270" s="6"/>
      <c r="I270" s="6"/>
    </row>
    <row r="271" spans="1:9" x14ac:dyDescent="0.2">
      <c r="A271" s="8" t="s">
        <v>1</v>
      </c>
      <c r="B271" s="5"/>
      <c r="C271" s="74"/>
      <c r="D271" s="6"/>
      <c r="E271" s="6"/>
      <c r="F271" s="6"/>
      <c r="G271" s="6"/>
      <c r="H271" s="6"/>
      <c r="I271" s="6"/>
    </row>
    <row r="272" spans="1:9" x14ac:dyDescent="0.2">
      <c r="A272" s="8" t="s">
        <v>2</v>
      </c>
      <c r="B272" s="5"/>
      <c r="C272" s="74"/>
      <c r="D272" s="6"/>
      <c r="E272" s="6"/>
      <c r="F272" s="6"/>
      <c r="G272" s="6"/>
      <c r="H272" s="6"/>
      <c r="I272" s="6"/>
    </row>
    <row r="273" spans="1:9" x14ac:dyDescent="0.2">
      <c r="A273" s="8" t="s">
        <v>3</v>
      </c>
      <c r="B273" s="5"/>
      <c r="C273" s="74"/>
      <c r="D273" s="6"/>
      <c r="E273" s="6"/>
      <c r="F273" s="6"/>
      <c r="G273" s="6"/>
      <c r="H273" s="6"/>
      <c r="I273" s="6"/>
    </row>
    <row r="274" spans="1:9" x14ac:dyDescent="0.2">
      <c r="A274" s="8" t="s">
        <v>4</v>
      </c>
      <c r="B274" s="5"/>
      <c r="C274" s="74"/>
      <c r="D274" s="6"/>
      <c r="E274" s="6"/>
      <c r="F274" s="6"/>
      <c r="G274" s="6"/>
      <c r="H274" s="6"/>
      <c r="I274" s="6"/>
    </row>
    <row r="275" spans="1:9" x14ac:dyDescent="0.2">
      <c r="A275" s="8" t="s">
        <v>5</v>
      </c>
      <c r="B275" s="5"/>
      <c r="C275" s="74"/>
      <c r="D275" s="6"/>
      <c r="E275" s="6"/>
      <c r="F275" s="6"/>
      <c r="G275" s="6"/>
      <c r="H275" s="6"/>
      <c r="I275" s="6"/>
    </row>
    <row r="276" spans="1:9" x14ac:dyDescent="0.2">
      <c r="A276" s="8" t="s">
        <v>6</v>
      </c>
      <c r="B276" s="5"/>
      <c r="C276" s="74"/>
      <c r="D276" s="6"/>
      <c r="E276" s="6"/>
      <c r="F276" s="6"/>
      <c r="G276" s="6"/>
      <c r="H276" s="6"/>
      <c r="I276" s="6"/>
    </row>
    <row r="277" spans="1:9" x14ac:dyDescent="0.2">
      <c r="A277" s="8" t="s">
        <v>7</v>
      </c>
      <c r="B277" s="5"/>
      <c r="C277" s="74"/>
      <c r="D277" s="6"/>
      <c r="E277" s="6"/>
      <c r="F277" s="6"/>
      <c r="G277" s="6"/>
      <c r="H277" s="6"/>
      <c r="I277" s="6"/>
    </row>
    <row r="278" spans="1:9" x14ac:dyDescent="0.2">
      <c r="A278" s="8" t="s">
        <v>8</v>
      </c>
      <c r="B278" s="5"/>
      <c r="C278" s="74"/>
      <c r="D278" s="6"/>
      <c r="E278" s="6"/>
      <c r="F278" s="6"/>
      <c r="G278" s="6"/>
      <c r="H278" s="6"/>
      <c r="I278" s="6"/>
    </row>
    <row r="279" spans="1:9" x14ac:dyDescent="0.2">
      <c r="A279" s="8" t="s">
        <v>9</v>
      </c>
      <c r="B279" s="5"/>
      <c r="C279" s="74"/>
      <c r="D279" s="6"/>
      <c r="E279" s="6"/>
      <c r="F279" s="6"/>
      <c r="G279" s="6"/>
      <c r="H279" s="6"/>
      <c r="I279" s="6"/>
    </row>
    <row r="280" spans="1:9" x14ac:dyDescent="0.2">
      <c r="A280" s="312" t="s">
        <v>10</v>
      </c>
      <c r="B280" s="313"/>
      <c r="C280" s="313"/>
      <c r="D280" s="313"/>
      <c r="E280" s="314"/>
      <c r="F280" s="11">
        <f>SUM(F270:F279)</f>
        <v>0</v>
      </c>
      <c r="G280" s="11">
        <f>SUM(G270:G279)</f>
        <v>0</v>
      </c>
      <c r="H280" s="11">
        <f>SUM(H270:H279)</f>
        <v>0</v>
      </c>
      <c r="I280" s="11"/>
    </row>
    <row r="281" spans="1:9" x14ac:dyDescent="0.2">
      <c r="A281" s="8" t="s">
        <v>0</v>
      </c>
      <c r="B281" s="5">
        <f>B270+1</f>
        <v>46130</v>
      </c>
      <c r="C281" s="74"/>
      <c r="D281" s="6"/>
      <c r="E281" s="6"/>
      <c r="F281" s="6"/>
      <c r="G281" s="6"/>
      <c r="H281" s="6"/>
      <c r="I281" s="6"/>
    </row>
    <row r="282" spans="1:9" x14ac:dyDescent="0.2">
      <c r="A282" s="8" t="s">
        <v>1</v>
      </c>
      <c r="B282" s="5"/>
      <c r="C282" s="74"/>
      <c r="D282" s="6"/>
      <c r="E282" s="6"/>
      <c r="F282" s="6"/>
      <c r="G282" s="6"/>
      <c r="H282" s="6"/>
      <c r="I282" s="6"/>
    </row>
    <row r="283" spans="1:9" x14ac:dyDescent="0.2">
      <c r="A283" s="8" t="s">
        <v>2</v>
      </c>
      <c r="B283" s="5"/>
      <c r="C283" s="74"/>
      <c r="D283" s="6"/>
      <c r="E283" s="6"/>
      <c r="F283" s="6"/>
      <c r="G283" s="6"/>
      <c r="H283" s="6"/>
      <c r="I283" s="6"/>
    </row>
    <row r="284" spans="1:9" x14ac:dyDescent="0.2">
      <c r="A284" s="8" t="s">
        <v>3</v>
      </c>
      <c r="B284" s="5"/>
      <c r="C284" s="74"/>
      <c r="D284" s="6"/>
      <c r="E284" s="6"/>
      <c r="F284" s="6"/>
      <c r="G284" s="6"/>
      <c r="H284" s="6"/>
      <c r="I284" s="6"/>
    </row>
    <row r="285" spans="1:9" x14ac:dyDescent="0.2">
      <c r="A285" s="8" t="s">
        <v>4</v>
      </c>
      <c r="B285" s="5"/>
      <c r="C285" s="74"/>
      <c r="D285" s="6"/>
      <c r="E285" s="6"/>
      <c r="F285" s="6"/>
      <c r="G285" s="6"/>
      <c r="H285" s="6"/>
      <c r="I285" s="6"/>
    </row>
    <row r="286" spans="1:9" x14ac:dyDescent="0.2">
      <c r="A286" s="8" t="s">
        <v>5</v>
      </c>
      <c r="B286" s="5"/>
      <c r="C286" s="74"/>
      <c r="D286" s="6"/>
      <c r="E286" s="6"/>
      <c r="F286" s="6"/>
      <c r="G286" s="6"/>
      <c r="H286" s="6"/>
      <c r="I286" s="6"/>
    </row>
    <row r="287" spans="1:9" x14ac:dyDescent="0.2">
      <c r="A287" s="8" t="s">
        <v>6</v>
      </c>
      <c r="B287" s="5"/>
      <c r="C287" s="74"/>
      <c r="D287" s="6"/>
      <c r="E287" s="6"/>
      <c r="F287" s="6"/>
      <c r="G287" s="6"/>
      <c r="H287" s="6"/>
      <c r="I287" s="6"/>
    </row>
    <row r="288" spans="1:9" x14ac:dyDescent="0.2">
      <c r="A288" s="8" t="s">
        <v>7</v>
      </c>
      <c r="B288" s="5"/>
      <c r="C288" s="74"/>
      <c r="D288" s="6"/>
      <c r="E288" s="6"/>
      <c r="F288" s="6"/>
      <c r="G288" s="6"/>
      <c r="H288" s="6"/>
      <c r="I288" s="6"/>
    </row>
    <row r="289" spans="1:9" x14ac:dyDescent="0.2">
      <c r="A289" s="8" t="s">
        <v>8</v>
      </c>
      <c r="B289" s="5"/>
      <c r="C289" s="74"/>
      <c r="D289" s="6"/>
      <c r="E289" s="6"/>
      <c r="F289" s="6"/>
      <c r="G289" s="6"/>
      <c r="H289" s="6"/>
      <c r="I289" s="6"/>
    </row>
    <row r="290" spans="1:9" x14ac:dyDescent="0.2">
      <c r="A290" s="8" t="s">
        <v>9</v>
      </c>
      <c r="B290" s="5"/>
      <c r="C290" s="74"/>
      <c r="D290" s="6"/>
      <c r="E290" s="6"/>
      <c r="F290" s="6"/>
      <c r="G290" s="6"/>
      <c r="H290" s="6"/>
      <c r="I290" s="6"/>
    </row>
    <row r="291" spans="1:9" x14ac:dyDescent="0.2">
      <c r="A291" s="312" t="s">
        <v>10</v>
      </c>
      <c r="B291" s="313"/>
      <c r="C291" s="313"/>
      <c r="D291" s="313"/>
      <c r="E291" s="314"/>
      <c r="F291" s="11">
        <f>SUM(F281:F290)</f>
        <v>0</v>
      </c>
      <c r="G291" s="11">
        <f>SUM(G281:G290)</f>
        <v>0</v>
      </c>
      <c r="H291" s="11">
        <f>SUM(H281:H290)</f>
        <v>0</v>
      </c>
      <c r="I291" s="11"/>
    </row>
    <row r="292" spans="1:9" x14ac:dyDescent="0.2">
      <c r="A292" s="8" t="s">
        <v>0</v>
      </c>
      <c r="B292" s="5">
        <f>B281+1</f>
        <v>46131</v>
      </c>
      <c r="C292" s="75"/>
      <c r="D292" s="6"/>
      <c r="E292" s="6"/>
      <c r="F292" s="6"/>
      <c r="G292" s="6"/>
      <c r="H292" s="6"/>
      <c r="I292" s="6"/>
    </row>
    <row r="293" spans="1:9" x14ac:dyDescent="0.2">
      <c r="A293" s="8" t="s">
        <v>1</v>
      </c>
      <c r="B293" s="5"/>
      <c r="C293" s="75"/>
      <c r="D293" s="6"/>
      <c r="E293" s="6"/>
      <c r="F293" s="6"/>
      <c r="G293" s="6"/>
      <c r="H293" s="6"/>
      <c r="I293" s="6"/>
    </row>
    <row r="294" spans="1:9" x14ac:dyDescent="0.2">
      <c r="A294" s="8" t="s">
        <v>2</v>
      </c>
      <c r="B294" s="5"/>
      <c r="C294" s="75"/>
      <c r="D294" s="6"/>
      <c r="E294" s="6"/>
      <c r="F294" s="6"/>
      <c r="G294" s="6"/>
      <c r="H294" s="6"/>
      <c r="I294" s="6"/>
    </row>
    <row r="295" spans="1:9" x14ac:dyDescent="0.2">
      <c r="A295" s="8" t="s">
        <v>3</v>
      </c>
      <c r="B295" s="5"/>
      <c r="C295" s="75"/>
      <c r="D295" s="6"/>
      <c r="E295" s="6"/>
      <c r="F295" s="6"/>
      <c r="G295" s="6"/>
      <c r="H295" s="6"/>
      <c r="I295" s="6"/>
    </row>
    <row r="296" spans="1:9" x14ac:dyDescent="0.2">
      <c r="A296" s="8" t="s">
        <v>4</v>
      </c>
      <c r="B296" s="5"/>
      <c r="C296" s="75"/>
      <c r="D296" s="6"/>
      <c r="E296" s="6"/>
      <c r="F296" s="6"/>
      <c r="G296" s="6"/>
      <c r="H296" s="6"/>
      <c r="I296" s="6"/>
    </row>
    <row r="297" spans="1:9" x14ac:dyDescent="0.2">
      <c r="A297" s="8" t="s">
        <v>5</v>
      </c>
      <c r="B297" s="5"/>
      <c r="C297" s="75"/>
      <c r="D297" s="6"/>
      <c r="E297" s="6"/>
      <c r="F297" s="6"/>
      <c r="G297" s="6"/>
      <c r="H297" s="6"/>
      <c r="I297" s="6"/>
    </row>
    <row r="298" spans="1:9" x14ac:dyDescent="0.2">
      <c r="A298" s="8" t="s">
        <v>6</v>
      </c>
      <c r="B298" s="5"/>
      <c r="C298" s="75"/>
      <c r="D298" s="6"/>
      <c r="E298" s="6"/>
      <c r="F298" s="6"/>
      <c r="G298" s="6"/>
      <c r="H298" s="6"/>
      <c r="I298" s="6"/>
    </row>
    <row r="299" spans="1:9" x14ac:dyDescent="0.2">
      <c r="A299" s="8" t="s">
        <v>7</v>
      </c>
      <c r="B299" s="5"/>
      <c r="C299" s="74"/>
      <c r="D299" s="6"/>
      <c r="E299" s="6"/>
      <c r="F299" s="6"/>
      <c r="G299" s="6"/>
      <c r="H299" s="6"/>
      <c r="I299" s="6"/>
    </row>
    <row r="300" spans="1:9" x14ac:dyDescent="0.2">
      <c r="A300" s="8" t="s">
        <v>8</v>
      </c>
      <c r="B300" s="5"/>
      <c r="C300" s="74"/>
      <c r="D300" s="6"/>
      <c r="E300" s="6"/>
      <c r="F300" s="6"/>
      <c r="G300" s="6"/>
      <c r="H300" s="6"/>
      <c r="I300" s="6"/>
    </row>
    <row r="301" spans="1:9" x14ac:dyDescent="0.2">
      <c r="A301" s="8" t="s">
        <v>9</v>
      </c>
      <c r="B301" s="5"/>
      <c r="C301" s="74"/>
      <c r="D301" s="6"/>
      <c r="E301" s="6"/>
      <c r="F301" s="6"/>
      <c r="G301" s="6"/>
      <c r="H301" s="6"/>
      <c r="I301" s="6"/>
    </row>
    <row r="302" spans="1:9" x14ac:dyDescent="0.2">
      <c r="A302" s="312" t="s">
        <v>10</v>
      </c>
      <c r="B302" s="313"/>
      <c r="C302" s="313"/>
      <c r="D302" s="313"/>
      <c r="E302" s="314"/>
      <c r="F302" s="11">
        <f>SUM(F292:F301)</f>
        <v>0</v>
      </c>
      <c r="G302" s="11">
        <f>SUM(G292:G301)</f>
        <v>0</v>
      </c>
      <c r="H302" s="11">
        <f>SUM(H292:H301)</f>
        <v>0</v>
      </c>
      <c r="I302" s="11"/>
    </row>
    <row r="303" spans="1:9" x14ac:dyDescent="0.2">
      <c r="A303" s="8" t="s">
        <v>0</v>
      </c>
      <c r="B303" s="5">
        <f>B292+1</f>
        <v>46132</v>
      </c>
      <c r="C303" s="75"/>
      <c r="D303" s="6"/>
      <c r="E303" s="6"/>
      <c r="F303" s="6"/>
      <c r="G303" s="6"/>
      <c r="H303" s="6"/>
      <c r="I303" s="6"/>
    </row>
    <row r="304" spans="1:9" x14ac:dyDescent="0.2">
      <c r="A304" s="8" t="s">
        <v>1</v>
      </c>
      <c r="B304" s="5"/>
      <c r="C304" s="75"/>
      <c r="D304" s="6"/>
      <c r="E304" s="6"/>
      <c r="F304" s="6"/>
      <c r="G304" s="6"/>
      <c r="H304" s="6"/>
      <c r="I304" s="6"/>
    </row>
    <row r="305" spans="1:9" x14ac:dyDescent="0.2">
      <c r="A305" s="8" t="s">
        <v>2</v>
      </c>
      <c r="B305" s="5"/>
      <c r="C305" s="75"/>
      <c r="D305" s="6"/>
      <c r="E305" s="6"/>
      <c r="F305" s="6"/>
      <c r="G305" s="6"/>
      <c r="H305" s="6"/>
      <c r="I305" s="6"/>
    </row>
    <row r="306" spans="1:9" x14ac:dyDescent="0.2">
      <c r="A306" s="8" t="s">
        <v>3</v>
      </c>
      <c r="B306" s="5"/>
      <c r="C306" s="75"/>
      <c r="D306" s="6"/>
      <c r="E306" s="6"/>
      <c r="F306" s="6"/>
      <c r="G306" s="6"/>
      <c r="H306" s="6"/>
      <c r="I306" s="6"/>
    </row>
    <row r="307" spans="1:9" x14ac:dyDescent="0.2">
      <c r="A307" s="8" t="s">
        <v>4</v>
      </c>
      <c r="B307" s="5"/>
      <c r="C307" s="75"/>
      <c r="D307" s="6"/>
      <c r="E307" s="6"/>
      <c r="F307" s="6"/>
      <c r="G307" s="6"/>
      <c r="H307" s="6"/>
      <c r="I307" s="6"/>
    </row>
    <row r="308" spans="1:9" x14ac:dyDescent="0.2">
      <c r="A308" s="8" t="s">
        <v>5</v>
      </c>
      <c r="B308" s="5"/>
      <c r="C308" s="75"/>
      <c r="D308" s="6"/>
      <c r="E308" s="6"/>
      <c r="F308" s="6"/>
      <c r="G308" s="6"/>
      <c r="H308" s="6"/>
      <c r="I308" s="6"/>
    </row>
    <row r="309" spans="1:9" x14ac:dyDescent="0.2">
      <c r="A309" s="8" t="s">
        <v>6</v>
      </c>
      <c r="B309" s="5"/>
      <c r="C309" s="74"/>
      <c r="D309" s="6"/>
      <c r="E309" s="6"/>
      <c r="F309" s="6"/>
      <c r="G309" s="6"/>
      <c r="H309" s="6"/>
      <c r="I309" s="6"/>
    </row>
    <row r="310" spans="1:9" x14ac:dyDescent="0.2">
      <c r="A310" s="8" t="s">
        <v>7</v>
      </c>
      <c r="B310" s="5"/>
      <c r="C310" s="74"/>
      <c r="D310" s="6"/>
      <c r="E310" s="6"/>
      <c r="F310" s="6"/>
      <c r="G310" s="6"/>
      <c r="H310" s="6"/>
      <c r="I310" s="6"/>
    </row>
    <row r="311" spans="1:9" x14ac:dyDescent="0.2">
      <c r="A311" s="8" t="s">
        <v>8</v>
      </c>
      <c r="B311" s="5"/>
      <c r="C311" s="74"/>
      <c r="D311" s="6"/>
      <c r="E311" s="6"/>
      <c r="F311" s="6"/>
      <c r="G311" s="6"/>
      <c r="H311" s="6"/>
      <c r="I311" s="6"/>
    </row>
    <row r="312" spans="1:9" x14ac:dyDescent="0.2">
      <c r="A312" s="8" t="s">
        <v>9</v>
      </c>
      <c r="B312" s="5"/>
      <c r="C312" s="74"/>
      <c r="D312" s="6"/>
      <c r="E312" s="6"/>
      <c r="F312" s="6"/>
      <c r="G312" s="6"/>
      <c r="H312" s="6"/>
      <c r="I312" s="6"/>
    </row>
    <row r="313" spans="1:9" x14ac:dyDescent="0.2">
      <c r="A313" s="312" t="s">
        <v>10</v>
      </c>
      <c r="B313" s="313"/>
      <c r="C313" s="313"/>
      <c r="D313" s="313"/>
      <c r="E313" s="314"/>
      <c r="F313" s="11">
        <f>SUM(F303:F312)</f>
        <v>0</v>
      </c>
      <c r="G313" s="11">
        <f>SUM(G303:G312)</f>
        <v>0</v>
      </c>
      <c r="H313" s="11">
        <f>SUM(H303:H312)</f>
        <v>0</v>
      </c>
      <c r="I313" s="11"/>
    </row>
    <row r="314" spans="1:9" x14ac:dyDescent="0.2">
      <c r="A314" s="8" t="s">
        <v>0</v>
      </c>
      <c r="B314" s="5">
        <f>B303+1</f>
        <v>46133</v>
      </c>
      <c r="C314" s="75"/>
      <c r="D314" s="6"/>
      <c r="E314" s="6"/>
      <c r="F314" s="6"/>
      <c r="G314" s="6"/>
      <c r="H314" s="6"/>
      <c r="I314" s="6"/>
    </row>
    <row r="315" spans="1:9" x14ac:dyDescent="0.2">
      <c r="A315" s="8" t="s">
        <v>1</v>
      </c>
      <c r="B315" s="5"/>
      <c r="C315" s="75"/>
      <c r="D315" s="6"/>
      <c r="E315" s="6"/>
      <c r="F315" s="6"/>
      <c r="G315" s="6"/>
      <c r="H315" s="6"/>
      <c r="I315" s="6"/>
    </row>
    <row r="316" spans="1:9" x14ac:dyDescent="0.2">
      <c r="A316" s="8" t="s">
        <v>2</v>
      </c>
      <c r="B316" s="5"/>
      <c r="C316" s="75"/>
      <c r="D316" s="6"/>
      <c r="E316" s="6"/>
      <c r="F316" s="6"/>
      <c r="G316" s="6"/>
      <c r="H316" s="6"/>
      <c r="I316" s="6"/>
    </row>
    <row r="317" spans="1:9" x14ac:dyDescent="0.2">
      <c r="A317" s="8" t="s">
        <v>3</v>
      </c>
      <c r="B317" s="5"/>
      <c r="C317" s="75"/>
      <c r="D317" s="6"/>
      <c r="E317" s="6"/>
      <c r="F317" s="6"/>
      <c r="G317" s="6"/>
      <c r="H317" s="6"/>
      <c r="I317" s="6"/>
    </row>
    <row r="318" spans="1:9" x14ac:dyDescent="0.2">
      <c r="A318" s="8" t="s">
        <v>4</v>
      </c>
      <c r="B318" s="5"/>
      <c r="C318" s="75"/>
      <c r="D318" s="6"/>
      <c r="E318" s="6"/>
      <c r="F318" s="6"/>
      <c r="G318" s="6"/>
      <c r="H318" s="6"/>
      <c r="I318" s="6"/>
    </row>
    <row r="319" spans="1:9" x14ac:dyDescent="0.2">
      <c r="A319" s="8" t="s">
        <v>5</v>
      </c>
      <c r="B319" s="5"/>
      <c r="C319" s="75"/>
      <c r="D319" s="6"/>
      <c r="E319" s="6"/>
      <c r="F319" s="6"/>
      <c r="G319" s="6"/>
      <c r="H319" s="6"/>
      <c r="I319" s="6"/>
    </row>
    <row r="320" spans="1:9" x14ac:dyDescent="0.2">
      <c r="A320" s="8" t="s">
        <v>6</v>
      </c>
      <c r="B320" s="5"/>
      <c r="C320" s="75"/>
      <c r="D320" s="6"/>
      <c r="E320" s="6"/>
      <c r="F320" s="6"/>
      <c r="G320" s="6"/>
      <c r="H320" s="6"/>
      <c r="I320" s="6"/>
    </row>
    <row r="321" spans="1:9" x14ac:dyDescent="0.2">
      <c r="A321" s="8" t="s">
        <v>7</v>
      </c>
      <c r="B321" s="5"/>
      <c r="C321" s="75"/>
      <c r="D321" s="6"/>
      <c r="E321" s="6"/>
      <c r="F321" s="6"/>
      <c r="G321" s="6"/>
      <c r="H321" s="6"/>
      <c r="I321" s="6"/>
    </row>
    <row r="322" spans="1:9" x14ac:dyDescent="0.2">
      <c r="A322" s="8" t="s">
        <v>8</v>
      </c>
      <c r="B322" s="5"/>
      <c r="C322" s="75"/>
      <c r="D322" s="6"/>
      <c r="E322" s="6"/>
      <c r="F322" s="6"/>
      <c r="G322" s="6"/>
      <c r="H322" s="6"/>
      <c r="I322" s="6"/>
    </row>
    <row r="323" spans="1:9" x14ac:dyDescent="0.2">
      <c r="A323" s="8" t="s">
        <v>9</v>
      </c>
      <c r="B323" s="5"/>
      <c r="C323" s="75"/>
      <c r="D323" s="6"/>
      <c r="E323" s="6"/>
      <c r="F323" s="6"/>
      <c r="G323" s="6"/>
      <c r="H323" s="6"/>
      <c r="I323" s="6"/>
    </row>
    <row r="324" spans="1:9" x14ac:dyDescent="0.2">
      <c r="A324" s="312" t="s">
        <v>10</v>
      </c>
      <c r="B324" s="313"/>
      <c r="C324" s="313"/>
      <c r="D324" s="313"/>
      <c r="E324" s="314"/>
      <c r="F324" s="11">
        <f>SUM(F314:F323)</f>
        <v>0</v>
      </c>
      <c r="G324" s="11">
        <f>SUM(G314:G323)</f>
        <v>0</v>
      </c>
      <c r="H324" s="11">
        <f>SUM(H314:H323)</f>
        <v>0</v>
      </c>
      <c r="I324" s="11"/>
    </row>
    <row r="325" spans="1:9" x14ac:dyDescent="0.2">
      <c r="A325" s="8" t="s">
        <v>0</v>
      </c>
      <c r="B325" s="5">
        <f>B314+1</f>
        <v>46134</v>
      </c>
      <c r="C325" s="74"/>
      <c r="D325" s="6"/>
      <c r="E325" s="6"/>
      <c r="F325" s="6"/>
      <c r="G325" s="6"/>
      <c r="H325" s="6"/>
      <c r="I325" s="6"/>
    </row>
    <row r="326" spans="1:9" x14ac:dyDescent="0.2">
      <c r="A326" s="8" t="s">
        <v>1</v>
      </c>
      <c r="B326" s="5"/>
      <c r="C326" s="74"/>
      <c r="D326" s="6"/>
      <c r="E326" s="6"/>
      <c r="F326" s="6"/>
      <c r="G326" s="6"/>
      <c r="H326" s="6"/>
      <c r="I326" s="6"/>
    </row>
    <row r="327" spans="1:9" x14ac:dyDescent="0.2">
      <c r="A327" s="8" t="s">
        <v>2</v>
      </c>
      <c r="B327" s="5"/>
      <c r="C327" s="74"/>
      <c r="D327" s="6"/>
      <c r="E327" s="6"/>
      <c r="F327" s="6"/>
      <c r="G327" s="6"/>
      <c r="H327" s="6"/>
      <c r="I327" s="6"/>
    </row>
    <row r="328" spans="1:9" x14ac:dyDescent="0.2">
      <c r="A328" s="8" t="s">
        <v>3</v>
      </c>
      <c r="B328" s="5"/>
      <c r="C328" s="74"/>
      <c r="D328" s="6"/>
      <c r="E328" s="6"/>
      <c r="F328" s="6"/>
      <c r="G328" s="6"/>
      <c r="H328" s="6"/>
      <c r="I328" s="6"/>
    </row>
    <row r="329" spans="1:9" x14ac:dyDescent="0.2">
      <c r="A329" s="8" t="s">
        <v>4</v>
      </c>
      <c r="B329" s="5"/>
      <c r="C329" s="74"/>
      <c r="D329" s="6"/>
      <c r="E329" s="6"/>
      <c r="F329" s="6"/>
      <c r="G329" s="6"/>
      <c r="H329" s="6"/>
      <c r="I329" s="6"/>
    </row>
    <row r="330" spans="1:9" x14ac:dyDescent="0.2">
      <c r="A330" s="8" t="s">
        <v>5</v>
      </c>
      <c r="B330" s="5"/>
      <c r="C330" s="74"/>
      <c r="D330" s="6"/>
      <c r="E330" s="6"/>
      <c r="F330" s="6"/>
      <c r="G330" s="6"/>
      <c r="H330" s="6"/>
      <c r="I330" s="6"/>
    </row>
    <row r="331" spans="1:9" x14ac:dyDescent="0.2">
      <c r="A331" s="8" t="s">
        <v>6</v>
      </c>
      <c r="B331" s="5"/>
      <c r="C331" s="74"/>
      <c r="D331" s="6"/>
      <c r="E331" s="6"/>
      <c r="F331" s="6"/>
      <c r="G331" s="6"/>
      <c r="H331" s="6"/>
      <c r="I331" s="6"/>
    </row>
    <row r="332" spans="1:9" x14ac:dyDescent="0.2">
      <c r="A332" s="8" t="s">
        <v>7</v>
      </c>
      <c r="B332" s="5"/>
      <c r="C332" s="74"/>
      <c r="D332" s="6"/>
      <c r="E332" s="6"/>
      <c r="F332" s="6"/>
      <c r="G332" s="6"/>
      <c r="H332" s="6"/>
      <c r="I332" s="6"/>
    </row>
    <row r="333" spans="1:9" x14ac:dyDescent="0.2">
      <c r="A333" s="8" t="s">
        <v>8</v>
      </c>
      <c r="B333" s="5"/>
      <c r="C333" s="74"/>
      <c r="D333" s="6"/>
      <c r="E333" s="6"/>
      <c r="F333" s="6"/>
      <c r="G333" s="6"/>
      <c r="H333" s="6"/>
      <c r="I333" s="6"/>
    </row>
    <row r="334" spans="1:9" x14ac:dyDescent="0.2">
      <c r="A334" s="8" t="s">
        <v>9</v>
      </c>
      <c r="B334" s="5"/>
      <c r="C334" s="74"/>
      <c r="D334" s="6"/>
      <c r="E334" s="6"/>
      <c r="F334" s="6"/>
      <c r="G334" s="6"/>
      <c r="H334" s="6"/>
      <c r="I334" s="6"/>
    </row>
    <row r="335" spans="1:9" x14ac:dyDescent="0.2">
      <c r="A335" s="312" t="s">
        <v>10</v>
      </c>
      <c r="B335" s="313"/>
      <c r="C335" s="313"/>
      <c r="D335" s="313"/>
      <c r="E335" s="314"/>
      <c r="F335" s="11">
        <f>SUM(F325:F334)</f>
        <v>0</v>
      </c>
      <c r="G335" s="11">
        <f>SUM(G325:G334)</f>
        <v>0</v>
      </c>
      <c r="H335" s="11">
        <f>SUM(H325:H334)</f>
        <v>0</v>
      </c>
      <c r="I335" s="11"/>
    </row>
    <row r="336" spans="1:9" s="25" customFormat="1" ht="18" x14ac:dyDescent="0.2">
      <c r="A336" s="315" t="s">
        <v>39</v>
      </c>
      <c r="B336" s="316"/>
      <c r="C336" s="316"/>
      <c r="D336" s="316"/>
      <c r="E336" s="317"/>
      <c r="F336" s="22">
        <f>F269+F280+F291+F302+F313+F324+F335+F252</f>
        <v>3</v>
      </c>
      <c r="G336" s="22">
        <f>G269+G280+G291+G302+G313+G324+G335+G252</f>
        <v>0</v>
      </c>
      <c r="H336" s="22">
        <f>H269+H280+H291+H302+H313+H324+H335+H252</f>
        <v>15</v>
      </c>
      <c r="I336" s="22"/>
    </row>
    <row r="337" spans="1:9" ht="21.95" customHeight="1" x14ac:dyDescent="0.2">
      <c r="A337" s="319" t="s">
        <v>14</v>
      </c>
      <c r="B337" s="319"/>
      <c r="C337" s="319"/>
      <c r="D337" s="319"/>
      <c r="E337" s="319"/>
      <c r="F337" s="319"/>
      <c r="G337" s="319"/>
      <c r="H337" s="319"/>
      <c r="I337" s="319"/>
    </row>
    <row r="338" spans="1:9" s="53" customFormat="1" ht="20.100000000000001" customHeight="1" x14ac:dyDescent="0.2">
      <c r="A338" s="323" t="s">
        <v>86</v>
      </c>
      <c r="B338" s="323"/>
      <c r="C338" s="323"/>
      <c r="D338" s="323"/>
      <c r="E338" s="323"/>
      <c r="F338" s="50" t="str">
        <f>F254</f>
        <v>เมษายน</v>
      </c>
      <c r="G338" s="50" t="s">
        <v>87</v>
      </c>
      <c r="H338" s="51">
        <f>H254</f>
        <v>2569</v>
      </c>
      <c r="I338" s="52"/>
    </row>
    <row r="339" spans="1:9" s="3" customFormat="1" ht="20.100000000000001" customHeight="1" x14ac:dyDescent="0.35">
      <c r="A339" s="318" t="s">
        <v>38</v>
      </c>
      <c r="B339" s="318"/>
      <c r="C339" s="318"/>
      <c r="D339" s="2"/>
      <c r="F339" s="4"/>
      <c r="G339" s="4"/>
      <c r="H339" s="4" t="s">
        <v>21</v>
      </c>
      <c r="I339" s="40">
        <f>I255+1</f>
        <v>5</v>
      </c>
    </row>
    <row r="340" spans="1:9" s="3" customFormat="1" ht="20.100000000000001" customHeight="1" x14ac:dyDescent="0.35">
      <c r="A340" s="311" t="s">
        <v>68</v>
      </c>
      <c r="B340" s="311"/>
      <c r="C340" s="311"/>
      <c r="D340" s="2"/>
      <c r="E340" s="39" t="s">
        <v>81</v>
      </c>
      <c r="F340" s="308">
        <f>F256</f>
        <v>46107</v>
      </c>
      <c r="G340" s="308"/>
      <c r="H340" s="39" t="s">
        <v>82</v>
      </c>
      <c r="I340" s="34">
        <f>I256</f>
        <v>46136</v>
      </c>
    </row>
    <row r="341" spans="1:9" x14ac:dyDescent="0.2">
      <c r="A341" s="12" t="s">
        <v>23</v>
      </c>
      <c r="B341" s="13" t="s">
        <v>11</v>
      </c>
      <c r="C341" s="72" t="s">
        <v>26</v>
      </c>
      <c r="D341" s="12" t="s">
        <v>16</v>
      </c>
      <c r="E341" s="12" t="s">
        <v>17</v>
      </c>
      <c r="F341" s="310" t="s">
        <v>18</v>
      </c>
      <c r="G341" s="310"/>
      <c r="H341" s="310"/>
      <c r="I341" s="12" t="s">
        <v>19</v>
      </c>
    </row>
    <row r="342" spans="1:9" x14ac:dyDescent="0.2">
      <c r="A342" s="15"/>
      <c r="B342" s="16"/>
      <c r="C342" s="73"/>
      <c r="D342" s="15"/>
      <c r="E342" s="15"/>
      <c r="F342" s="21" t="s">
        <v>113</v>
      </c>
      <c r="G342" s="21" t="s">
        <v>114</v>
      </c>
      <c r="H342" s="21" t="s">
        <v>20</v>
      </c>
      <c r="I342" s="15"/>
    </row>
    <row r="343" spans="1:9" x14ac:dyDescent="0.2">
      <c r="A343" s="8" t="s">
        <v>0</v>
      </c>
      <c r="B343" s="5">
        <f>B325+1</f>
        <v>46135</v>
      </c>
      <c r="C343" s="74"/>
      <c r="D343" s="6"/>
      <c r="E343" s="6"/>
      <c r="F343" s="6"/>
      <c r="G343" s="6"/>
      <c r="H343" s="6"/>
      <c r="I343" s="6"/>
    </row>
    <row r="344" spans="1:9" x14ac:dyDescent="0.2">
      <c r="A344" s="8" t="s">
        <v>1</v>
      </c>
      <c r="B344" s="5"/>
      <c r="C344" s="74"/>
      <c r="D344" s="6"/>
      <c r="E344" s="6"/>
      <c r="F344" s="6"/>
      <c r="G344" s="6"/>
      <c r="H344" s="6"/>
      <c r="I344" s="6"/>
    </row>
    <row r="345" spans="1:9" x14ac:dyDescent="0.2">
      <c r="A345" s="8" t="s">
        <v>2</v>
      </c>
      <c r="B345" s="5"/>
      <c r="C345" s="74"/>
      <c r="D345" s="6"/>
      <c r="E345" s="6"/>
      <c r="F345" s="6"/>
      <c r="G345" s="6"/>
      <c r="H345" s="6"/>
      <c r="I345" s="6"/>
    </row>
    <row r="346" spans="1:9" x14ac:dyDescent="0.2">
      <c r="A346" s="8" t="s">
        <v>3</v>
      </c>
      <c r="B346" s="5"/>
      <c r="C346" s="74"/>
      <c r="D346" s="6"/>
      <c r="E346" s="6"/>
      <c r="F346" s="6"/>
      <c r="G346" s="6"/>
      <c r="H346" s="6"/>
      <c r="I346" s="6"/>
    </row>
    <row r="347" spans="1:9" x14ac:dyDescent="0.2">
      <c r="A347" s="8" t="s">
        <v>4</v>
      </c>
      <c r="B347" s="5"/>
      <c r="C347" s="74"/>
      <c r="D347" s="6"/>
      <c r="E347" s="6"/>
      <c r="F347" s="6"/>
      <c r="G347" s="6"/>
      <c r="H347" s="6"/>
      <c r="I347" s="6"/>
    </row>
    <row r="348" spans="1:9" x14ac:dyDescent="0.2">
      <c r="A348" s="8" t="s">
        <v>5</v>
      </c>
      <c r="B348" s="5"/>
      <c r="C348" s="74"/>
      <c r="D348" s="6"/>
      <c r="E348" s="6"/>
      <c r="F348" s="6"/>
      <c r="G348" s="6"/>
      <c r="H348" s="6"/>
      <c r="I348" s="6"/>
    </row>
    <row r="349" spans="1:9" x14ac:dyDescent="0.2">
      <c r="A349" s="8" t="s">
        <v>6</v>
      </c>
      <c r="B349" s="5"/>
      <c r="C349" s="74"/>
      <c r="D349" s="6"/>
      <c r="E349" s="6"/>
      <c r="F349" s="6"/>
      <c r="G349" s="6"/>
      <c r="H349" s="6"/>
      <c r="I349" s="6"/>
    </row>
    <row r="350" spans="1:9" x14ac:dyDescent="0.2">
      <c r="A350" s="8" t="s">
        <v>7</v>
      </c>
      <c r="B350" s="5"/>
      <c r="C350" s="74"/>
      <c r="D350" s="6"/>
      <c r="E350" s="6"/>
      <c r="F350" s="6"/>
      <c r="G350" s="6"/>
      <c r="H350" s="6"/>
      <c r="I350" s="6"/>
    </row>
    <row r="351" spans="1:9" x14ac:dyDescent="0.2">
      <c r="A351" s="8" t="s">
        <v>8</v>
      </c>
      <c r="B351" s="5"/>
      <c r="C351" s="74"/>
      <c r="D351" s="6"/>
      <c r="E351" s="6"/>
      <c r="F351" s="6"/>
      <c r="G351" s="6"/>
      <c r="H351" s="6"/>
      <c r="I351" s="6"/>
    </row>
    <row r="352" spans="1:9" x14ac:dyDescent="0.2">
      <c r="A352" s="8" t="s">
        <v>9</v>
      </c>
      <c r="B352" s="5"/>
      <c r="C352" s="74"/>
      <c r="D352" s="6"/>
      <c r="E352" s="6"/>
      <c r="F352" s="6"/>
      <c r="G352" s="6"/>
      <c r="H352" s="6"/>
      <c r="I352" s="6"/>
    </row>
    <row r="353" spans="1:9" x14ac:dyDescent="0.2">
      <c r="A353" s="8" t="s">
        <v>99</v>
      </c>
      <c r="B353" s="5"/>
      <c r="C353" s="74"/>
      <c r="D353" s="6"/>
      <c r="E353" s="6"/>
      <c r="F353" s="6"/>
      <c r="G353" s="6"/>
      <c r="H353" s="6"/>
      <c r="I353" s="6"/>
    </row>
    <row r="354" spans="1:9" x14ac:dyDescent="0.2">
      <c r="A354" s="312" t="s">
        <v>10</v>
      </c>
      <c r="B354" s="313"/>
      <c r="C354" s="313"/>
      <c r="D354" s="313"/>
      <c r="E354" s="314"/>
      <c r="F354" s="11">
        <f>SUM(F343:F353)</f>
        <v>0</v>
      </c>
      <c r="G354" s="11">
        <f>SUM(G343:G353)</f>
        <v>0</v>
      </c>
      <c r="H354" s="11">
        <f>SUM(H343:H353)</f>
        <v>0</v>
      </c>
      <c r="I354" s="11"/>
    </row>
    <row r="355" spans="1:9" x14ac:dyDescent="0.2">
      <c r="A355" s="8" t="s">
        <v>0</v>
      </c>
      <c r="B355" s="5">
        <f>B343+1</f>
        <v>46136</v>
      </c>
      <c r="C355" s="74"/>
      <c r="D355" s="6"/>
      <c r="E355" s="6"/>
      <c r="F355" s="6"/>
      <c r="G355" s="6"/>
      <c r="H355" s="6"/>
      <c r="I355" s="6"/>
    </row>
    <row r="356" spans="1:9" x14ac:dyDescent="0.2">
      <c r="A356" s="8" t="s">
        <v>1</v>
      </c>
      <c r="B356" s="5"/>
      <c r="C356" s="74"/>
      <c r="D356" s="6"/>
      <c r="E356" s="6"/>
      <c r="F356" s="6"/>
      <c r="G356" s="6"/>
      <c r="H356" s="6"/>
      <c r="I356" s="6"/>
    </row>
    <row r="357" spans="1:9" x14ac:dyDescent="0.2">
      <c r="A357" s="8" t="s">
        <v>2</v>
      </c>
      <c r="B357" s="5"/>
      <c r="C357" s="74"/>
      <c r="D357" s="6"/>
      <c r="E357" s="6"/>
      <c r="F357" s="6"/>
      <c r="G357" s="6"/>
      <c r="H357" s="6"/>
      <c r="I357" s="6"/>
    </row>
    <row r="358" spans="1:9" x14ac:dyDescent="0.2">
      <c r="A358" s="8" t="s">
        <v>3</v>
      </c>
      <c r="B358" s="5"/>
      <c r="C358" s="74"/>
      <c r="D358" s="6"/>
      <c r="E358" s="6"/>
      <c r="F358" s="6"/>
      <c r="G358" s="6"/>
      <c r="H358" s="6"/>
      <c r="I358" s="6"/>
    </row>
    <row r="359" spans="1:9" x14ac:dyDescent="0.2">
      <c r="A359" s="8" t="s">
        <v>4</v>
      </c>
      <c r="B359" s="5"/>
      <c r="C359" s="74"/>
      <c r="D359" s="6"/>
      <c r="E359" s="6"/>
      <c r="F359" s="6"/>
      <c r="G359" s="6"/>
      <c r="H359" s="6"/>
      <c r="I359" s="6"/>
    </row>
    <row r="360" spans="1:9" x14ac:dyDescent="0.2">
      <c r="A360" s="8" t="s">
        <v>5</v>
      </c>
      <c r="B360" s="5"/>
      <c r="C360" s="74"/>
      <c r="D360" s="6"/>
      <c r="E360" s="6"/>
      <c r="F360" s="6"/>
      <c r="G360" s="6"/>
      <c r="H360" s="6"/>
      <c r="I360" s="6"/>
    </row>
    <row r="361" spans="1:9" x14ac:dyDescent="0.2">
      <c r="A361" s="8" t="s">
        <v>6</v>
      </c>
      <c r="B361" s="5"/>
      <c r="C361" s="74"/>
      <c r="D361" s="6"/>
      <c r="E361" s="6"/>
      <c r="F361" s="6"/>
      <c r="G361" s="6"/>
      <c r="H361" s="6"/>
      <c r="I361" s="6"/>
    </row>
    <row r="362" spans="1:9" x14ac:dyDescent="0.2">
      <c r="A362" s="8" t="s">
        <v>7</v>
      </c>
      <c r="B362" s="5"/>
      <c r="C362" s="74"/>
      <c r="D362" s="6"/>
      <c r="E362" s="6"/>
      <c r="F362" s="6"/>
      <c r="G362" s="6"/>
      <c r="H362" s="6"/>
      <c r="I362" s="6"/>
    </row>
    <row r="363" spans="1:9" x14ac:dyDescent="0.2">
      <c r="A363" s="8" t="s">
        <v>8</v>
      </c>
      <c r="B363" s="5"/>
      <c r="C363" s="74"/>
      <c r="D363" s="6"/>
      <c r="E363" s="6"/>
      <c r="F363" s="6"/>
      <c r="G363" s="6"/>
      <c r="H363" s="6"/>
      <c r="I363" s="6"/>
    </row>
    <row r="364" spans="1:9" x14ac:dyDescent="0.2">
      <c r="A364" s="8" t="s">
        <v>9</v>
      </c>
      <c r="B364" s="5"/>
      <c r="C364" s="74"/>
      <c r="D364" s="6"/>
      <c r="E364" s="6"/>
      <c r="F364" s="6"/>
      <c r="G364" s="6"/>
      <c r="H364" s="6"/>
      <c r="I364" s="6"/>
    </row>
    <row r="365" spans="1:9" x14ac:dyDescent="0.2">
      <c r="A365" s="312" t="s">
        <v>10</v>
      </c>
      <c r="B365" s="313"/>
      <c r="C365" s="313"/>
      <c r="D365" s="313"/>
      <c r="E365" s="314"/>
      <c r="F365" s="11">
        <f>SUM(F355:F364)</f>
        <v>0</v>
      </c>
      <c r="G365" s="11">
        <f>SUM(G355:G364)</f>
        <v>0</v>
      </c>
      <c r="H365" s="11">
        <f>SUM(H355:H364)</f>
        <v>0</v>
      </c>
      <c r="I365" s="11"/>
    </row>
    <row r="366" spans="1:9" x14ac:dyDescent="0.2">
      <c r="A366" s="8" t="s">
        <v>0</v>
      </c>
      <c r="B366" s="5">
        <f>B355+1</f>
        <v>46137</v>
      </c>
      <c r="C366" s="74"/>
      <c r="D366" s="6"/>
      <c r="E366" s="6"/>
      <c r="F366" s="6"/>
      <c r="G366" s="6"/>
      <c r="H366" s="6"/>
      <c r="I366" s="6"/>
    </row>
    <row r="367" spans="1:9" x14ac:dyDescent="0.2">
      <c r="A367" s="8" t="s">
        <v>1</v>
      </c>
      <c r="B367" s="5"/>
      <c r="C367" s="74"/>
      <c r="D367" s="6"/>
      <c r="E367" s="6"/>
      <c r="F367" s="6"/>
      <c r="G367" s="6"/>
      <c r="H367" s="6"/>
      <c r="I367" s="6"/>
    </row>
    <row r="368" spans="1:9" x14ac:dyDescent="0.2">
      <c r="A368" s="8" t="s">
        <v>2</v>
      </c>
      <c r="B368" s="5"/>
      <c r="C368" s="74"/>
      <c r="D368" s="6"/>
      <c r="E368" s="6"/>
      <c r="F368" s="6"/>
      <c r="G368" s="6"/>
      <c r="H368" s="6"/>
      <c r="I368" s="6"/>
    </row>
    <row r="369" spans="1:9" x14ac:dyDescent="0.2">
      <c r="A369" s="8" t="s">
        <v>3</v>
      </c>
      <c r="B369" s="5"/>
      <c r="C369" s="75"/>
      <c r="D369" s="6"/>
      <c r="E369" s="6"/>
      <c r="F369" s="6"/>
      <c r="G369" s="6"/>
      <c r="H369" s="6"/>
      <c r="I369" s="6"/>
    </row>
    <row r="370" spans="1:9" x14ac:dyDescent="0.2">
      <c r="A370" s="8" t="s">
        <v>4</v>
      </c>
      <c r="B370" s="5"/>
      <c r="C370" s="74"/>
      <c r="D370" s="6"/>
      <c r="E370" s="6"/>
      <c r="F370" s="6"/>
      <c r="G370" s="6"/>
      <c r="H370" s="6"/>
      <c r="I370" s="6"/>
    </row>
    <row r="371" spans="1:9" x14ac:dyDescent="0.2">
      <c r="A371" s="8" t="s">
        <v>5</v>
      </c>
      <c r="B371" s="5"/>
      <c r="C371" s="74"/>
      <c r="D371" s="6"/>
      <c r="E371" s="6"/>
      <c r="F371" s="6"/>
      <c r="G371" s="6"/>
      <c r="H371" s="6"/>
      <c r="I371" s="6"/>
    </row>
    <row r="372" spans="1:9" x14ac:dyDescent="0.2">
      <c r="A372" s="8" t="s">
        <v>6</v>
      </c>
      <c r="B372" s="5"/>
      <c r="C372" s="74"/>
      <c r="D372" s="6"/>
      <c r="E372" s="6"/>
      <c r="F372" s="6"/>
      <c r="G372" s="6"/>
      <c r="H372" s="6"/>
      <c r="I372" s="6"/>
    </row>
    <row r="373" spans="1:9" x14ac:dyDescent="0.2">
      <c r="A373" s="8" t="s">
        <v>7</v>
      </c>
      <c r="B373" s="5"/>
      <c r="C373" s="74"/>
      <c r="D373" s="6"/>
      <c r="E373" s="6"/>
      <c r="F373" s="6"/>
      <c r="G373" s="6"/>
      <c r="H373" s="6"/>
      <c r="I373" s="6"/>
    </row>
    <row r="374" spans="1:9" x14ac:dyDescent="0.2">
      <c r="A374" s="8" t="s">
        <v>8</v>
      </c>
      <c r="B374" s="5"/>
      <c r="C374" s="74"/>
      <c r="D374" s="6"/>
      <c r="E374" s="6"/>
      <c r="F374" s="6"/>
      <c r="G374" s="6"/>
      <c r="H374" s="6"/>
      <c r="I374" s="6"/>
    </row>
    <row r="375" spans="1:9" x14ac:dyDescent="0.2">
      <c r="A375" s="8" t="s">
        <v>9</v>
      </c>
      <c r="B375" s="5"/>
      <c r="C375" s="74"/>
      <c r="D375" s="6"/>
      <c r="E375" s="6"/>
      <c r="F375" s="6"/>
      <c r="G375" s="6"/>
      <c r="H375" s="6"/>
      <c r="I375" s="6"/>
    </row>
    <row r="376" spans="1:9" x14ac:dyDescent="0.2">
      <c r="A376" s="312" t="s">
        <v>10</v>
      </c>
      <c r="B376" s="313"/>
      <c r="C376" s="313"/>
      <c r="D376" s="313"/>
      <c r="E376" s="314"/>
      <c r="F376" s="11">
        <f>SUM(F366:F375)</f>
        <v>0</v>
      </c>
      <c r="G376" s="11">
        <f>SUM(G366:G375)</f>
        <v>0</v>
      </c>
      <c r="H376" s="11">
        <f>SUM(H366:H375)</f>
        <v>0</v>
      </c>
      <c r="I376" s="11"/>
    </row>
    <row r="377" spans="1:9" x14ac:dyDescent="0.2">
      <c r="A377" s="8" t="s">
        <v>0</v>
      </c>
      <c r="B377" s="5">
        <f>B366+1</f>
        <v>46138</v>
      </c>
      <c r="C377" s="75"/>
      <c r="D377" s="6"/>
      <c r="E377" s="6"/>
      <c r="F377" s="6"/>
      <c r="G377" s="6"/>
      <c r="H377" s="6"/>
      <c r="I377" s="6"/>
    </row>
    <row r="378" spans="1:9" x14ac:dyDescent="0.2">
      <c r="A378" s="8" t="s">
        <v>1</v>
      </c>
      <c r="B378" s="5"/>
      <c r="C378" s="75"/>
      <c r="D378" s="6"/>
      <c r="E378" s="6"/>
      <c r="F378" s="6"/>
      <c r="G378" s="6"/>
      <c r="H378" s="6"/>
      <c r="I378" s="6"/>
    </row>
    <row r="379" spans="1:9" x14ac:dyDescent="0.2">
      <c r="A379" s="8" t="s">
        <v>2</v>
      </c>
      <c r="B379" s="5"/>
      <c r="C379" s="75"/>
      <c r="D379" s="6"/>
      <c r="E379" s="6"/>
      <c r="F379" s="6"/>
      <c r="G379" s="6"/>
      <c r="H379" s="6"/>
      <c r="I379" s="6"/>
    </row>
    <row r="380" spans="1:9" x14ac:dyDescent="0.2">
      <c r="A380" s="8" t="s">
        <v>3</v>
      </c>
      <c r="B380" s="5"/>
      <c r="C380" s="75"/>
      <c r="D380" s="6"/>
      <c r="E380" s="6"/>
      <c r="F380" s="6"/>
      <c r="G380" s="6"/>
      <c r="H380" s="6"/>
      <c r="I380" s="6"/>
    </row>
    <row r="381" spans="1:9" x14ac:dyDescent="0.2">
      <c r="A381" s="8" t="s">
        <v>4</v>
      </c>
      <c r="B381" s="5"/>
      <c r="C381" s="75"/>
      <c r="D381" s="6"/>
      <c r="E381" s="6"/>
      <c r="F381" s="6"/>
      <c r="G381" s="6"/>
      <c r="H381" s="6"/>
      <c r="I381" s="6"/>
    </row>
    <row r="382" spans="1:9" x14ac:dyDescent="0.2">
      <c r="A382" s="8" t="s">
        <v>5</v>
      </c>
      <c r="B382" s="5"/>
      <c r="C382" s="75"/>
      <c r="D382" s="6"/>
      <c r="E382" s="6"/>
      <c r="F382" s="6"/>
      <c r="G382" s="6"/>
      <c r="H382" s="6"/>
      <c r="I382" s="6"/>
    </row>
    <row r="383" spans="1:9" x14ac:dyDescent="0.2">
      <c r="A383" s="8" t="s">
        <v>6</v>
      </c>
      <c r="B383" s="5"/>
      <c r="C383" s="75"/>
      <c r="D383" s="6"/>
      <c r="E383" s="6"/>
      <c r="F383" s="6"/>
      <c r="G383" s="6"/>
      <c r="H383" s="6"/>
      <c r="I383" s="6"/>
    </row>
    <row r="384" spans="1:9" x14ac:dyDescent="0.2">
      <c r="A384" s="8" t="s">
        <v>7</v>
      </c>
      <c r="B384" s="5"/>
      <c r="C384" s="74"/>
      <c r="D384" s="6"/>
      <c r="E384" s="6"/>
      <c r="F384" s="6"/>
      <c r="G384" s="6"/>
      <c r="H384" s="6"/>
      <c r="I384" s="6"/>
    </row>
    <row r="385" spans="1:9" x14ac:dyDescent="0.2">
      <c r="A385" s="8" t="s">
        <v>8</v>
      </c>
      <c r="B385" s="5"/>
      <c r="C385" s="74"/>
      <c r="D385" s="6"/>
      <c r="E385" s="6"/>
      <c r="F385" s="6"/>
      <c r="G385" s="6"/>
      <c r="H385" s="6"/>
      <c r="I385" s="6"/>
    </row>
    <row r="386" spans="1:9" x14ac:dyDescent="0.2">
      <c r="A386" s="8" t="s">
        <v>9</v>
      </c>
      <c r="B386" s="5"/>
      <c r="C386" s="74"/>
      <c r="D386" s="6"/>
      <c r="E386" s="6"/>
      <c r="F386" s="6"/>
      <c r="G386" s="6"/>
      <c r="H386" s="6"/>
      <c r="I386" s="6"/>
    </row>
    <row r="387" spans="1:9" x14ac:dyDescent="0.2">
      <c r="A387" s="312" t="s">
        <v>10</v>
      </c>
      <c r="B387" s="313"/>
      <c r="C387" s="313"/>
      <c r="D387" s="313"/>
      <c r="E387" s="314"/>
      <c r="F387" s="11">
        <f>SUM(F377:F386)</f>
        <v>0</v>
      </c>
      <c r="G387" s="11">
        <f>SUM(G377:G386)</f>
        <v>0</v>
      </c>
      <c r="H387" s="11">
        <f>SUM(H377:H386)</f>
        <v>0</v>
      </c>
      <c r="I387" s="11"/>
    </row>
    <row r="388" spans="1:9" x14ac:dyDescent="0.2">
      <c r="A388" s="8" t="s">
        <v>0</v>
      </c>
      <c r="B388" s="5">
        <f>B377+1</f>
        <v>46139</v>
      </c>
      <c r="C388" s="75"/>
      <c r="D388" s="6"/>
      <c r="E388" s="6"/>
      <c r="F388" s="6"/>
      <c r="G388" s="6"/>
      <c r="H388" s="6"/>
      <c r="I388" s="6"/>
    </row>
    <row r="389" spans="1:9" x14ac:dyDescent="0.2">
      <c r="A389" s="8" t="s">
        <v>1</v>
      </c>
      <c r="B389" s="5"/>
      <c r="C389" s="75"/>
      <c r="D389" s="6"/>
      <c r="E389" s="6"/>
      <c r="F389" s="6"/>
      <c r="G389" s="6"/>
      <c r="H389" s="6"/>
      <c r="I389" s="6"/>
    </row>
    <row r="390" spans="1:9" x14ac:dyDescent="0.2">
      <c r="A390" s="8" t="s">
        <v>2</v>
      </c>
      <c r="B390" s="5"/>
      <c r="C390" s="75"/>
      <c r="D390" s="6"/>
      <c r="E390" s="6"/>
      <c r="F390" s="6"/>
      <c r="G390" s="6"/>
      <c r="H390" s="6"/>
      <c r="I390" s="6"/>
    </row>
    <row r="391" spans="1:9" x14ac:dyDescent="0.2">
      <c r="A391" s="8" t="s">
        <v>3</v>
      </c>
      <c r="B391" s="5"/>
      <c r="C391" s="75"/>
      <c r="D391" s="6"/>
      <c r="E391" s="6"/>
      <c r="F391" s="6"/>
      <c r="G391" s="6"/>
      <c r="H391" s="6"/>
      <c r="I391" s="6"/>
    </row>
    <row r="392" spans="1:9" x14ac:dyDescent="0.2">
      <c r="A392" s="8" t="s">
        <v>4</v>
      </c>
      <c r="B392" s="5"/>
      <c r="C392" s="75"/>
      <c r="D392" s="6"/>
      <c r="E392" s="6"/>
      <c r="F392" s="6"/>
      <c r="G392" s="6"/>
      <c r="H392" s="6"/>
      <c r="I392" s="6"/>
    </row>
    <row r="393" spans="1:9" x14ac:dyDescent="0.2">
      <c r="A393" s="8" t="s">
        <v>5</v>
      </c>
      <c r="B393" s="5"/>
      <c r="C393" s="75"/>
      <c r="D393" s="6"/>
      <c r="E393" s="6"/>
      <c r="F393" s="6"/>
      <c r="G393" s="6"/>
      <c r="H393" s="6"/>
      <c r="I393" s="6"/>
    </row>
    <row r="394" spans="1:9" x14ac:dyDescent="0.2">
      <c r="A394" s="8" t="s">
        <v>6</v>
      </c>
      <c r="B394" s="5"/>
      <c r="C394" s="74"/>
      <c r="D394" s="6"/>
      <c r="E394" s="6"/>
      <c r="F394" s="6"/>
      <c r="G394" s="6"/>
      <c r="H394" s="6"/>
      <c r="I394" s="6"/>
    </row>
    <row r="395" spans="1:9" x14ac:dyDescent="0.2">
      <c r="A395" s="8" t="s">
        <v>7</v>
      </c>
      <c r="B395" s="5"/>
      <c r="C395" s="74"/>
      <c r="D395" s="6"/>
      <c r="E395" s="6"/>
      <c r="F395" s="6"/>
      <c r="G395" s="6"/>
      <c r="H395" s="6"/>
      <c r="I395" s="6"/>
    </row>
    <row r="396" spans="1:9" x14ac:dyDescent="0.2">
      <c r="A396" s="8" t="s">
        <v>8</v>
      </c>
      <c r="B396" s="5"/>
      <c r="C396" s="74"/>
      <c r="D396" s="6"/>
      <c r="E396" s="6"/>
      <c r="F396" s="6"/>
      <c r="G396" s="6"/>
      <c r="H396" s="6"/>
      <c r="I396" s="6"/>
    </row>
    <row r="397" spans="1:9" x14ac:dyDescent="0.2">
      <c r="A397" s="8" t="s">
        <v>9</v>
      </c>
      <c r="B397" s="5"/>
      <c r="C397" s="74"/>
      <c r="D397" s="6"/>
      <c r="E397" s="6"/>
      <c r="F397" s="6"/>
      <c r="G397" s="6"/>
      <c r="H397" s="6"/>
      <c r="I397" s="6"/>
    </row>
    <row r="398" spans="1:9" x14ac:dyDescent="0.2">
      <c r="A398" s="312" t="s">
        <v>10</v>
      </c>
      <c r="B398" s="313"/>
      <c r="C398" s="313"/>
      <c r="D398" s="313"/>
      <c r="E398" s="314"/>
      <c r="F398" s="11">
        <f>SUM(F388:F397)</f>
        <v>0</v>
      </c>
      <c r="G398" s="11">
        <f>SUM(G388:G397)</f>
        <v>0</v>
      </c>
      <c r="H398" s="11">
        <f>SUM(H388:H397)</f>
        <v>0</v>
      </c>
      <c r="I398" s="11"/>
    </row>
    <row r="399" spans="1:9" x14ac:dyDescent="0.2">
      <c r="A399" s="8" t="s">
        <v>0</v>
      </c>
      <c r="B399" s="5">
        <f>B388+1</f>
        <v>46140</v>
      </c>
      <c r="C399" s="75"/>
      <c r="D399" s="6"/>
      <c r="E399" s="6"/>
      <c r="F399" s="6"/>
      <c r="G399" s="6"/>
      <c r="H399" s="6"/>
      <c r="I399" s="6"/>
    </row>
    <row r="400" spans="1:9" x14ac:dyDescent="0.2">
      <c r="A400" s="8" t="s">
        <v>1</v>
      </c>
      <c r="B400" s="5"/>
      <c r="C400" s="75"/>
      <c r="D400" s="6"/>
      <c r="E400" s="6"/>
      <c r="F400" s="6"/>
      <c r="G400" s="6"/>
      <c r="H400" s="6"/>
      <c r="I400" s="6"/>
    </row>
    <row r="401" spans="1:9" x14ac:dyDescent="0.2">
      <c r="A401" s="8" t="s">
        <v>2</v>
      </c>
      <c r="B401" s="5"/>
      <c r="C401" s="75"/>
      <c r="D401" s="6"/>
      <c r="E401" s="6"/>
      <c r="F401" s="6"/>
      <c r="G401" s="6"/>
      <c r="H401" s="6"/>
      <c r="I401" s="6"/>
    </row>
    <row r="402" spans="1:9" x14ac:dyDescent="0.2">
      <c r="A402" s="8" t="s">
        <v>3</v>
      </c>
      <c r="B402" s="5"/>
      <c r="C402" s="75"/>
      <c r="D402" s="6"/>
      <c r="E402" s="6"/>
      <c r="F402" s="6"/>
      <c r="G402" s="6"/>
      <c r="H402" s="6"/>
      <c r="I402" s="6"/>
    </row>
    <row r="403" spans="1:9" x14ac:dyDescent="0.2">
      <c r="A403" s="8" t="s">
        <v>4</v>
      </c>
      <c r="B403" s="5"/>
      <c r="C403" s="75"/>
      <c r="D403" s="6"/>
      <c r="E403" s="6"/>
      <c r="F403" s="6"/>
      <c r="G403" s="6"/>
      <c r="H403" s="6"/>
      <c r="I403" s="6"/>
    </row>
    <row r="404" spans="1:9" x14ac:dyDescent="0.2">
      <c r="A404" s="8" t="s">
        <v>5</v>
      </c>
      <c r="B404" s="5"/>
      <c r="C404" s="75"/>
      <c r="D404" s="6"/>
      <c r="E404" s="6"/>
      <c r="F404" s="6"/>
      <c r="G404" s="6"/>
      <c r="H404" s="6"/>
      <c r="I404" s="6"/>
    </row>
    <row r="405" spans="1:9" x14ac:dyDescent="0.2">
      <c r="A405" s="8" t="s">
        <v>6</v>
      </c>
      <c r="B405" s="5"/>
      <c r="C405" s="75"/>
      <c r="D405" s="6"/>
      <c r="E405" s="6"/>
      <c r="F405" s="6"/>
      <c r="G405" s="6"/>
      <c r="H405" s="6"/>
      <c r="I405" s="6"/>
    </row>
    <row r="406" spans="1:9" x14ac:dyDescent="0.2">
      <c r="A406" s="8" t="s">
        <v>7</v>
      </c>
      <c r="B406" s="5"/>
      <c r="C406" s="75"/>
      <c r="D406" s="6"/>
      <c r="E406" s="6"/>
      <c r="F406" s="6"/>
      <c r="G406" s="6"/>
      <c r="H406" s="6"/>
      <c r="I406" s="6"/>
    </row>
    <row r="407" spans="1:9" x14ac:dyDescent="0.2">
      <c r="A407" s="8" t="s">
        <v>8</v>
      </c>
      <c r="B407" s="5"/>
      <c r="C407" s="75"/>
      <c r="D407" s="6"/>
      <c r="E407" s="6"/>
      <c r="F407" s="6"/>
      <c r="G407" s="6"/>
      <c r="H407" s="6"/>
      <c r="I407" s="6"/>
    </row>
    <row r="408" spans="1:9" x14ac:dyDescent="0.2">
      <c r="A408" s="8" t="s">
        <v>9</v>
      </c>
      <c r="B408" s="5"/>
      <c r="C408" s="75"/>
      <c r="D408" s="6"/>
      <c r="E408" s="6"/>
      <c r="F408" s="6"/>
      <c r="G408" s="6"/>
      <c r="H408" s="6"/>
      <c r="I408" s="6"/>
    </row>
    <row r="409" spans="1:9" x14ac:dyDescent="0.2">
      <c r="A409" s="312" t="s">
        <v>10</v>
      </c>
      <c r="B409" s="313"/>
      <c r="C409" s="313"/>
      <c r="D409" s="313"/>
      <c r="E409" s="314"/>
      <c r="F409" s="11">
        <f>SUM(F399:F408)</f>
        <v>0</v>
      </c>
      <c r="G409" s="11">
        <f>SUM(G399:G408)</f>
        <v>0</v>
      </c>
      <c r="H409" s="11">
        <f>SUM(H399:H408)</f>
        <v>0</v>
      </c>
      <c r="I409" s="11"/>
    </row>
    <row r="410" spans="1:9" x14ac:dyDescent="0.2">
      <c r="A410" s="8" t="s">
        <v>0</v>
      </c>
      <c r="B410" s="5"/>
      <c r="C410" s="74"/>
      <c r="D410" s="6"/>
      <c r="E410" s="6"/>
      <c r="F410" s="6"/>
      <c r="G410" s="6"/>
      <c r="H410" s="6"/>
      <c r="I410" s="6"/>
    </row>
    <row r="411" spans="1:9" x14ac:dyDescent="0.2">
      <c r="A411" s="8" t="s">
        <v>1</v>
      </c>
      <c r="B411" s="5"/>
      <c r="C411" s="74"/>
      <c r="D411" s="6"/>
      <c r="E411" s="6"/>
      <c r="F411" s="6"/>
      <c r="G411" s="6"/>
      <c r="H411" s="6"/>
      <c r="I411" s="6"/>
    </row>
    <row r="412" spans="1:9" x14ac:dyDescent="0.2">
      <c r="A412" s="8" t="s">
        <v>2</v>
      </c>
      <c r="B412" s="5"/>
      <c r="C412" s="74"/>
      <c r="D412" s="6"/>
      <c r="E412" s="6"/>
      <c r="F412" s="6"/>
      <c r="G412" s="6"/>
      <c r="H412" s="6"/>
      <c r="I412" s="6"/>
    </row>
    <row r="413" spans="1:9" x14ac:dyDescent="0.2">
      <c r="A413" s="8" t="s">
        <v>3</v>
      </c>
      <c r="B413" s="5"/>
      <c r="C413" s="74"/>
      <c r="D413" s="6"/>
      <c r="E413" s="6"/>
      <c r="F413" s="6"/>
      <c r="G413" s="6"/>
      <c r="H413" s="6"/>
      <c r="I413" s="6"/>
    </row>
    <row r="414" spans="1:9" x14ac:dyDescent="0.2">
      <c r="A414" s="8" t="s">
        <v>4</v>
      </c>
      <c r="B414" s="5"/>
      <c r="C414" s="74"/>
      <c r="D414" s="6"/>
      <c r="E414" s="6"/>
      <c r="F414" s="6"/>
      <c r="G414" s="6"/>
      <c r="H414" s="6"/>
      <c r="I414" s="6"/>
    </row>
    <row r="415" spans="1:9" x14ac:dyDescent="0.2">
      <c r="A415" s="8" t="s">
        <v>5</v>
      </c>
      <c r="B415" s="5"/>
      <c r="C415" s="74"/>
      <c r="D415" s="6"/>
      <c r="E415" s="6"/>
      <c r="F415" s="6"/>
      <c r="G415" s="6"/>
      <c r="H415" s="6"/>
      <c r="I415" s="6"/>
    </row>
    <row r="416" spans="1:9" x14ac:dyDescent="0.2">
      <c r="A416" s="8" t="s">
        <v>6</v>
      </c>
      <c r="B416" s="5"/>
      <c r="C416" s="74"/>
      <c r="D416" s="6"/>
      <c r="E416" s="6"/>
      <c r="F416" s="6"/>
      <c r="G416" s="6"/>
      <c r="H416" s="6"/>
      <c r="I416" s="6"/>
    </row>
    <row r="417" spans="1:9" x14ac:dyDescent="0.2">
      <c r="A417" s="8" t="s">
        <v>7</v>
      </c>
      <c r="B417" s="5"/>
      <c r="C417" s="74"/>
      <c r="D417" s="6"/>
      <c r="E417" s="6"/>
      <c r="F417" s="6"/>
      <c r="G417" s="6"/>
      <c r="H417" s="6"/>
      <c r="I417" s="6"/>
    </row>
    <row r="418" spans="1:9" x14ac:dyDescent="0.2">
      <c r="A418" s="8" t="s">
        <v>8</v>
      </c>
      <c r="B418" s="5"/>
      <c r="C418" s="74"/>
      <c r="D418" s="6"/>
      <c r="E418" s="6"/>
      <c r="F418" s="6"/>
      <c r="G418" s="6"/>
      <c r="H418" s="6"/>
      <c r="I418" s="6"/>
    </row>
    <row r="419" spans="1:9" x14ac:dyDescent="0.2">
      <c r="A419" s="8" t="s">
        <v>9</v>
      </c>
      <c r="B419" s="5"/>
      <c r="C419" s="74"/>
      <c r="D419" s="6"/>
      <c r="E419" s="6"/>
      <c r="F419" s="6"/>
      <c r="G419" s="6"/>
      <c r="H419" s="6"/>
      <c r="I419" s="6"/>
    </row>
    <row r="420" spans="1:9" x14ac:dyDescent="0.2">
      <c r="A420" s="312" t="s">
        <v>10</v>
      </c>
      <c r="B420" s="313"/>
      <c r="C420" s="313"/>
      <c r="D420" s="313"/>
      <c r="E420" s="314"/>
      <c r="F420" s="11">
        <f>SUM(F410:F419)</f>
        <v>0</v>
      </c>
      <c r="G420" s="11">
        <f>SUM(G410:G419)</f>
        <v>0</v>
      </c>
      <c r="H420" s="11">
        <f>SUM(H410:H419)</f>
        <v>0</v>
      </c>
      <c r="I420" s="11"/>
    </row>
    <row r="421" spans="1:9" s="25" customFormat="1" ht="18" x14ac:dyDescent="0.2">
      <c r="A421" s="315" t="s">
        <v>39</v>
      </c>
      <c r="B421" s="316"/>
      <c r="C421" s="316"/>
      <c r="D421" s="316"/>
      <c r="E421" s="317"/>
      <c r="F421" s="22">
        <f>F354+F365+F376+F387+F398+F409+F420+F336</f>
        <v>3</v>
      </c>
      <c r="G421" s="22">
        <f>G354+G365+G376+G387+G398+G409+G420+G336</f>
        <v>0</v>
      </c>
      <c r="H421" s="22">
        <f>H354+H365+H376+H387+H398+H409+H420+H336</f>
        <v>15</v>
      </c>
      <c r="I421" s="22"/>
    </row>
  </sheetData>
  <mergeCells count="70">
    <mergeCell ref="A409:E409"/>
    <mergeCell ref="A420:E420"/>
    <mergeCell ref="A421:E421"/>
    <mergeCell ref="F341:H341"/>
    <mergeCell ref="A354:E354"/>
    <mergeCell ref="A365:E365"/>
    <mergeCell ref="A376:E376"/>
    <mergeCell ref="A387:E387"/>
    <mergeCell ref="A398:E398"/>
    <mergeCell ref="A336:E336"/>
    <mergeCell ref="A337:I337"/>
    <mergeCell ref="A338:E338"/>
    <mergeCell ref="A339:C339"/>
    <mergeCell ref="A340:C340"/>
    <mergeCell ref="F340:G340"/>
    <mergeCell ref="A335:E335"/>
    <mergeCell ref="A254:E254"/>
    <mergeCell ref="A255:C255"/>
    <mergeCell ref="A256:C256"/>
    <mergeCell ref="F256:G256"/>
    <mergeCell ref="F257:H257"/>
    <mergeCell ref="A269:E269"/>
    <mergeCell ref="A280:E280"/>
    <mergeCell ref="A291:E291"/>
    <mergeCell ref="A302:E302"/>
    <mergeCell ref="A313:E313"/>
    <mergeCell ref="A324:E324"/>
    <mergeCell ref="A253:I253"/>
    <mergeCell ref="A172:C172"/>
    <mergeCell ref="F172:G172"/>
    <mergeCell ref="F173:H173"/>
    <mergeCell ref="A185:E185"/>
    <mergeCell ref="A196:E196"/>
    <mergeCell ref="A207:E207"/>
    <mergeCell ref="A218:E218"/>
    <mergeCell ref="A229:E229"/>
    <mergeCell ref="A240:E240"/>
    <mergeCell ref="A251:E251"/>
    <mergeCell ref="A252:E252"/>
    <mergeCell ref="A171:C171"/>
    <mergeCell ref="F89:H89"/>
    <mergeCell ref="A101:E101"/>
    <mergeCell ref="A112:E112"/>
    <mergeCell ref="A123:E123"/>
    <mergeCell ref="A134:E134"/>
    <mergeCell ref="A145:E145"/>
    <mergeCell ref="A156:E156"/>
    <mergeCell ref="A167:E167"/>
    <mergeCell ref="A168:E168"/>
    <mergeCell ref="A169:I169"/>
    <mergeCell ref="A170:E170"/>
    <mergeCell ref="A88:C88"/>
    <mergeCell ref="F88:G88"/>
    <mergeCell ref="A17:E17"/>
    <mergeCell ref="A28:E28"/>
    <mergeCell ref="A39:E39"/>
    <mergeCell ref="A50:E50"/>
    <mergeCell ref="A61:E61"/>
    <mergeCell ref="A72:E72"/>
    <mergeCell ref="A83:E83"/>
    <mergeCell ref="A84:E84"/>
    <mergeCell ref="A85:I85"/>
    <mergeCell ref="A86:E86"/>
    <mergeCell ref="A87:C87"/>
    <mergeCell ref="F5:H5"/>
    <mergeCell ref="A1:I1"/>
    <mergeCell ref="A2:E2"/>
    <mergeCell ref="A3:C3"/>
    <mergeCell ref="A4:C4"/>
    <mergeCell ref="F4:G4"/>
  </mergeCells>
  <pageMargins left="0.59055118110236227" right="0.39370078740157483" top="0.59055118110236227" bottom="0.39370078740157483" header="0.31496062992125984" footer="0.31496062992125984"/>
  <pageSetup paperSize="9" scale="99" fitToHeight="5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1"/>
  <sheetViews>
    <sheetView zoomScale="150" zoomScaleNormal="150" workbookViewId="0">
      <selection activeCell="F6" sqref="F6:G6"/>
    </sheetView>
  </sheetViews>
  <sheetFormatPr defaultColWidth="9" defaultRowHeight="17.25" x14ac:dyDescent="0.2"/>
  <cols>
    <col min="1" max="1" width="4" style="1" bestFit="1" customWidth="1"/>
    <col min="2" max="2" width="10.625" style="7" customWidth="1"/>
    <col min="3" max="3" width="11.25" style="76" customWidth="1"/>
    <col min="4" max="4" width="15.625" style="1" customWidth="1"/>
    <col min="5" max="5" width="10.625" style="1" customWidth="1"/>
    <col min="6" max="8" width="7.625" style="1" customWidth="1"/>
    <col min="9" max="9" width="18" style="1" customWidth="1"/>
    <col min="10" max="16384" width="9" style="1"/>
  </cols>
  <sheetData>
    <row r="1" spans="1:9" ht="21.95" customHeight="1" x14ac:dyDescent="0.2">
      <c r="A1" s="319" t="s">
        <v>14</v>
      </c>
      <c r="B1" s="319"/>
      <c r="C1" s="319"/>
      <c r="D1" s="319"/>
      <c r="E1" s="319"/>
      <c r="F1" s="319"/>
      <c r="G1" s="319"/>
      <c r="H1" s="319"/>
      <c r="I1" s="319"/>
    </row>
    <row r="2" spans="1:9" s="53" customFormat="1" ht="20.100000000000001" customHeight="1" x14ac:dyDescent="0.2">
      <c r="A2" s="323" t="s">
        <v>86</v>
      </c>
      <c r="B2" s="323"/>
      <c r="C2" s="323"/>
      <c r="D2" s="323"/>
      <c r="E2" s="323"/>
      <c r="F2" s="104" t="str">
        <f>'1'!$F$2</f>
        <v>เมษายน</v>
      </c>
      <c r="G2" s="50" t="s">
        <v>87</v>
      </c>
      <c r="H2" s="51">
        <f>'1'!$H$2</f>
        <v>2569</v>
      </c>
      <c r="I2" s="52"/>
    </row>
    <row r="3" spans="1:9" s="3" customFormat="1" ht="20.100000000000001" customHeight="1" x14ac:dyDescent="0.4">
      <c r="A3" s="318" t="s">
        <v>38</v>
      </c>
      <c r="B3" s="318"/>
      <c r="C3" s="318"/>
      <c r="D3" s="2"/>
      <c r="F3" s="4"/>
      <c r="G3" s="4"/>
      <c r="H3" s="4" t="s">
        <v>21</v>
      </c>
      <c r="I3" s="41">
        <v>1</v>
      </c>
    </row>
    <row r="4" spans="1:9" s="49" customFormat="1" ht="20.100000000000001" customHeight="1" x14ac:dyDescent="0.35">
      <c r="A4" s="327" t="s">
        <v>68</v>
      </c>
      <c r="B4" s="327"/>
      <c r="C4" s="327"/>
      <c r="D4" s="46"/>
      <c r="E4" s="47" t="s">
        <v>81</v>
      </c>
      <c r="F4" s="328">
        <f>'1'!$F$4</f>
        <v>46107</v>
      </c>
      <c r="G4" s="328"/>
      <c r="H4" s="47" t="s">
        <v>82</v>
      </c>
      <c r="I4" s="48">
        <f>'1'!$I$4</f>
        <v>46136</v>
      </c>
    </row>
    <row r="5" spans="1:9" x14ac:dyDescent="0.2">
      <c r="A5" s="12" t="s">
        <v>23</v>
      </c>
      <c r="B5" s="13" t="s">
        <v>11</v>
      </c>
      <c r="C5" s="72" t="s">
        <v>26</v>
      </c>
      <c r="D5" s="12" t="s">
        <v>16</v>
      </c>
      <c r="E5" s="12" t="s">
        <v>17</v>
      </c>
      <c r="F5" s="310" t="s">
        <v>46</v>
      </c>
      <c r="G5" s="310"/>
      <c r="H5" s="310"/>
      <c r="I5" s="12" t="s">
        <v>19</v>
      </c>
    </row>
    <row r="6" spans="1:9" x14ac:dyDescent="0.2">
      <c r="A6" s="15"/>
      <c r="B6" s="16"/>
      <c r="C6" s="73"/>
      <c r="D6" s="15"/>
      <c r="E6" s="15"/>
      <c r="F6" s="21" t="s">
        <v>113</v>
      </c>
      <c r="G6" s="21" t="s">
        <v>114</v>
      </c>
      <c r="H6" s="21" t="s">
        <v>20</v>
      </c>
      <c r="I6" s="15"/>
    </row>
    <row r="7" spans="1:9" x14ac:dyDescent="0.2">
      <c r="A7" s="8" t="s">
        <v>0</v>
      </c>
      <c r="B7" s="5">
        <f>'9'!B7</f>
        <v>46107</v>
      </c>
      <c r="C7" s="74"/>
      <c r="D7" s="6"/>
      <c r="E7" s="6"/>
      <c r="F7" s="6"/>
      <c r="G7" s="6"/>
      <c r="H7" s="6"/>
      <c r="I7" s="6"/>
    </row>
    <row r="8" spans="1:9" x14ac:dyDescent="0.2">
      <c r="A8" s="8" t="s">
        <v>1</v>
      </c>
      <c r="B8" s="5"/>
      <c r="C8" s="74"/>
      <c r="D8" s="6"/>
      <c r="E8" s="6"/>
      <c r="F8" s="6"/>
      <c r="G8" s="6"/>
      <c r="H8" s="6"/>
      <c r="I8" s="6"/>
    </row>
    <row r="9" spans="1:9" x14ac:dyDescent="0.2">
      <c r="A9" s="8" t="s">
        <v>2</v>
      </c>
      <c r="B9" s="5"/>
      <c r="C9" s="74"/>
      <c r="D9" s="6"/>
      <c r="E9" s="6"/>
      <c r="F9" s="54"/>
      <c r="G9" s="6"/>
      <c r="H9" s="6"/>
      <c r="I9" s="6"/>
    </row>
    <row r="10" spans="1:9" x14ac:dyDescent="0.2">
      <c r="A10" s="8" t="s">
        <v>3</v>
      </c>
      <c r="B10" s="5"/>
      <c r="C10" s="74"/>
      <c r="D10" s="6"/>
      <c r="E10" s="6"/>
      <c r="F10" s="6"/>
      <c r="G10" s="6"/>
      <c r="H10" s="6"/>
      <c r="I10" s="6"/>
    </row>
    <row r="11" spans="1:9" x14ac:dyDescent="0.2">
      <c r="A11" s="8" t="s">
        <v>4</v>
      </c>
      <c r="B11" s="5"/>
      <c r="C11" s="74"/>
      <c r="D11" s="6"/>
      <c r="E11" s="6"/>
      <c r="F11" s="6"/>
      <c r="G11" s="6"/>
      <c r="H11" s="6"/>
      <c r="I11" s="6"/>
    </row>
    <row r="12" spans="1:9" x14ac:dyDescent="0.2">
      <c r="A12" s="8" t="s">
        <v>5</v>
      </c>
      <c r="B12" s="5"/>
      <c r="C12" s="74"/>
      <c r="D12" s="6"/>
      <c r="E12" s="6"/>
      <c r="F12" s="6"/>
      <c r="G12" s="6"/>
      <c r="H12" s="6"/>
      <c r="I12" s="6"/>
    </row>
    <row r="13" spans="1:9" x14ac:dyDescent="0.2">
      <c r="A13" s="8" t="s">
        <v>6</v>
      </c>
      <c r="B13" s="5"/>
      <c r="C13" s="74"/>
      <c r="D13" s="6"/>
      <c r="E13" s="6"/>
      <c r="F13" s="6"/>
      <c r="G13" s="6"/>
      <c r="H13" s="6"/>
      <c r="I13" s="6"/>
    </row>
    <row r="14" spans="1:9" x14ac:dyDescent="0.2">
      <c r="A14" s="8" t="s">
        <v>7</v>
      </c>
      <c r="B14" s="5"/>
      <c r="C14" s="74"/>
      <c r="D14" s="6"/>
      <c r="E14" s="6"/>
      <c r="F14" s="6"/>
      <c r="G14" s="6"/>
      <c r="H14" s="6"/>
      <c r="I14" s="6"/>
    </row>
    <row r="15" spans="1:9" x14ac:dyDescent="0.2">
      <c r="A15" s="8" t="s">
        <v>8</v>
      </c>
      <c r="B15" s="5"/>
      <c r="C15" s="74"/>
      <c r="D15" s="6"/>
      <c r="E15" s="6"/>
      <c r="F15" s="6"/>
      <c r="G15" s="6"/>
      <c r="H15" s="6"/>
      <c r="I15" s="6"/>
    </row>
    <row r="16" spans="1:9" x14ac:dyDescent="0.2">
      <c r="A16" s="8" t="s">
        <v>9</v>
      </c>
      <c r="B16" s="5"/>
      <c r="C16" s="74"/>
      <c r="D16" s="6"/>
      <c r="E16" s="6"/>
      <c r="F16" s="6"/>
      <c r="G16" s="6"/>
      <c r="H16" s="6"/>
      <c r="I16" s="6"/>
    </row>
    <row r="17" spans="1:9" x14ac:dyDescent="0.2">
      <c r="A17" s="312" t="s">
        <v>10</v>
      </c>
      <c r="B17" s="313"/>
      <c r="C17" s="313"/>
      <c r="D17" s="313"/>
      <c r="E17" s="314"/>
      <c r="F17" s="11">
        <f>SUM(F7:F16)</f>
        <v>0</v>
      </c>
      <c r="G17" s="11">
        <f>SUM(G7:G16)</f>
        <v>0</v>
      </c>
      <c r="H17" s="11">
        <f>SUM(H7:H16)</f>
        <v>0</v>
      </c>
      <c r="I17" s="11"/>
    </row>
    <row r="18" spans="1:9" x14ac:dyDescent="0.2">
      <c r="A18" s="8" t="s">
        <v>0</v>
      </c>
      <c r="B18" s="5">
        <f>B7+1</f>
        <v>46108</v>
      </c>
      <c r="C18" s="75"/>
      <c r="D18" s="6"/>
      <c r="E18" s="6"/>
      <c r="F18" s="6"/>
      <c r="G18" s="6"/>
      <c r="H18" s="6"/>
      <c r="I18" s="6"/>
    </row>
    <row r="19" spans="1:9" x14ac:dyDescent="0.2">
      <c r="A19" s="8" t="s">
        <v>1</v>
      </c>
      <c r="B19" s="5"/>
      <c r="C19" s="75"/>
      <c r="D19" s="6"/>
      <c r="E19" s="6"/>
      <c r="F19" s="6"/>
      <c r="G19" s="6"/>
      <c r="H19" s="6"/>
      <c r="I19" s="6"/>
    </row>
    <row r="20" spans="1:9" x14ac:dyDescent="0.2">
      <c r="A20" s="8" t="s">
        <v>2</v>
      </c>
      <c r="B20" s="5"/>
      <c r="C20" s="75"/>
      <c r="D20" s="6"/>
      <c r="E20" s="6"/>
      <c r="F20" s="6"/>
      <c r="G20" s="6"/>
      <c r="H20" s="6"/>
      <c r="I20" s="6"/>
    </row>
    <row r="21" spans="1:9" x14ac:dyDescent="0.2">
      <c r="A21" s="8" t="s">
        <v>3</v>
      </c>
      <c r="B21" s="5"/>
      <c r="C21" s="75"/>
      <c r="D21" s="6"/>
      <c r="E21" s="6"/>
      <c r="F21" s="6"/>
      <c r="G21" s="6"/>
      <c r="H21" s="6"/>
      <c r="I21" s="6"/>
    </row>
    <row r="22" spans="1:9" x14ac:dyDescent="0.2">
      <c r="A22" s="8" t="s">
        <v>4</v>
      </c>
      <c r="B22" s="5"/>
      <c r="C22" s="75"/>
      <c r="D22" s="6"/>
      <c r="E22" s="6"/>
      <c r="F22" s="6"/>
      <c r="G22" s="6"/>
      <c r="H22" s="6"/>
      <c r="I22" s="6"/>
    </row>
    <row r="23" spans="1:9" x14ac:dyDescent="0.2">
      <c r="A23" s="8" t="s">
        <v>5</v>
      </c>
      <c r="B23" s="5"/>
      <c r="C23" s="75"/>
      <c r="D23" s="6"/>
      <c r="E23" s="6"/>
      <c r="F23" s="6"/>
      <c r="G23" s="6"/>
      <c r="H23" s="6"/>
      <c r="I23" s="6"/>
    </row>
    <row r="24" spans="1:9" x14ac:dyDescent="0.2">
      <c r="A24" s="8" t="s">
        <v>6</v>
      </c>
      <c r="B24" s="5"/>
      <c r="C24" s="75"/>
      <c r="D24" s="6"/>
      <c r="E24" s="6"/>
      <c r="F24" s="6"/>
      <c r="G24" s="6"/>
      <c r="H24" s="6"/>
      <c r="I24" s="6"/>
    </row>
    <row r="25" spans="1:9" x14ac:dyDescent="0.2">
      <c r="A25" s="8" t="s">
        <v>7</v>
      </c>
      <c r="B25" s="5"/>
      <c r="C25" s="75"/>
      <c r="D25" s="6"/>
      <c r="E25" s="6"/>
      <c r="F25" s="6"/>
      <c r="G25" s="6"/>
      <c r="H25" s="6"/>
      <c r="I25" s="6"/>
    </row>
    <row r="26" spans="1:9" x14ac:dyDescent="0.2">
      <c r="A26" s="8" t="s">
        <v>8</v>
      </c>
      <c r="B26" s="5"/>
      <c r="C26" s="74"/>
      <c r="D26" s="6"/>
      <c r="E26" s="6"/>
      <c r="F26" s="6"/>
      <c r="G26" s="6"/>
      <c r="H26" s="6"/>
      <c r="I26" s="6"/>
    </row>
    <row r="27" spans="1:9" x14ac:dyDescent="0.2">
      <c r="A27" s="8" t="s">
        <v>9</v>
      </c>
      <c r="B27" s="5"/>
      <c r="C27" s="74"/>
      <c r="D27" s="6"/>
      <c r="E27" s="6"/>
      <c r="F27" s="6"/>
      <c r="G27" s="6"/>
      <c r="H27" s="6"/>
      <c r="I27" s="6"/>
    </row>
    <row r="28" spans="1:9" x14ac:dyDescent="0.2">
      <c r="A28" s="312" t="s">
        <v>10</v>
      </c>
      <c r="B28" s="313"/>
      <c r="C28" s="313"/>
      <c r="D28" s="313"/>
      <c r="E28" s="314"/>
      <c r="F28" s="11">
        <f>SUM(F18:F27)</f>
        <v>0</v>
      </c>
      <c r="G28" s="11">
        <f>SUM(G18:G27)</f>
        <v>0</v>
      </c>
      <c r="H28" s="11">
        <f>SUM(H18:H27)</f>
        <v>0</v>
      </c>
      <c r="I28" s="11"/>
    </row>
    <row r="29" spans="1:9" x14ac:dyDescent="0.2">
      <c r="A29" s="8" t="s">
        <v>0</v>
      </c>
      <c r="B29" s="5">
        <f>B18+1</f>
        <v>46109</v>
      </c>
      <c r="C29" s="74"/>
      <c r="D29" s="6"/>
      <c r="E29" s="6"/>
      <c r="F29" s="6"/>
      <c r="G29" s="6"/>
      <c r="H29" s="6"/>
      <c r="I29" s="6"/>
    </row>
    <row r="30" spans="1:9" x14ac:dyDescent="0.2">
      <c r="A30" s="8" t="s">
        <v>1</v>
      </c>
      <c r="B30" s="5"/>
      <c r="C30" s="74"/>
      <c r="D30" s="6"/>
      <c r="E30" s="6"/>
      <c r="F30" s="6"/>
      <c r="G30" s="6"/>
      <c r="H30" s="6"/>
      <c r="I30" s="6"/>
    </row>
    <row r="31" spans="1:9" x14ac:dyDescent="0.2">
      <c r="A31" s="8" t="s">
        <v>2</v>
      </c>
      <c r="B31" s="5"/>
      <c r="C31" s="74"/>
      <c r="D31" s="6"/>
      <c r="E31" s="6"/>
      <c r="F31" s="6"/>
      <c r="G31" s="6"/>
      <c r="H31" s="6"/>
      <c r="I31" s="6"/>
    </row>
    <row r="32" spans="1:9" x14ac:dyDescent="0.2">
      <c r="A32" s="8" t="s">
        <v>3</v>
      </c>
      <c r="B32" s="5"/>
      <c r="C32" s="74"/>
      <c r="D32" s="6"/>
      <c r="E32" s="6"/>
      <c r="F32" s="6"/>
      <c r="G32" s="6"/>
      <c r="H32" s="6"/>
      <c r="I32" s="6"/>
    </row>
    <row r="33" spans="1:9" x14ac:dyDescent="0.2">
      <c r="A33" s="8" t="s">
        <v>4</v>
      </c>
      <c r="B33" s="5"/>
      <c r="C33" s="74"/>
      <c r="D33" s="6"/>
      <c r="E33" s="6"/>
      <c r="F33" s="6"/>
      <c r="G33" s="6"/>
      <c r="H33" s="6"/>
      <c r="I33" s="6"/>
    </row>
    <row r="34" spans="1:9" x14ac:dyDescent="0.2">
      <c r="A34" s="8" t="s">
        <v>5</v>
      </c>
      <c r="B34" s="5"/>
      <c r="C34" s="74"/>
      <c r="D34" s="6"/>
      <c r="E34" s="6"/>
      <c r="F34" s="6"/>
      <c r="G34" s="6"/>
      <c r="H34" s="6"/>
      <c r="I34" s="6"/>
    </row>
    <row r="35" spans="1:9" x14ac:dyDescent="0.2">
      <c r="A35" s="8" t="s">
        <v>6</v>
      </c>
      <c r="B35" s="5"/>
      <c r="C35" s="74"/>
      <c r="D35" s="6"/>
      <c r="E35" s="6"/>
      <c r="F35" s="6"/>
      <c r="G35" s="6"/>
      <c r="H35" s="6"/>
      <c r="I35" s="6"/>
    </row>
    <row r="36" spans="1:9" x14ac:dyDescent="0.2">
      <c r="A36" s="8" t="s">
        <v>7</v>
      </c>
      <c r="B36" s="5"/>
      <c r="C36" s="74"/>
      <c r="D36" s="6"/>
      <c r="E36" s="6"/>
      <c r="F36" s="6"/>
      <c r="G36" s="6"/>
      <c r="H36" s="6"/>
      <c r="I36" s="6"/>
    </row>
    <row r="37" spans="1:9" x14ac:dyDescent="0.2">
      <c r="A37" s="8" t="s">
        <v>8</v>
      </c>
      <c r="B37" s="5"/>
      <c r="C37" s="74"/>
      <c r="D37" s="6"/>
      <c r="E37" s="6"/>
      <c r="F37" s="6"/>
      <c r="G37" s="6"/>
      <c r="H37" s="6"/>
      <c r="I37" s="6"/>
    </row>
    <row r="38" spans="1:9" x14ac:dyDescent="0.2">
      <c r="A38" s="8" t="s">
        <v>9</v>
      </c>
      <c r="B38" s="5"/>
      <c r="C38" s="74"/>
      <c r="D38" s="6"/>
      <c r="E38" s="6"/>
      <c r="F38" s="6"/>
      <c r="G38" s="6"/>
      <c r="H38" s="6"/>
      <c r="I38" s="6"/>
    </row>
    <row r="39" spans="1:9" x14ac:dyDescent="0.2">
      <c r="A39" s="312" t="s">
        <v>10</v>
      </c>
      <c r="B39" s="313"/>
      <c r="C39" s="313"/>
      <c r="D39" s="313"/>
      <c r="E39" s="314"/>
      <c r="F39" s="11">
        <f>SUM(F29:F38)</f>
        <v>0</v>
      </c>
      <c r="G39" s="11">
        <f>SUM(G29:G38)</f>
        <v>0</v>
      </c>
      <c r="H39" s="11">
        <f>SUM(H29:H38)</f>
        <v>0</v>
      </c>
      <c r="I39" s="11"/>
    </row>
    <row r="40" spans="1:9" x14ac:dyDescent="0.2">
      <c r="A40" s="8" t="s">
        <v>0</v>
      </c>
      <c r="B40" s="5">
        <f>B29+1</f>
        <v>46110</v>
      </c>
      <c r="C40" s="75"/>
      <c r="D40" s="6"/>
      <c r="E40" s="6"/>
      <c r="F40" s="6"/>
      <c r="G40" s="6"/>
      <c r="H40" s="6"/>
      <c r="I40" s="6"/>
    </row>
    <row r="41" spans="1:9" x14ac:dyDescent="0.2">
      <c r="A41" s="8" t="s">
        <v>1</v>
      </c>
      <c r="B41" s="5"/>
      <c r="C41" s="75"/>
      <c r="D41" s="6"/>
      <c r="E41" s="6"/>
      <c r="F41" s="6"/>
      <c r="G41" s="6"/>
      <c r="H41" s="6"/>
      <c r="I41" s="6"/>
    </row>
    <row r="42" spans="1:9" x14ac:dyDescent="0.2">
      <c r="A42" s="8" t="s">
        <v>2</v>
      </c>
      <c r="B42" s="5"/>
      <c r="C42" s="75"/>
      <c r="D42" s="6"/>
      <c r="E42" s="6"/>
      <c r="F42" s="6"/>
      <c r="G42" s="6"/>
      <c r="H42" s="6"/>
      <c r="I42" s="6"/>
    </row>
    <row r="43" spans="1:9" x14ac:dyDescent="0.2">
      <c r="A43" s="8" t="s">
        <v>3</v>
      </c>
      <c r="B43" s="5"/>
      <c r="C43" s="75"/>
      <c r="D43" s="6"/>
      <c r="E43" s="6"/>
      <c r="F43" s="6"/>
      <c r="G43" s="6"/>
      <c r="H43" s="6"/>
      <c r="I43" s="6"/>
    </row>
    <row r="44" spans="1:9" x14ac:dyDescent="0.2">
      <c r="A44" s="8" t="s">
        <v>4</v>
      </c>
      <c r="B44" s="5"/>
      <c r="C44" s="75"/>
      <c r="D44" s="6"/>
      <c r="E44" s="6"/>
      <c r="F44" s="6"/>
      <c r="G44" s="6"/>
      <c r="H44" s="6"/>
      <c r="I44" s="6"/>
    </row>
    <row r="45" spans="1:9" x14ac:dyDescent="0.2">
      <c r="A45" s="8" t="s">
        <v>5</v>
      </c>
      <c r="B45" s="5"/>
      <c r="C45" s="75"/>
      <c r="D45" s="6"/>
      <c r="E45" s="6"/>
      <c r="F45" s="6"/>
      <c r="G45" s="6"/>
      <c r="H45" s="6"/>
      <c r="I45" s="6"/>
    </row>
    <row r="46" spans="1:9" x14ac:dyDescent="0.2">
      <c r="A46" s="8" t="s">
        <v>6</v>
      </c>
      <c r="B46" s="5"/>
      <c r="C46" s="75"/>
      <c r="D46" s="6"/>
      <c r="E46" s="6"/>
      <c r="F46" s="6"/>
      <c r="G46" s="6"/>
      <c r="H46" s="6"/>
      <c r="I46" s="6"/>
    </row>
    <row r="47" spans="1:9" x14ac:dyDescent="0.2">
      <c r="A47" s="8" t="s">
        <v>7</v>
      </c>
      <c r="B47" s="5"/>
      <c r="C47" s="74"/>
      <c r="D47" s="6"/>
      <c r="E47" s="6"/>
      <c r="F47" s="6"/>
      <c r="G47" s="6"/>
      <c r="H47" s="6"/>
      <c r="I47" s="6"/>
    </row>
    <row r="48" spans="1:9" x14ac:dyDescent="0.2">
      <c r="A48" s="8" t="s">
        <v>8</v>
      </c>
      <c r="B48" s="5"/>
      <c r="C48" s="74"/>
      <c r="D48" s="6"/>
      <c r="E48" s="6"/>
      <c r="F48" s="6"/>
      <c r="G48" s="6"/>
      <c r="H48" s="6"/>
      <c r="I48" s="6"/>
    </row>
    <row r="49" spans="1:9" x14ac:dyDescent="0.2">
      <c r="A49" s="8" t="s">
        <v>9</v>
      </c>
      <c r="B49" s="5"/>
      <c r="C49" s="74"/>
      <c r="D49" s="6"/>
      <c r="E49" s="6"/>
      <c r="F49" s="6"/>
      <c r="G49" s="6"/>
      <c r="H49" s="6"/>
      <c r="I49" s="6"/>
    </row>
    <row r="50" spans="1:9" x14ac:dyDescent="0.2">
      <c r="A50" s="312" t="s">
        <v>10</v>
      </c>
      <c r="B50" s="313"/>
      <c r="C50" s="313"/>
      <c r="D50" s="313"/>
      <c r="E50" s="314"/>
      <c r="F50" s="11">
        <f>SUM(F40:F49)</f>
        <v>0</v>
      </c>
      <c r="G50" s="11">
        <f>SUM(G40:G49)</f>
        <v>0</v>
      </c>
      <c r="H50" s="11">
        <f>SUM(H40:H49)</f>
        <v>0</v>
      </c>
      <c r="I50" s="11"/>
    </row>
    <row r="51" spans="1:9" x14ac:dyDescent="0.2">
      <c r="A51" s="8" t="s">
        <v>0</v>
      </c>
      <c r="B51" s="5">
        <f>B40+1</f>
        <v>46111</v>
      </c>
      <c r="C51" s="75"/>
      <c r="D51" s="6"/>
      <c r="E51" s="6"/>
      <c r="F51" s="6"/>
      <c r="G51" s="6"/>
      <c r="H51" s="6"/>
      <c r="I51" s="6"/>
    </row>
    <row r="52" spans="1:9" x14ac:dyDescent="0.2">
      <c r="A52" s="8" t="s">
        <v>1</v>
      </c>
      <c r="B52" s="5"/>
      <c r="C52" s="75"/>
      <c r="D52" s="6"/>
      <c r="E52" s="6"/>
      <c r="F52" s="6"/>
      <c r="G52" s="6"/>
      <c r="H52" s="6"/>
      <c r="I52" s="6"/>
    </row>
    <row r="53" spans="1:9" x14ac:dyDescent="0.2">
      <c r="A53" s="8" t="s">
        <v>2</v>
      </c>
      <c r="B53" s="5"/>
      <c r="C53" s="75"/>
      <c r="D53" s="6"/>
      <c r="E53" s="6"/>
      <c r="F53" s="6"/>
      <c r="G53" s="6"/>
      <c r="H53" s="6"/>
      <c r="I53" s="6"/>
    </row>
    <row r="54" spans="1:9" x14ac:dyDescent="0.2">
      <c r="A54" s="8" t="s">
        <v>3</v>
      </c>
      <c r="B54" s="5"/>
      <c r="C54" s="75"/>
      <c r="D54" s="6"/>
      <c r="E54" s="6"/>
      <c r="F54" s="6"/>
      <c r="G54" s="6"/>
      <c r="H54" s="6"/>
      <c r="I54" s="6"/>
    </row>
    <row r="55" spans="1:9" x14ac:dyDescent="0.2">
      <c r="A55" s="8" t="s">
        <v>4</v>
      </c>
      <c r="B55" s="5"/>
      <c r="C55" s="75"/>
      <c r="D55" s="6"/>
      <c r="E55" s="6"/>
      <c r="F55" s="6"/>
      <c r="G55" s="6"/>
      <c r="H55" s="6"/>
      <c r="I55" s="6"/>
    </row>
    <row r="56" spans="1:9" x14ac:dyDescent="0.2">
      <c r="A56" s="8" t="s">
        <v>5</v>
      </c>
      <c r="B56" s="5"/>
      <c r="C56" s="75"/>
      <c r="D56" s="6"/>
      <c r="E56" s="6"/>
      <c r="F56" s="6"/>
      <c r="G56" s="6"/>
      <c r="H56" s="6"/>
      <c r="I56" s="6"/>
    </row>
    <row r="57" spans="1:9" x14ac:dyDescent="0.2">
      <c r="A57" s="8" t="s">
        <v>6</v>
      </c>
      <c r="B57" s="5"/>
      <c r="C57" s="74"/>
      <c r="D57" s="6"/>
      <c r="E57" s="6"/>
      <c r="F57" s="6"/>
      <c r="G57" s="6"/>
      <c r="H57" s="6"/>
      <c r="I57" s="6"/>
    </row>
    <row r="58" spans="1:9" x14ac:dyDescent="0.2">
      <c r="A58" s="8" t="s">
        <v>7</v>
      </c>
      <c r="B58" s="5"/>
      <c r="C58" s="74"/>
      <c r="D58" s="6"/>
      <c r="E58" s="6"/>
      <c r="F58" s="6"/>
      <c r="G58" s="6"/>
      <c r="H58" s="6"/>
      <c r="I58" s="6"/>
    </row>
    <row r="59" spans="1:9" x14ac:dyDescent="0.2">
      <c r="A59" s="8" t="s">
        <v>8</v>
      </c>
      <c r="B59" s="5"/>
      <c r="C59" s="74"/>
      <c r="D59" s="6"/>
      <c r="E59" s="6"/>
      <c r="F59" s="6"/>
      <c r="G59" s="6"/>
      <c r="H59" s="6"/>
      <c r="I59" s="6"/>
    </row>
    <row r="60" spans="1:9" x14ac:dyDescent="0.2">
      <c r="A60" s="8" t="s">
        <v>9</v>
      </c>
      <c r="B60" s="5"/>
      <c r="C60" s="74"/>
      <c r="D60" s="6"/>
      <c r="E60" s="6"/>
      <c r="F60" s="6"/>
      <c r="G60" s="6"/>
      <c r="H60" s="6"/>
      <c r="I60" s="6"/>
    </row>
    <row r="61" spans="1:9" x14ac:dyDescent="0.2">
      <c r="A61" s="312" t="s">
        <v>10</v>
      </c>
      <c r="B61" s="313"/>
      <c r="C61" s="313"/>
      <c r="D61" s="313"/>
      <c r="E61" s="314"/>
      <c r="F61" s="11">
        <f>SUM(F51:F60)</f>
        <v>0</v>
      </c>
      <c r="G61" s="11">
        <f>SUM(G51:G60)</f>
        <v>0</v>
      </c>
      <c r="H61" s="11">
        <f>SUM(H51:H60)</f>
        <v>0</v>
      </c>
      <c r="I61" s="11"/>
    </row>
    <row r="62" spans="1:9" x14ac:dyDescent="0.2">
      <c r="A62" s="8" t="s">
        <v>0</v>
      </c>
      <c r="B62" s="5">
        <f>B51+1</f>
        <v>46112</v>
      </c>
      <c r="C62" s="74"/>
      <c r="D62" s="6"/>
      <c r="E62" s="6"/>
      <c r="F62" s="6"/>
      <c r="G62" s="6"/>
      <c r="H62" s="6"/>
      <c r="I62" s="6"/>
    </row>
    <row r="63" spans="1:9" x14ac:dyDescent="0.2">
      <c r="A63" s="8" t="s">
        <v>1</v>
      </c>
      <c r="B63" s="5"/>
      <c r="C63" s="74"/>
      <c r="D63" s="6"/>
      <c r="E63" s="6"/>
      <c r="F63" s="6"/>
      <c r="G63" s="6"/>
      <c r="H63" s="6"/>
      <c r="I63" s="6"/>
    </row>
    <row r="64" spans="1:9" x14ac:dyDescent="0.2">
      <c r="A64" s="8" t="s">
        <v>2</v>
      </c>
      <c r="B64" s="5"/>
      <c r="C64" s="74"/>
      <c r="D64" s="6"/>
      <c r="E64" s="6"/>
      <c r="F64" s="6"/>
      <c r="G64" s="6"/>
      <c r="H64" s="6"/>
      <c r="I64" s="6"/>
    </row>
    <row r="65" spans="1:9" x14ac:dyDescent="0.2">
      <c r="A65" s="8" t="s">
        <v>3</v>
      </c>
      <c r="B65" s="5"/>
      <c r="C65" s="74"/>
      <c r="D65" s="6"/>
      <c r="E65" s="6"/>
      <c r="F65" s="6"/>
      <c r="G65" s="6"/>
      <c r="H65" s="6"/>
      <c r="I65" s="6"/>
    </row>
    <row r="66" spans="1:9" x14ac:dyDescent="0.2">
      <c r="A66" s="8" t="s">
        <v>4</v>
      </c>
      <c r="B66" s="5"/>
      <c r="C66" s="74"/>
      <c r="D66" s="6"/>
      <c r="E66" s="6"/>
      <c r="F66" s="6"/>
      <c r="G66" s="6"/>
      <c r="H66" s="6"/>
      <c r="I66" s="6"/>
    </row>
    <row r="67" spans="1:9" x14ac:dyDescent="0.2">
      <c r="A67" s="8" t="s">
        <v>5</v>
      </c>
      <c r="B67" s="5"/>
      <c r="C67" s="74"/>
      <c r="D67" s="6"/>
      <c r="E67" s="6"/>
      <c r="F67" s="6"/>
      <c r="G67" s="6"/>
      <c r="H67" s="6"/>
      <c r="I67" s="6"/>
    </row>
    <row r="68" spans="1:9" x14ac:dyDescent="0.2">
      <c r="A68" s="8" t="s">
        <v>6</v>
      </c>
      <c r="B68" s="5"/>
      <c r="C68" s="74"/>
      <c r="D68" s="6"/>
      <c r="E68" s="6"/>
      <c r="F68" s="6"/>
      <c r="G68" s="6"/>
      <c r="H68" s="6"/>
      <c r="I68" s="6"/>
    </row>
    <row r="69" spans="1:9" x14ac:dyDescent="0.2">
      <c r="A69" s="8" t="s">
        <v>7</v>
      </c>
      <c r="B69" s="5"/>
      <c r="C69" s="74"/>
      <c r="D69" s="6"/>
      <c r="E69" s="6"/>
      <c r="F69" s="6"/>
      <c r="G69" s="6"/>
      <c r="H69" s="6"/>
      <c r="I69" s="6"/>
    </row>
    <row r="70" spans="1:9" x14ac:dyDescent="0.2">
      <c r="A70" s="8" t="s">
        <v>8</v>
      </c>
      <c r="B70" s="5"/>
      <c r="C70" s="74"/>
      <c r="D70" s="6"/>
      <c r="E70" s="6"/>
      <c r="F70" s="6"/>
      <c r="G70" s="6"/>
      <c r="H70" s="6"/>
      <c r="I70" s="6"/>
    </row>
    <row r="71" spans="1:9" x14ac:dyDescent="0.2">
      <c r="A71" s="8" t="s">
        <v>9</v>
      </c>
      <c r="B71" s="5"/>
      <c r="C71" s="75"/>
      <c r="D71" s="6"/>
      <c r="E71" s="6"/>
      <c r="F71" s="6"/>
      <c r="G71" s="6"/>
      <c r="H71" s="6"/>
      <c r="I71" s="6"/>
    </row>
    <row r="72" spans="1:9" x14ac:dyDescent="0.2">
      <c r="A72" s="312" t="s">
        <v>10</v>
      </c>
      <c r="B72" s="313"/>
      <c r="C72" s="313"/>
      <c r="D72" s="313"/>
      <c r="E72" s="314"/>
      <c r="F72" s="11">
        <f>SUM(F62:F71)</f>
        <v>0</v>
      </c>
      <c r="G72" s="11">
        <f>SUM(G62:G71)</f>
        <v>0</v>
      </c>
      <c r="H72" s="11">
        <f>SUM(H62:H71)</f>
        <v>0</v>
      </c>
      <c r="I72" s="11"/>
    </row>
    <row r="73" spans="1:9" x14ac:dyDescent="0.2">
      <c r="A73" s="8" t="s">
        <v>0</v>
      </c>
      <c r="B73" s="5">
        <f>B62+1</f>
        <v>46113</v>
      </c>
      <c r="C73" s="74"/>
      <c r="D73" s="6"/>
      <c r="E73" s="6"/>
      <c r="F73" s="6"/>
      <c r="G73" s="6"/>
      <c r="H73" s="6"/>
      <c r="I73" s="6"/>
    </row>
    <row r="74" spans="1:9" x14ac:dyDescent="0.2">
      <c r="A74" s="8" t="s">
        <v>1</v>
      </c>
      <c r="B74" s="5"/>
      <c r="C74" s="74"/>
      <c r="D74" s="6"/>
      <c r="E74" s="6"/>
      <c r="F74" s="6"/>
      <c r="G74" s="6"/>
      <c r="H74" s="6"/>
      <c r="I74" s="6"/>
    </row>
    <row r="75" spans="1:9" x14ac:dyDescent="0.2">
      <c r="A75" s="8" t="s">
        <v>2</v>
      </c>
      <c r="B75" s="5"/>
      <c r="C75" s="74"/>
      <c r="D75" s="6"/>
      <c r="E75" s="6"/>
      <c r="F75" s="6"/>
      <c r="G75" s="6"/>
      <c r="H75" s="6"/>
      <c r="I75" s="6"/>
    </row>
    <row r="76" spans="1:9" x14ac:dyDescent="0.2">
      <c r="A76" s="8" t="s">
        <v>3</v>
      </c>
      <c r="B76" s="5"/>
      <c r="C76" s="74"/>
      <c r="D76" s="6"/>
      <c r="E76" s="6"/>
      <c r="F76" s="6"/>
      <c r="G76" s="6"/>
      <c r="H76" s="6"/>
      <c r="I76" s="6"/>
    </row>
    <row r="77" spans="1:9" x14ac:dyDescent="0.2">
      <c r="A77" s="8" t="s">
        <v>4</v>
      </c>
      <c r="B77" s="5"/>
      <c r="C77" s="74"/>
      <c r="D77" s="6"/>
      <c r="E77" s="6"/>
      <c r="F77" s="6"/>
      <c r="G77" s="6"/>
      <c r="H77" s="6"/>
      <c r="I77" s="6"/>
    </row>
    <row r="78" spans="1:9" x14ac:dyDescent="0.2">
      <c r="A78" s="8" t="s">
        <v>5</v>
      </c>
      <c r="B78" s="5"/>
      <c r="C78" s="74"/>
      <c r="D78" s="6"/>
      <c r="E78" s="6"/>
      <c r="F78" s="6"/>
      <c r="G78" s="6"/>
      <c r="H78" s="6"/>
      <c r="I78" s="6"/>
    </row>
    <row r="79" spans="1:9" x14ac:dyDescent="0.2">
      <c r="A79" s="8" t="s">
        <v>6</v>
      </c>
      <c r="B79" s="5"/>
      <c r="C79" s="74"/>
      <c r="D79" s="6"/>
      <c r="E79" s="6"/>
      <c r="F79" s="6"/>
      <c r="G79" s="6"/>
      <c r="H79" s="6"/>
      <c r="I79" s="6"/>
    </row>
    <row r="80" spans="1:9" x14ac:dyDescent="0.2">
      <c r="A80" s="8" t="s">
        <v>7</v>
      </c>
      <c r="B80" s="5"/>
      <c r="C80" s="74"/>
      <c r="D80" s="6"/>
      <c r="E80" s="6"/>
      <c r="F80" s="6"/>
      <c r="G80" s="6"/>
      <c r="H80" s="6"/>
      <c r="I80" s="6"/>
    </row>
    <row r="81" spans="1:9" x14ac:dyDescent="0.2">
      <c r="A81" s="8" t="s">
        <v>8</v>
      </c>
      <c r="B81" s="5"/>
      <c r="C81" s="74"/>
      <c r="D81" s="6"/>
      <c r="E81" s="6"/>
      <c r="F81" s="6"/>
      <c r="G81" s="6"/>
      <c r="H81" s="6"/>
      <c r="I81" s="6"/>
    </row>
    <row r="82" spans="1:9" x14ac:dyDescent="0.2">
      <c r="A82" s="8" t="s">
        <v>9</v>
      </c>
      <c r="B82" s="5"/>
      <c r="C82" s="74"/>
      <c r="D82" s="6"/>
      <c r="E82" s="6"/>
      <c r="F82" s="6"/>
      <c r="G82" s="6"/>
      <c r="H82" s="6"/>
      <c r="I82" s="6"/>
    </row>
    <row r="83" spans="1:9" x14ac:dyDescent="0.2">
      <c r="A83" s="312" t="s">
        <v>10</v>
      </c>
      <c r="B83" s="313"/>
      <c r="C83" s="313"/>
      <c r="D83" s="313"/>
      <c r="E83" s="314"/>
      <c r="F83" s="11">
        <f>SUM(F73:F82)</f>
        <v>0</v>
      </c>
      <c r="G83" s="11">
        <f>SUM(G73:G82)</f>
        <v>0</v>
      </c>
      <c r="H83" s="11">
        <f>SUM(H73:H82)</f>
        <v>0</v>
      </c>
      <c r="I83" s="11"/>
    </row>
    <row r="84" spans="1:9" s="25" customFormat="1" ht="18" x14ac:dyDescent="0.2">
      <c r="A84" s="324" t="s">
        <v>39</v>
      </c>
      <c r="B84" s="325"/>
      <c r="C84" s="325"/>
      <c r="D84" s="325"/>
      <c r="E84" s="326"/>
      <c r="F84" s="24">
        <f>F17+F28+F39+F50+F61+F72+F83</f>
        <v>0</v>
      </c>
      <c r="G84" s="24">
        <f>G17+G28+G39+G50+G61+G72+G83</f>
        <v>0</v>
      </c>
      <c r="H84" s="24">
        <f>H17+H28+H39+H50+H61+H72+H83</f>
        <v>0</v>
      </c>
      <c r="I84" s="24"/>
    </row>
    <row r="85" spans="1:9" ht="21.95" customHeight="1" x14ac:dyDescent="0.2">
      <c r="A85" s="319" t="s">
        <v>14</v>
      </c>
      <c r="B85" s="319"/>
      <c r="C85" s="319"/>
      <c r="D85" s="319"/>
      <c r="E85" s="319"/>
      <c r="F85" s="319"/>
      <c r="G85" s="319"/>
      <c r="H85" s="319"/>
      <c r="I85" s="319"/>
    </row>
    <row r="86" spans="1:9" s="53" customFormat="1" ht="20.100000000000001" customHeight="1" x14ac:dyDescent="0.2">
      <c r="A86" s="323" t="s">
        <v>86</v>
      </c>
      <c r="B86" s="323"/>
      <c r="C86" s="323"/>
      <c r="D86" s="323"/>
      <c r="E86" s="323"/>
      <c r="F86" s="50" t="str">
        <f>F2</f>
        <v>เมษายน</v>
      </c>
      <c r="G86" s="50" t="s">
        <v>87</v>
      </c>
      <c r="H86" s="51">
        <f>H2</f>
        <v>2569</v>
      </c>
      <c r="I86" s="52"/>
    </row>
    <row r="87" spans="1:9" s="3" customFormat="1" ht="20.100000000000001" customHeight="1" x14ac:dyDescent="0.35">
      <c r="A87" s="318" t="s">
        <v>38</v>
      </c>
      <c r="B87" s="318"/>
      <c r="C87" s="318"/>
      <c r="D87" s="2"/>
      <c r="F87" s="4"/>
      <c r="G87" s="4"/>
      <c r="H87" s="4" t="s">
        <v>21</v>
      </c>
      <c r="I87" s="40">
        <f>I3+1</f>
        <v>2</v>
      </c>
    </row>
    <row r="88" spans="1:9" s="3" customFormat="1" ht="20.100000000000001" customHeight="1" x14ac:dyDescent="0.35">
      <c r="A88" s="311" t="s">
        <v>68</v>
      </c>
      <c r="B88" s="311"/>
      <c r="C88" s="311"/>
      <c r="D88" s="2"/>
      <c r="E88" s="39" t="s">
        <v>81</v>
      </c>
      <c r="F88" s="308">
        <f>F4</f>
        <v>46107</v>
      </c>
      <c r="G88" s="308"/>
      <c r="H88" s="39" t="s">
        <v>82</v>
      </c>
      <c r="I88" s="34">
        <f>I4</f>
        <v>46136</v>
      </c>
    </row>
    <row r="89" spans="1:9" x14ac:dyDescent="0.2">
      <c r="A89" s="12" t="s">
        <v>23</v>
      </c>
      <c r="B89" s="13" t="s">
        <v>11</v>
      </c>
      <c r="C89" s="72" t="s">
        <v>26</v>
      </c>
      <c r="D89" s="12" t="s">
        <v>16</v>
      </c>
      <c r="E89" s="12" t="s">
        <v>17</v>
      </c>
      <c r="F89" s="310" t="s">
        <v>46</v>
      </c>
      <c r="G89" s="310"/>
      <c r="H89" s="310"/>
      <c r="I89" s="12" t="s">
        <v>19</v>
      </c>
    </row>
    <row r="90" spans="1:9" x14ac:dyDescent="0.2">
      <c r="A90" s="15"/>
      <c r="B90" s="16"/>
      <c r="C90" s="73"/>
      <c r="D90" s="15"/>
      <c r="E90" s="15"/>
      <c r="F90" s="21" t="s">
        <v>113</v>
      </c>
      <c r="G90" s="21" t="s">
        <v>114</v>
      </c>
      <c r="H90" s="21" t="s">
        <v>20</v>
      </c>
      <c r="I90" s="15"/>
    </row>
    <row r="91" spans="1:9" x14ac:dyDescent="0.2">
      <c r="A91" s="8" t="s">
        <v>0</v>
      </c>
      <c r="B91" s="5">
        <f>B73+1</f>
        <v>46114</v>
      </c>
      <c r="C91" s="74"/>
      <c r="D91" s="6"/>
      <c r="E91" s="6"/>
      <c r="F91" s="6"/>
      <c r="G91" s="6"/>
      <c r="H91" s="6"/>
      <c r="I91" s="6"/>
    </row>
    <row r="92" spans="1:9" x14ac:dyDescent="0.2">
      <c r="A92" s="8" t="s">
        <v>1</v>
      </c>
      <c r="B92" s="5"/>
      <c r="C92" s="74"/>
      <c r="D92" s="6"/>
      <c r="E92" s="6"/>
      <c r="F92" s="6"/>
      <c r="G92" s="6"/>
      <c r="H92" s="6"/>
      <c r="I92" s="6"/>
    </row>
    <row r="93" spans="1:9" x14ac:dyDescent="0.2">
      <c r="A93" s="8" t="s">
        <v>2</v>
      </c>
      <c r="B93" s="5"/>
      <c r="C93" s="74"/>
      <c r="D93" s="6"/>
      <c r="E93" s="6"/>
      <c r="F93" s="6"/>
      <c r="G93" s="6"/>
      <c r="H93" s="6"/>
      <c r="I93" s="6"/>
    </row>
    <row r="94" spans="1:9" x14ac:dyDescent="0.2">
      <c r="A94" s="8" t="s">
        <v>3</v>
      </c>
      <c r="B94" s="5"/>
      <c r="C94" s="74"/>
      <c r="D94" s="6"/>
      <c r="E94" s="6"/>
      <c r="F94" s="6"/>
      <c r="G94" s="6"/>
      <c r="H94" s="6"/>
      <c r="I94" s="6"/>
    </row>
    <row r="95" spans="1:9" x14ac:dyDescent="0.2">
      <c r="A95" s="8" t="s">
        <v>4</v>
      </c>
      <c r="B95" s="5"/>
      <c r="C95" s="74"/>
      <c r="D95" s="6"/>
      <c r="E95" s="6"/>
      <c r="F95" s="6"/>
      <c r="G95" s="6"/>
      <c r="H95" s="6"/>
      <c r="I95" s="6"/>
    </row>
    <row r="96" spans="1:9" x14ac:dyDescent="0.2">
      <c r="A96" s="8" t="s">
        <v>5</v>
      </c>
      <c r="B96" s="5"/>
      <c r="C96" s="74"/>
      <c r="D96" s="6"/>
      <c r="E96" s="6"/>
      <c r="F96" s="6"/>
      <c r="G96" s="6"/>
      <c r="H96" s="6"/>
      <c r="I96" s="6"/>
    </row>
    <row r="97" spans="1:9" x14ac:dyDescent="0.2">
      <c r="A97" s="8" t="s">
        <v>6</v>
      </c>
      <c r="B97" s="5"/>
      <c r="C97" s="74"/>
      <c r="D97" s="6"/>
      <c r="E97" s="6"/>
      <c r="F97" s="6"/>
      <c r="G97" s="6"/>
      <c r="H97" s="6"/>
      <c r="I97" s="6"/>
    </row>
    <row r="98" spans="1:9" x14ac:dyDescent="0.2">
      <c r="A98" s="8" t="s">
        <v>7</v>
      </c>
      <c r="B98" s="5"/>
      <c r="C98" s="74"/>
      <c r="D98" s="6"/>
      <c r="E98" s="6"/>
      <c r="F98" s="6"/>
      <c r="G98" s="6"/>
      <c r="H98" s="6"/>
      <c r="I98" s="6"/>
    </row>
    <row r="99" spans="1:9" x14ac:dyDescent="0.2">
      <c r="A99" s="8" t="s">
        <v>8</v>
      </c>
      <c r="B99" s="5"/>
      <c r="C99" s="74"/>
      <c r="D99" s="6"/>
      <c r="E99" s="6"/>
      <c r="F99" s="6"/>
      <c r="G99" s="6"/>
      <c r="H99" s="6"/>
      <c r="I99" s="6"/>
    </row>
    <row r="100" spans="1:9" x14ac:dyDescent="0.2">
      <c r="A100" s="8" t="s">
        <v>9</v>
      </c>
      <c r="B100" s="5"/>
      <c r="C100" s="74"/>
      <c r="D100" s="6"/>
      <c r="E100" s="6"/>
      <c r="F100" s="6"/>
      <c r="G100" s="6"/>
      <c r="H100" s="6"/>
      <c r="I100" s="6"/>
    </row>
    <row r="101" spans="1:9" x14ac:dyDescent="0.2">
      <c r="A101" s="312" t="s">
        <v>10</v>
      </c>
      <c r="B101" s="313"/>
      <c r="C101" s="313"/>
      <c r="D101" s="313"/>
      <c r="E101" s="314"/>
      <c r="F101" s="11">
        <f>SUM(F91:F100)</f>
        <v>0</v>
      </c>
      <c r="G101" s="11">
        <f>SUM(G91:G100)</f>
        <v>0</v>
      </c>
      <c r="H101" s="11">
        <f>SUM(H91:H100)</f>
        <v>0</v>
      </c>
      <c r="I101" s="11"/>
    </row>
    <row r="102" spans="1:9" x14ac:dyDescent="0.2">
      <c r="A102" s="8" t="s">
        <v>0</v>
      </c>
      <c r="B102" s="5">
        <f>B91+1</f>
        <v>46115</v>
      </c>
      <c r="C102" s="74"/>
      <c r="D102" s="6"/>
      <c r="E102" s="6"/>
      <c r="F102" s="6"/>
      <c r="G102" s="6"/>
      <c r="H102" s="6"/>
      <c r="I102" s="6"/>
    </row>
    <row r="103" spans="1:9" x14ac:dyDescent="0.2">
      <c r="A103" s="8" t="s">
        <v>1</v>
      </c>
      <c r="B103" s="5"/>
      <c r="C103" s="74"/>
      <c r="D103" s="6"/>
      <c r="E103" s="6"/>
      <c r="F103" s="6"/>
      <c r="G103" s="6"/>
      <c r="H103" s="6"/>
      <c r="I103" s="6"/>
    </row>
    <row r="104" spans="1:9" x14ac:dyDescent="0.2">
      <c r="A104" s="8" t="s">
        <v>2</v>
      </c>
      <c r="B104" s="5"/>
      <c r="C104" s="74"/>
      <c r="D104" s="6"/>
      <c r="E104" s="6"/>
      <c r="F104" s="6"/>
      <c r="G104" s="6"/>
      <c r="H104" s="6"/>
      <c r="I104" s="6"/>
    </row>
    <row r="105" spans="1:9" x14ac:dyDescent="0.2">
      <c r="A105" s="8" t="s">
        <v>3</v>
      </c>
      <c r="B105" s="5"/>
      <c r="C105" s="74"/>
      <c r="D105" s="6"/>
      <c r="E105" s="6"/>
      <c r="F105" s="6"/>
      <c r="G105" s="6"/>
      <c r="H105" s="6"/>
      <c r="I105" s="6"/>
    </row>
    <row r="106" spans="1:9" x14ac:dyDescent="0.2">
      <c r="A106" s="8" t="s">
        <v>4</v>
      </c>
      <c r="B106" s="5"/>
      <c r="C106" s="74"/>
      <c r="D106" s="6"/>
      <c r="E106" s="6"/>
      <c r="F106" s="6"/>
      <c r="G106" s="6"/>
      <c r="H106" s="6"/>
      <c r="I106" s="6"/>
    </row>
    <row r="107" spans="1:9" x14ac:dyDescent="0.2">
      <c r="A107" s="8" t="s">
        <v>5</v>
      </c>
      <c r="B107" s="5"/>
      <c r="C107" s="74"/>
      <c r="D107" s="6"/>
      <c r="E107" s="6"/>
      <c r="F107" s="6"/>
      <c r="G107" s="6"/>
      <c r="H107" s="6"/>
      <c r="I107" s="6"/>
    </row>
    <row r="108" spans="1:9" x14ac:dyDescent="0.2">
      <c r="A108" s="8" t="s">
        <v>6</v>
      </c>
      <c r="B108" s="5"/>
      <c r="C108" s="74"/>
      <c r="D108" s="6"/>
      <c r="E108" s="6"/>
      <c r="F108" s="6"/>
      <c r="G108" s="6"/>
      <c r="H108" s="6"/>
      <c r="I108" s="6"/>
    </row>
    <row r="109" spans="1:9" x14ac:dyDescent="0.2">
      <c r="A109" s="8" t="s">
        <v>7</v>
      </c>
      <c r="B109" s="5"/>
      <c r="C109" s="74"/>
      <c r="D109" s="6"/>
      <c r="E109" s="6"/>
      <c r="F109" s="6"/>
      <c r="G109" s="6"/>
      <c r="H109" s="6"/>
      <c r="I109" s="6"/>
    </row>
    <row r="110" spans="1:9" x14ac:dyDescent="0.2">
      <c r="A110" s="8" t="s">
        <v>8</v>
      </c>
      <c r="B110" s="5"/>
      <c r="C110" s="74"/>
      <c r="D110" s="6"/>
      <c r="E110" s="6"/>
      <c r="F110" s="6"/>
      <c r="G110" s="6"/>
      <c r="H110" s="6"/>
      <c r="I110" s="6"/>
    </row>
    <row r="111" spans="1:9" x14ac:dyDescent="0.2">
      <c r="A111" s="8" t="s">
        <v>9</v>
      </c>
      <c r="B111" s="5"/>
      <c r="C111" s="74"/>
      <c r="D111" s="6"/>
      <c r="E111" s="6"/>
      <c r="F111" s="6"/>
      <c r="G111" s="6"/>
      <c r="H111" s="6"/>
      <c r="I111" s="6"/>
    </row>
    <row r="112" spans="1:9" x14ac:dyDescent="0.2">
      <c r="A112" s="312" t="s">
        <v>10</v>
      </c>
      <c r="B112" s="313"/>
      <c r="C112" s="313"/>
      <c r="D112" s="313"/>
      <c r="E112" s="314"/>
      <c r="F112" s="11">
        <f>SUM(F102:F111)</f>
        <v>0</v>
      </c>
      <c r="G112" s="11">
        <f>SUM(G102:G111)</f>
        <v>0</v>
      </c>
      <c r="H112" s="11">
        <f>SUM(H102:H111)</f>
        <v>0</v>
      </c>
      <c r="I112" s="11"/>
    </row>
    <row r="113" spans="1:9" x14ac:dyDescent="0.2">
      <c r="A113" s="8" t="s">
        <v>0</v>
      </c>
      <c r="B113" s="5">
        <f>B102+1</f>
        <v>46116</v>
      </c>
      <c r="C113" s="74"/>
      <c r="D113" s="6"/>
      <c r="E113" s="6"/>
      <c r="F113" s="6"/>
      <c r="G113" s="6"/>
      <c r="H113" s="6"/>
      <c r="I113" s="6"/>
    </row>
    <row r="114" spans="1:9" x14ac:dyDescent="0.2">
      <c r="A114" s="8" t="s">
        <v>1</v>
      </c>
      <c r="B114" s="5"/>
      <c r="C114" s="74"/>
      <c r="D114" s="6"/>
      <c r="E114" s="6"/>
      <c r="F114" s="6"/>
      <c r="G114" s="6"/>
      <c r="H114" s="6"/>
      <c r="I114" s="6"/>
    </row>
    <row r="115" spans="1:9" x14ac:dyDescent="0.2">
      <c r="A115" s="8" t="s">
        <v>2</v>
      </c>
      <c r="B115" s="5"/>
      <c r="C115" s="74"/>
      <c r="D115" s="6"/>
      <c r="E115" s="6"/>
      <c r="F115" s="6"/>
      <c r="G115" s="6"/>
      <c r="H115" s="6"/>
      <c r="I115" s="6"/>
    </row>
    <row r="116" spans="1:9" x14ac:dyDescent="0.2">
      <c r="A116" s="8" t="s">
        <v>3</v>
      </c>
      <c r="B116" s="5"/>
      <c r="C116" s="74"/>
      <c r="D116" s="6"/>
      <c r="E116" s="6"/>
      <c r="F116" s="6"/>
      <c r="G116" s="6"/>
      <c r="H116" s="6"/>
      <c r="I116" s="6"/>
    </row>
    <row r="117" spans="1:9" x14ac:dyDescent="0.2">
      <c r="A117" s="8" t="s">
        <v>4</v>
      </c>
      <c r="B117" s="5"/>
      <c r="C117" s="74"/>
      <c r="D117" s="6"/>
      <c r="E117" s="6"/>
      <c r="F117" s="6"/>
      <c r="G117" s="6"/>
      <c r="H117" s="6"/>
      <c r="I117" s="6"/>
    </row>
    <row r="118" spans="1:9" x14ac:dyDescent="0.2">
      <c r="A118" s="8" t="s">
        <v>5</v>
      </c>
      <c r="B118" s="5"/>
      <c r="C118" s="74"/>
      <c r="D118" s="6"/>
      <c r="E118" s="6"/>
      <c r="F118" s="6"/>
      <c r="G118" s="6"/>
      <c r="H118" s="6"/>
      <c r="I118" s="6"/>
    </row>
    <row r="119" spans="1:9" x14ac:dyDescent="0.2">
      <c r="A119" s="8" t="s">
        <v>6</v>
      </c>
      <c r="B119" s="5"/>
      <c r="C119" s="74"/>
      <c r="D119" s="6"/>
      <c r="E119" s="6"/>
      <c r="F119" s="6"/>
      <c r="G119" s="6"/>
      <c r="H119" s="6"/>
      <c r="I119" s="6"/>
    </row>
    <row r="120" spans="1:9" x14ac:dyDescent="0.2">
      <c r="A120" s="8" t="s">
        <v>7</v>
      </c>
      <c r="B120" s="5"/>
      <c r="C120" s="74"/>
      <c r="D120" s="6"/>
      <c r="E120" s="6"/>
      <c r="F120" s="6"/>
      <c r="G120" s="6"/>
      <c r="H120" s="6"/>
      <c r="I120" s="6"/>
    </row>
    <row r="121" spans="1:9" x14ac:dyDescent="0.2">
      <c r="A121" s="8" t="s">
        <v>8</v>
      </c>
      <c r="B121" s="5"/>
      <c r="C121" s="74"/>
      <c r="D121" s="6"/>
      <c r="E121" s="6"/>
      <c r="F121" s="6"/>
      <c r="G121" s="6"/>
      <c r="H121" s="6"/>
      <c r="I121" s="6"/>
    </row>
    <row r="122" spans="1:9" x14ac:dyDescent="0.2">
      <c r="A122" s="8" t="s">
        <v>9</v>
      </c>
      <c r="B122" s="5"/>
      <c r="C122" s="74"/>
      <c r="D122" s="6"/>
      <c r="E122" s="6"/>
      <c r="F122" s="6"/>
      <c r="G122" s="6"/>
      <c r="H122" s="6"/>
      <c r="I122" s="6"/>
    </row>
    <row r="123" spans="1:9" x14ac:dyDescent="0.2">
      <c r="A123" s="312" t="s">
        <v>10</v>
      </c>
      <c r="B123" s="313"/>
      <c r="C123" s="313"/>
      <c r="D123" s="313"/>
      <c r="E123" s="314"/>
      <c r="F123" s="11">
        <f>SUM(F113:F122)</f>
        <v>0</v>
      </c>
      <c r="G123" s="11">
        <f>SUM(G113:G122)</f>
        <v>0</v>
      </c>
      <c r="H123" s="11">
        <f>SUM(H113:H122)</f>
        <v>0</v>
      </c>
      <c r="I123" s="11"/>
    </row>
    <row r="124" spans="1:9" x14ac:dyDescent="0.2">
      <c r="A124" s="8" t="s">
        <v>0</v>
      </c>
      <c r="B124" s="5">
        <f>B113+1</f>
        <v>46117</v>
      </c>
      <c r="C124" s="75"/>
      <c r="D124" s="6"/>
      <c r="E124" s="6"/>
      <c r="F124" s="6"/>
      <c r="G124" s="6"/>
      <c r="H124" s="6"/>
      <c r="I124" s="6"/>
    </row>
    <row r="125" spans="1:9" x14ac:dyDescent="0.2">
      <c r="A125" s="8" t="s">
        <v>1</v>
      </c>
      <c r="B125" s="5"/>
      <c r="C125" s="75"/>
      <c r="D125" s="6"/>
      <c r="E125" s="6"/>
      <c r="F125" s="6"/>
      <c r="G125" s="6"/>
      <c r="H125" s="6"/>
      <c r="I125" s="6"/>
    </row>
    <row r="126" spans="1:9" x14ac:dyDescent="0.2">
      <c r="A126" s="8" t="s">
        <v>2</v>
      </c>
      <c r="B126" s="5"/>
      <c r="C126" s="75"/>
      <c r="D126" s="6"/>
      <c r="E126" s="6"/>
      <c r="F126" s="6"/>
      <c r="G126" s="6"/>
      <c r="H126" s="6"/>
      <c r="I126" s="6"/>
    </row>
    <row r="127" spans="1:9" x14ac:dyDescent="0.2">
      <c r="A127" s="8" t="s">
        <v>3</v>
      </c>
      <c r="B127" s="5"/>
      <c r="C127" s="75"/>
      <c r="D127" s="6"/>
      <c r="E127" s="6"/>
      <c r="F127" s="6"/>
      <c r="G127" s="6"/>
      <c r="H127" s="6"/>
      <c r="I127" s="6"/>
    </row>
    <row r="128" spans="1:9" x14ac:dyDescent="0.2">
      <c r="A128" s="8" t="s">
        <v>4</v>
      </c>
      <c r="B128" s="5"/>
      <c r="C128" s="75"/>
      <c r="D128" s="6"/>
      <c r="E128" s="6"/>
      <c r="F128" s="6"/>
      <c r="G128" s="6"/>
      <c r="H128" s="6"/>
      <c r="I128" s="6"/>
    </row>
    <row r="129" spans="1:9" x14ac:dyDescent="0.2">
      <c r="A129" s="8" t="s">
        <v>5</v>
      </c>
      <c r="B129" s="5"/>
      <c r="C129" s="74"/>
      <c r="D129" s="6"/>
      <c r="E129" s="6"/>
      <c r="F129" s="6"/>
      <c r="G129" s="6"/>
      <c r="H129" s="6"/>
      <c r="I129" s="6"/>
    </row>
    <row r="130" spans="1:9" x14ac:dyDescent="0.2">
      <c r="A130" s="8" t="s">
        <v>6</v>
      </c>
      <c r="B130" s="5"/>
      <c r="C130" s="74"/>
      <c r="D130" s="6"/>
      <c r="E130" s="6"/>
      <c r="F130" s="6"/>
      <c r="G130" s="6"/>
      <c r="H130" s="6"/>
      <c r="I130" s="6"/>
    </row>
    <row r="131" spans="1:9" x14ac:dyDescent="0.2">
      <c r="A131" s="8" t="s">
        <v>7</v>
      </c>
      <c r="B131" s="5"/>
      <c r="C131" s="74"/>
      <c r="D131" s="6"/>
      <c r="E131" s="6"/>
      <c r="F131" s="6"/>
      <c r="G131" s="6"/>
      <c r="H131" s="6"/>
      <c r="I131" s="6"/>
    </row>
    <row r="132" spans="1:9" x14ac:dyDescent="0.2">
      <c r="A132" s="8" t="s">
        <v>8</v>
      </c>
      <c r="B132" s="5"/>
      <c r="C132" s="74"/>
      <c r="D132" s="6"/>
      <c r="E132" s="6"/>
      <c r="F132" s="6"/>
      <c r="G132" s="6"/>
      <c r="H132" s="6"/>
      <c r="I132" s="6"/>
    </row>
    <row r="133" spans="1:9" x14ac:dyDescent="0.2">
      <c r="A133" s="8" t="s">
        <v>9</v>
      </c>
      <c r="B133" s="5"/>
      <c r="C133" s="74"/>
      <c r="D133" s="6"/>
      <c r="E133" s="6"/>
      <c r="F133" s="6"/>
      <c r="G133" s="6"/>
      <c r="H133" s="6"/>
      <c r="I133" s="6"/>
    </row>
    <row r="134" spans="1:9" x14ac:dyDescent="0.2">
      <c r="A134" s="312" t="s">
        <v>10</v>
      </c>
      <c r="B134" s="313"/>
      <c r="C134" s="313"/>
      <c r="D134" s="313"/>
      <c r="E134" s="314"/>
      <c r="F134" s="11">
        <f>SUM(F124:F133)</f>
        <v>0</v>
      </c>
      <c r="G134" s="11">
        <f>SUM(G124:G133)</f>
        <v>0</v>
      </c>
      <c r="H134" s="11">
        <f>SUM(H124:H133)</f>
        <v>0</v>
      </c>
      <c r="I134" s="11"/>
    </row>
    <row r="135" spans="1:9" x14ac:dyDescent="0.2">
      <c r="A135" s="8" t="s">
        <v>0</v>
      </c>
      <c r="B135" s="5">
        <f>B124+1</f>
        <v>46118</v>
      </c>
      <c r="C135" s="75"/>
      <c r="D135" s="6"/>
      <c r="E135" s="6"/>
      <c r="F135" s="6"/>
      <c r="G135" s="6"/>
      <c r="H135" s="6"/>
      <c r="I135" s="6"/>
    </row>
    <row r="136" spans="1:9" x14ac:dyDescent="0.2">
      <c r="A136" s="8" t="s">
        <v>1</v>
      </c>
      <c r="B136" s="5"/>
      <c r="C136" s="75"/>
      <c r="D136" s="6"/>
      <c r="E136" s="6"/>
      <c r="F136" s="6"/>
      <c r="G136" s="6"/>
      <c r="H136" s="6"/>
      <c r="I136" s="6"/>
    </row>
    <row r="137" spans="1:9" x14ac:dyDescent="0.2">
      <c r="A137" s="8" t="s">
        <v>2</v>
      </c>
      <c r="B137" s="5"/>
      <c r="C137" s="75"/>
      <c r="D137" s="6"/>
      <c r="E137" s="6"/>
      <c r="F137" s="6"/>
      <c r="G137" s="6"/>
      <c r="H137" s="6"/>
      <c r="I137" s="6"/>
    </row>
    <row r="138" spans="1:9" x14ac:dyDescent="0.2">
      <c r="A138" s="8" t="s">
        <v>3</v>
      </c>
      <c r="B138" s="5"/>
      <c r="C138" s="75"/>
      <c r="D138" s="6"/>
      <c r="E138" s="6"/>
      <c r="F138" s="6"/>
      <c r="G138" s="6"/>
      <c r="H138" s="6"/>
      <c r="I138" s="6"/>
    </row>
    <row r="139" spans="1:9" x14ac:dyDescent="0.2">
      <c r="A139" s="8" t="s">
        <v>4</v>
      </c>
      <c r="B139" s="5"/>
      <c r="C139" s="75"/>
      <c r="D139" s="6"/>
      <c r="E139" s="6"/>
      <c r="F139" s="6"/>
      <c r="G139" s="6"/>
      <c r="H139" s="6"/>
      <c r="I139" s="6"/>
    </row>
    <row r="140" spans="1:9" x14ac:dyDescent="0.2">
      <c r="A140" s="8" t="s">
        <v>5</v>
      </c>
      <c r="B140" s="5"/>
      <c r="C140" s="75"/>
      <c r="D140" s="6"/>
      <c r="E140" s="6"/>
      <c r="F140" s="6"/>
      <c r="G140" s="6"/>
      <c r="H140" s="6"/>
      <c r="I140" s="6"/>
    </row>
    <row r="141" spans="1:9" x14ac:dyDescent="0.2">
      <c r="A141" s="8" t="s">
        <v>6</v>
      </c>
      <c r="B141" s="5"/>
      <c r="C141" s="74"/>
      <c r="D141" s="6"/>
      <c r="E141" s="6"/>
      <c r="F141" s="6"/>
      <c r="G141" s="6"/>
      <c r="H141" s="6"/>
      <c r="I141" s="6"/>
    </row>
    <row r="142" spans="1:9" x14ac:dyDescent="0.2">
      <c r="A142" s="8" t="s">
        <v>7</v>
      </c>
      <c r="B142" s="5"/>
      <c r="C142" s="74"/>
      <c r="D142" s="6"/>
      <c r="E142" s="6"/>
      <c r="F142" s="6"/>
      <c r="G142" s="6"/>
      <c r="H142" s="6"/>
      <c r="I142" s="6"/>
    </row>
    <row r="143" spans="1:9" x14ac:dyDescent="0.2">
      <c r="A143" s="8" t="s">
        <v>8</v>
      </c>
      <c r="B143" s="5"/>
      <c r="C143" s="74"/>
      <c r="D143" s="6"/>
      <c r="E143" s="6"/>
      <c r="F143" s="6"/>
      <c r="G143" s="6"/>
      <c r="H143" s="6"/>
      <c r="I143" s="6"/>
    </row>
    <row r="144" spans="1:9" x14ac:dyDescent="0.2">
      <c r="A144" s="8" t="s">
        <v>9</v>
      </c>
      <c r="B144" s="5"/>
      <c r="C144" s="74"/>
      <c r="D144" s="6"/>
      <c r="E144" s="6"/>
      <c r="F144" s="6"/>
      <c r="G144" s="6"/>
      <c r="H144" s="6"/>
      <c r="I144" s="6"/>
    </row>
    <row r="145" spans="1:9" x14ac:dyDescent="0.2">
      <c r="A145" s="312" t="s">
        <v>10</v>
      </c>
      <c r="B145" s="313"/>
      <c r="C145" s="313"/>
      <c r="D145" s="313"/>
      <c r="E145" s="314"/>
      <c r="F145" s="11">
        <f>SUM(F135:F144)</f>
        <v>0</v>
      </c>
      <c r="G145" s="11">
        <f>SUM(G135:G144)</f>
        <v>0</v>
      </c>
      <c r="H145" s="11">
        <f>SUM(H135:H144)</f>
        <v>0</v>
      </c>
      <c r="I145" s="11"/>
    </row>
    <row r="146" spans="1:9" x14ac:dyDescent="0.2">
      <c r="A146" s="8" t="s">
        <v>0</v>
      </c>
      <c r="B146" s="5">
        <f>B135+1</f>
        <v>46119</v>
      </c>
      <c r="C146" s="74"/>
      <c r="D146" s="6"/>
      <c r="E146" s="6"/>
      <c r="F146" s="6"/>
      <c r="G146" s="6"/>
      <c r="H146" s="6"/>
      <c r="I146" s="6"/>
    </row>
    <row r="147" spans="1:9" x14ac:dyDescent="0.2">
      <c r="A147" s="8" t="s">
        <v>1</v>
      </c>
      <c r="B147" s="5"/>
      <c r="C147" s="74"/>
      <c r="D147" s="6"/>
      <c r="E147" s="6"/>
      <c r="F147" s="6"/>
      <c r="G147" s="6"/>
      <c r="H147" s="6"/>
      <c r="I147" s="6"/>
    </row>
    <row r="148" spans="1:9" x14ac:dyDescent="0.2">
      <c r="A148" s="8" t="s">
        <v>2</v>
      </c>
      <c r="B148" s="5"/>
      <c r="C148" s="74"/>
      <c r="D148" s="6"/>
      <c r="E148" s="6"/>
      <c r="F148" s="6"/>
      <c r="G148" s="6"/>
      <c r="H148" s="6"/>
      <c r="I148" s="6"/>
    </row>
    <row r="149" spans="1:9" x14ac:dyDescent="0.2">
      <c r="A149" s="8" t="s">
        <v>3</v>
      </c>
      <c r="B149" s="5"/>
      <c r="C149" s="74"/>
      <c r="D149" s="6"/>
      <c r="E149" s="6"/>
      <c r="F149" s="6"/>
      <c r="G149" s="6"/>
      <c r="H149" s="6"/>
      <c r="I149" s="6"/>
    </row>
    <row r="150" spans="1:9" x14ac:dyDescent="0.2">
      <c r="A150" s="8" t="s">
        <v>4</v>
      </c>
      <c r="B150" s="5"/>
      <c r="C150" s="74"/>
      <c r="D150" s="6"/>
      <c r="E150" s="6"/>
      <c r="F150" s="6"/>
      <c r="G150" s="6"/>
      <c r="H150" s="6"/>
      <c r="I150" s="6"/>
    </row>
    <row r="151" spans="1:9" x14ac:dyDescent="0.2">
      <c r="A151" s="8" t="s">
        <v>5</v>
      </c>
      <c r="B151" s="5"/>
      <c r="C151" s="74"/>
      <c r="D151" s="6"/>
      <c r="E151" s="6"/>
      <c r="F151" s="6"/>
      <c r="G151" s="6"/>
      <c r="H151" s="6"/>
      <c r="I151" s="6"/>
    </row>
    <row r="152" spans="1:9" x14ac:dyDescent="0.2">
      <c r="A152" s="8" t="s">
        <v>6</v>
      </c>
      <c r="B152" s="5"/>
      <c r="C152" s="74"/>
      <c r="D152" s="6"/>
      <c r="E152" s="6"/>
      <c r="F152" s="6"/>
      <c r="G152" s="6"/>
      <c r="H152" s="6"/>
      <c r="I152" s="6"/>
    </row>
    <row r="153" spans="1:9" x14ac:dyDescent="0.2">
      <c r="A153" s="8" t="s">
        <v>7</v>
      </c>
      <c r="B153" s="5"/>
      <c r="C153" s="74"/>
      <c r="D153" s="6"/>
      <c r="E153" s="6"/>
      <c r="F153" s="6"/>
      <c r="G153" s="6"/>
      <c r="H153" s="6"/>
      <c r="I153" s="6"/>
    </row>
    <row r="154" spans="1:9" x14ac:dyDescent="0.2">
      <c r="A154" s="8" t="s">
        <v>8</v>
      </c>
      <c r="B154" s="5"/>
      <c r="C154" s="74"/>
      <c r="D154" s="6"/>
      <c r="E154" s="6"/>
      <c r="F154" s="6"/>
      <c r="G154" s="6"/>
      <c r="H154" s="6"/>
      <c r="I154" s="6"/>
    </row>
    <row r="155" spans="1:9" x14ac:dyDescent="0.2">
      <c r="A155" s="8" t="s">
        <v>9</v>
      </c>
      <c r="B155" s="5"/>
      <c r="C155" s="75"/>
      <c r="D155" s="6"/>
      <c r="E155" s="6"/>
      <c r="F155" s="6"/>
      <c r="G155" s="6"/>
      <c r="H155" s="6"/>
      <c r="I155" s="6"/>
    </row>
    <row r="156" spans="1:9" x14ac:dyDescent="0.2">
      <c r="A156" s="312" t="s">
        <v>10</v>
      </c>
      <c r="B156" s="313"/>
      <c r="C156" s="313"/>
      <c r="D156" s="313"/>
      <c r="E156" s="314"/>
      <c r="F156" s="11">
        <f>SUM(F146:F155)</f>
        <v>0</v>
      </c>
      <c r="G156" s="11">
        <f>SUM(G146:G155)</f>
        <v>0</v>
      </c>
      <c r="H156" s="11">
        <f>SUM(H146:H155)</f>
        <v>0</v>
      </c>
      <c r="I156" s="11"/>
    </row>
    <row r="157" spans="1:9" x14ac:dyDescent="0.2">
      <c r="A157" s="8" t="s">
        <v>0</v>
      </c>
      <c r="B157" s="5">
        <f>B146+1</f>
        <v>46120</v>
      </c>
      <c r="C157" s="74"/>
      <c r="D157" s="6"/>
      <c r="E157" s="6"/>
      <c r="F157" s="6"/>
      <c r="G157" s="6"/>
      <c r="H157" s="6"/>
      <c r="I157" s="6"/>
    </row>
    <row r="158" spans="1:9" x14ac:dyDescent="0.2">
      <c r="A158" s="8" t="s">
        <v>1</v>
      </c>
      <c r="B158" s="5"/>
      <c r="C158" s="74"/>
      <c r="D158" s="6"/>
      <c r="E158" s="6"/>
      <c r="F158" s="6"/>
      <c r="G158" s="6"/>
      <c r="H158" s="6"/>
      <c r="I158" s="6"/>
    </row>
    <row r="159" spans="1:9" x14ac:dyDescent="0.2">
      <c r="A159" s="8" t="s">
        <v>2</v>
      </c>
      <c r="B159" s="5"/>
      <c r="C159" s="74"/>
      <c r="D159" s="6"/>
      <c r="E159" s="6"/>
      <c r="F159" s="6"/>
      <c r="G159" s="6"/>
      <c r="H159" s="6"/>
      <c r="I159" s="6"/>
    </row>
    <row r="160" spans="1:9" x14ac:dyDescent="0.2">
      <c r="A160" s="8" t="s">
        <v>3</v>
      </c>
      <c r="B160" s="5"/>
      <c r="C160" s="74"/>
      <c r="D160" s="6"/>
      <c r="E160" s="6"/>
      <c r="F160" s="6"/>
      <c r="G160" s="6"/>
      <c r="H160" s="6"/>
      <c r="I160" s="6"/>
    </row>
    <row r="161" spans="1:9" x14ac:dyDescent="0.2">
      <c r="A161" s="8" t="s">
        <v>4</v>
      </c>
      <c r="B161" s="5"/>
      <c r="C161" s="74"/>
      <c r="D161" s="6"/>
      <c r="E161" s="6"/>
      <c r="F161" s="6"/>
      <c r="G161" s="6"/>
      <c r="H161" s="6"/>
      <c r="I161" s="6"/>
    </row>
    <row r="162" spans="1:9" x14ac:dyDescent="0.2">
      <c r="A162" s="8" t="s">
        <v>5</v>
      </c>
      <c r="B162" s="5"/>
      <c r="C162" s="74"/>
      <c r="D162" s="6"/>
      <c r="E162" s="6"/>
      <c r="F162" s="6"/>
      <c r="G162" s="6"/>
      <c r="H162" s="6"/>
      <c r="I162" s="6"/>
    </row>
    <row r="163" spans="1:9" x14ac:dyDescent="0.2">
      <c r="A163" s="8" t="s">
        <v>6</v>
      </c>
      <c r="B163" s="5"/>
      <c r="C163" s="74"/>
      <c r="D163" s="6"/>
      <c r="E163" s="6"/>
      <c r="F163" s="6"/>
      <c r="G163" s="6"/>
      <c r="H163" s="6"/>
      <c r="I163" s="6"/>
    </row>
    <row r="164" spans="1:9" x14ac:dyDescent="0.2">
      <c r="A164" s="8" t="s">
        <v>7</v>
      </c>
      <c r="B164" s="5"/>
      <c r="C164" s="74"/>
      <c r="D164" s="6"/>
      <c r="E164" s="6"/>
      <c r="F164" s="6"/>
      <c r="G164" s="6"/>
      <c r="H164" s="6"/>
      <c r="I164" s="6"/>
    </row>
    <row r="165" spans="1:9" x14ac:dyDescent="0.2">
      <c r="A165" s="8" t="s">
        <v>8</v>
      </c>
      <c r="B165" s="5"/>
      <c r="C165" s="74"/>
      <c r="D165" s="6"/>
      <c r="E165" s="6"/>
      <c r="F165" s="6"/>
      <c r="G165" s="6"/>
      <c r="H165" s="6"/>
      <c r="I165" s="6"/>
    </row>
    <row r="166" spans="1:9" x14ac:dyDescent="0.2">
      <c r="A166" s="8" t="s">
        <v>9</v>
      </c>
      <c r="B166" s="5"/>
      <c r="C166" s="74"/>
      <c r="D166" s="6"/>
      <c r="E166" s="6"/>
      <c r="F166" s="6"/>
      <c r="G166" s="6"/>
      <c r="H166" s="6"/>
      <c r="I166" s="6"/>
    </row>
    <row r="167" spans="1:9" x14ac:dyDescent="0.2">
      <c r="A167" s="312" t="s">
        <v>10</v>
      </c>
      <c r="B167" s="313"/>
      <c r="C167" s="313"/>
      <c r="D167" s="313"/>
      <c r="E167" s="314"/>
      <c r="F167" s="11">
        <f>SUM(F157:F166)</f>
        <v>0</v>
      </c>
      <c r="G167" s="11">
        <f>SUM(G157:G166)</f>
        <v>0</v>
      </c>
      <c r="H167" s="11">
        <f>SUM(H157:H166)</f>
        <v>0</v>
      </c>
      <c r="I167" s="11"/>
    </row>
    <row r="168" spans="1:9" s="25" customFormat="1" ht="18" x14ac:dyDescent="0.2">
      <c r="A168" s="315" t="s">
        <v>39</v>
      </c>
      <c r="B168" s="316"/>
      <c r="C168" s="316"/>
      <c r="D168" s="316"/>
      <c r="E168" s="317"/>
      <c r="F168" s="22">
        <f>F101+F112+F123+F134+F145+F156+F167+F84</f>
        <v>0</v>
      </c>
      <c r="G168" s="22">
        <f>G101+G112+G123+G134+G145+G156+G167+G84</f>
        <v>0</v>
      </c>
      <c r="H168" s="22">
        <f>H101+H112+H123+H134+H145+H156+H167+H84</f>
        <v>0</v>
      </c>
      <c r="I168" s="22"/>
    </row>
    <row r="169" spans="1:9" ht="21.95" customHeight="1" x14ac:dyDescent="0.2">
      <c r="A169" s="319" t="s">
        <v>14</v>
      </c>
      <c r="B169" s="319"/>
      <c r="C169" s="319"/>
      <c r="D169" s="319"/>
      <c r="E169" s="319"/>
      <c r="F169" s="319"/>
      <c r="G169" s="319"/>
      <c r="H169" s="319"/>
      <c r="I169" s="319"/>
    </row>
    <row r="170" spans="1:9" s="53" customFormat="1" ht="20.100000000000001" customHeight="1" x14ac:dyDescent="0.2">
      <c r="A170" s="323" t="s">
        <v>86</v>
      </c>
      <c r="B170" s="323"/>
      <c r="C170" s="323"/>
      <c r="D170" s="323"/>
      <c r="E170" s="323"/>
      <c r="F170" s="50" t="str">
        <f>F86</f>
        <v>เมษายน</v>
      </c>
      <c r="G170" s="50" t="s">
        <v>87</v>
      </c>
      <c r="H170" s="51">
        <f>H86</f>
        <v>2569</v>
      </c>
      <c r="I170" s="52"/>
    </row>
    <row r="171" spans="1:9" s="3" customFormat="1" ht="20.100000000000001" customHeight="1" x14ac:dyDescent="0.35">
      <c r="A171" s="318" t="s">
        <v>38</v>
      </c>
      <c r="B171" s="318"/>
      <c r="C171" s="318"/>
      <c r="D171" s="2"/>
      <c r="F171" s="4"/>
      <c r="G171" s="4"/>
      <c r="H171" s="4" t="s">
        <v>21</v>
      </c>
      <c r="I171" s="40">
        <f>I87+1</f>
        <v>3</v>
      </c>
    </row>
    <row r="172" spans="1:9" s="3" customFormat="1" ht="20.100000000000001" customHeight="1" x14ac:dyDescent="0.35">
      <c r="A172" s="311" t="s">
        <v>68</v>
      </c>
      <c r="B172" s="311"/>
      <c r="C172" s="311"/>
      <c r="D172" s="2"/>
      <c r="E172" s="39" t="s">
        <v>81</v>
      </c>
      <c r="F172" s="308">
        <f>F88</f>
        <v>46107</v>
      </c>
      <c r="G172" s="308"/>
      <c r="H172" s="39" t="s">
        <v>82</v>
      </c>
      <c r="I172" s="34">
        <f>I88</f>
        <v>46136</v>
      </c>
    </row>
    <row r="173" spans="1:9" x14ac:dyDescent="0.2">
      <c r="A173" s="12" t="s">
        <v>23</v>
      </c>
      <c r="B173" s="13" t="s">
        <v>11</v>
      </c>
      <c r="C173" s="72" t="s">
        <v>26</v>
      </c>
      <c r="D173" s="12" t="s">
        <v>16</v>
      </c>
      <c r="E173" s="12" t="s">
        <v>17</v>
      </c>
      <c r="F173" s="310" t="s">
        <v>46</v>
      </c>
      <c r="G173" s="310"/>
      <c r="H173" s="310"/>
      <c r="I173" s="12" t="s">
        <v>19</v>
      </c>
    </row>
    <row r="174" spans="1:9" x14ac:dyDescent="0.2">
      <c r="A174" s="15"/>
      <c r="B174" s="16"/>
      <c r="C174" s="73"/>
      <c r="D174" s="15"/>
      <c r="E174" s="15"/>
      <c r="F174" s="21" t="s">
        <v>113</v>
      </c>
      <c r="G174" s="21" t="s">
        <v>114</v>
      </c>
      <c r="H174" s="21" t="s">
        <v>20</v>
      </c>
      <c r="I174" s="15"/>
    </row>
    <row r="175" spans="1:9" x14ac:dyDescent="0.2">
      <c r="A175" s="8" t="s">
        <v>0</v>
      </c>
      <c r="B175" s="5">
        <f>B157+1</f>
        <v>46121</v>
      </c>
      <c r="C175" s="74"/>
      <c r="D175" s="6"/>
      <c r="E175" s="6"/>
      <c r="F175" s="6"/>
      <c r="G175" s="6"/>
      <c r="H175" s="6"/>
      <c r="I175" s="6"/>
    </row>
    <row r="176" spans="1:9" x14ac:dyDescent="0.2">
      <c r="A176" s="8" t="s">
        <v>1</v>
      </c>
      <c r="B176" s="5"/>
      <c r="C176" s="74"/>
      <c r="D176" s="6"/>
      <c r="E176" s="6"/>
      <c r="F176" s="6"/>
      <c r="G176" s="6"/>
      <c r="H176" s="6"/>
      <c r="I176" s="6"/>
    </row>
    <row r="177" spans="1:9" x14ac:dyDescent="0.2">
      <c r="A177" s="8" t="s">
        <v>2</v>
      </c>
      <c r="B177" s="5"/>
      <c r="C177" s="74"/>
      <c r="D177" s="6"/>
      <c r="E177" s="6"/>
      <c r="F177" s="6"/>
      <c r="G177" s="6"/>
      <c r="H177" s="6"/>
      <c r="I177" s="6"/>
    </row>
    <row r="178" spans="1:9" x14ac:dyDescent="0.2">
      <c r="A178" s="8" t="s">
        <v>3</v>
      </c>
      <c r="B178" s="5"/>
      <c r="C178" s="74"/>
      <c r="D178" s="6"/>
      <c r="E178" s="6"/>
      <c r="F178" s="6"/>
      <c r="G178" s="6"/>
      <c r="H178" s="6"/>
      <c r="I178" s="6"/>
    </row>
    <row r="179" spans="1:9" x14ac:dyDescent="0.2">
      <c r="A179" s="8" t="s">
        <v>4</v>
      </c>
      <c r="B179" s="5"/>
      <c r="C179" s="74"/>
      <c r="D179" s="6"/>
      <c r="E179" s="6"/>
      <c r="F179" s="6"/>
      <c r="G179" s="6"/>
      <c r="H179" s="6"/>
      <c r="I179" s="6"/>
    </row>
    <row r="180" spans="1:9" x14ac:dyDescent="0.2">
      <c r="A180" s="8" t="s">
        <v>5</v>
      </c>
      <c r="B180" s="5"/>
      <c r="C180" s="74"/>
      <c r="D180" s="6"/>
      <c r="E180" s="6"/>
      <c r="F180" s="6"/>
      <c r="G180" s="6"/>
      <c r="H180" s="6"/>
      <c r="I180" s="6"/>
    </row>
    <row r="181" spans="1:9" x14ac:dyDescent="0.2">
      <c r="A181" s="8" t="s">
        <v>6</v>
      </c>
      <c r="B181" s="5"/>
      <c r="C181" s="74"/>
      <c r="D181" s="6"/>
      <c r="E181" s="6"/>
      <c r="F181" s="6"/>
      <c r="G181" s="6"/>
      <c r="H181" s="6"/>
      <c r="I181" s="6"/>
    </row>
    <row r="182" spans="1:9" x14ac:dyDescent="0.2">
      <c r="A182" s="8" t="s">
        <v>7</v>
      </c>
      <c r="B182" s="5"/>
      <c r="C182" s="74"/>
      <c r="D182" s="6"/>
      <c r="E182" s="6"/>
      <c r="F182" s="6"/>
      <c r="G182" s="6"/>
      <c r="H182" s="6"/>
      <c r="I182" s="6"/>
    </row>
    <row r="183" spans="1:9" x14ac:dyDescent="0.2">
      <c r="A183" s="8" t="s">
        <v>8</v>
      </c>
      <c r="B183" s="5"/>
      <c r="C183" s="74"/>
      <c r="D183" s="6"/>
      <c r="E183" s="6"/>
      <c r="F183" s="6"/>
      <c r="G183" s="6"/>
      <c r="H183" s="6"/>
      <c r="I183" s="6"/>
    </row>
    <row r="184" spans="1:9" x14ac:dyDescent="0.2">
      <c r="A184" s="8" t="s">
        <v>9</v>
      </c>
      <c r="B184" s="5"/>
      <c r="C184" s="74"/>
      <c r="D184" s="6"/>
      <c r="E184" s="6"/>
      <c r="F184" s="6"/>
      <c r="G184" s="6"/>
      <c r="H184" s="6"/>
      <c r="I184" s="6"/>
    </row>
    <row r="185" spans="1:9" x14ac:dyDescent="0.2">
      <c r="A185" s="312" t="s">
        <v>10</v>
      </c>
      <c r="B185" s="313"/>
      <c r="C185" s="313"/>
      <c r="D185" s="313"/>
      <c r="E185" s="314"/>
      <c r="F185" s="11">
        <f>SUM(F175:F184)</f>
        <v>0</v>
      </c>
      <c r="G185" s="11">
        <f>SUM(G175:G184)</f>
        <v>0</v>
      </c>
      <c r="H185" s="11">
        <f>SUM(H175:H184)</f>
        <v>0</v>
      </c>
      <c r="I185" s="11"/>
    </row>
    <row r="186" spans="1:9" x14ac:dyDescent="0.2">
      <c r="A186" s="8" t="s">
        <v>0</v>
      </c>
      <c r="B186" s="5">
        <f>B175+1</f>
        <v>46122</v>
      </c>
      <c r="C186" s="74"/>
      <c r="D186" s="6"/>
      <c r="E186" s="6"/>
      <c r="F186" s="6"/>
      <c r="G186" s="6"/>
      <c r="H186" s="6"/>
      <c r="I186" s="6"/>
    </row>
    <row r="187" spans="1:9" x14ac:dyDescent="0.2">
      <c r="A187" s="8" t="s">
        <v>1</v>
      </c>
      <c r="B187" s="5"/>
      <c r="C187" s="74"/>
      <c r="D187" s="6"/>
      <c r="E187" s="6"/>
      <c r="F187" s="6"/>
      <c r="G187" s="6"/>
      <c r="H187" s="6"/>
      <c r="I187" s="6"/>
    </row>
    <row r="188" spans="1:9" x14ac:dyDescent="0.2">
      <c r="A188" s="8" t="s">
        <v>2</v>
      </c>
      <c r="B188" s="5"/>
      <c r="C188" s="74"/>
      <c r="D188" s="6"/>
      <c r="E188" s="6"/>
      <c r="F188" s="6"/>
      <c r="G188" s="6"/>
      <c r="H188" s="6"/>
      <c r="I188" s="6"/>
    </row>
    <row r="189" spans="1:9" x14ac:dyDescent="0.2">
      <c r="A189" s="8" t="s">
        <v>3</v>
      </c>
      <c r="B189" s="5"/>
      <c r="C189" s="74"/>
      <c r="D189" s="6"/>
      <c r="E189" s="6"/>
      <c r="F189" s="6"/>
      <c r="G189" s="6"/>
      <c r="H189" s="6"/>
      <c r="I189" s="6"/>
    </row>
    <row r="190" spans="1:9" x14ac:dyDescent="0.2">
      <c r="A190" s="8" t="s">
        <v>4</v>
      </c>
      <c r="B190" s="5"/>
      <c r="C190" s="74"/>
      <c r="D190" s="6"/>
      <c r="E190" s="6"/>
      <c r="F190" s="6"/>
      <c r="G190" s="6"/>
      <c r="H190" s="6"/>
      <c r="I190" s="6"/>
    </row>
    <row r="191" spans="1:9" x14ac:dyDescent="0.2">
      <c r="A191" s="8" t="s">
        <v>5</v>
      </c>
      <c r="B191" s="5"/>
      <c r="C191" s="74"/>
      <c r="D191" s="6"/>
      <c r="E191" s="6"/>
      <c r="F191" s="6"/>
      <c r="G191" s="6"/>
      <c r="H191" s="6"/>
      <c r="I191" s="6"/>
    </row>
    <row r="192" spans="1:9" x14ac:dyDescent="0.2">
      <c r="A192" s="8" t="s">
        <v>6</v>
      </c>
      <c r="B192" s="5"/>
      <c r="C192" s="74"/>
      <c r="D192" s="6"/>
      <c r="E192" s="6"/>
      <c r="F192" s="6"/>
      <c r="G192" s="6"/>
      <c r="H192" s="6"/>
      <c r="I192" s="6"/>
    </row>
    <row r="193" spans="1:9" x14ac:dyDescent="0.2">
      <c r="A193" s="8" t="s">
        <v>7</v>
      </c>
      <c r="B193" s="5"/>
      <c r="C193" s="74"/>
      <c r="D193" s="6"/>
      <c r="E193" s="6"/>
      <c r="F193" s="6"/>
      <c r="G193" s="6"/>
      <c r="H193" s="6"/>
      <c r="I193" s="6"/>
    </row>
    <row r="194" spans="1:9" x14ac:dyDescent="0.2">
      <c r="A194" s="8" t="s">
        <v>8</v>
      </c>
      <c r="B194" s="5"/>
      <c r="C194" s="74"/>
      <c r="D194" s="6"/>
      <c r="E194" s="6"/>
      <c r="F194" s="6"/>
      <c r="G194" s="6"/>
      <c r="H194" s="6"/>
      <c r="I194" s="6"/>
    </row>
    <row r="195" spans="1:9" x14ac:dyDescent="0.2">
      <c r="A195" s="8" t="s">
        <v>9</v>
      </c>
      <c r="B195" s="5"/>
      <c r="C195" s="74"/>
      <c r="D195" s="6"/>
      <c r="E195" s="6"/>
      <c r="F195" s="6"/>
      <c r="G195" s="6"/>
      <c r="H195" s="6"/>
      <c r="I195" s="6"/>
    </row>
    <row r="196" spans="1:9" x14ac:dyDescent="0.2">
      <c r="A196" s="312" t="s">
        <v>10</v>
      </c>
      <c r="B196" s="313"/>
      <c r="C196" s="313"/>
      <c r="D196" s="313"/>
      <c r="E196" s="314"/>
      <c r="F196" s="11">
        <f>SUM(F186:F195)</f>
        <v>0</v>
      </c>
      <c r="G196" s="11">
        <f>SUM(G186:G195)</f>
        <v>0</v>
      </c>
      <c r="H196" s="11">
        <f>SUM(H186:H195)</f>
        <v>0</v>
      </c>
      <c r="I196" s="11"/>
    </row>
    <row r="197" spans="1:9" x14ac:dyDescent="0.2">
      <c r="A197" s="8" t="s">
        <v>0</v>
      </c>
      <c r="B197" s="5">
        <f>B186+1</f>
        <v>46123</v>
      </c>
      <c r="C197" s="74"/>
      <c r="D197" s="6"/>
      <c r="E197" s="6"/>
      <c r="F197" s="6"/>
      <c r="G197" s="6"/>
      <c r="H197" s="6"/>
      <c r="I197" s="6"/>
    </row>
    <row r="198" spans="1:9" x14ac:dyDescent="0.2">
      <c r="A198" s="8" t="s">
        <v>1</v>
      </c>
      <c r="B198" s="5"/>
      <c r="C198" s="74"/>
      <c r="D198" s="6"/>
      <c r="E198" s="6"/>
      <c r="F198" s="6"/>
      <c r="G198" s="6"/>
      <c r="H198" s="6"/>
      <c r="I198" s="6"/>
    </row>
    <row r="199" spans="1:9" x14ac:dyDescent="0.2">
      <c r="A199" s="8" t="s">
        <v>2</v>
      </c>
      <c r="B199" s="5"/>
      <c r="C199" s="74"/>
      <c r="D199" s="6"/>
      <c r="E199" s="6"/>
      <c r="F199" s="6"/>
      <c r="G199" s="6"/>
      <c r="H199" s="6"/>
      <c r="I199" s="6"/>
    </row>
    <row r="200" spans="1:9" x14ac:dyDescent="0.2">
      <c r="A200" s="8" t="s">
        <v>3</v>
      </c>
      <c r="B200" s="5"/>
      <c r="C200" s="74"/>
      <c r="D200" s="6"/>
      <c r="E200" s="6"/>
      <c r="F200" s="6"/>
      <c r="G200" s="6"/>
      <c r="H200" s="6"/>
      <c r="I200" s="6"/>
    </row>
    <row r="201" spans="1:9" x14ac:dyDescent="0.2">
      <c r="A201" s="8" t="s">
        <v>4</v>
      </c>
      <c r="B201" s="5"/>
      <c r="C201" s="74"/>
      <c r="D201" s="6"/>
      <c r="E201" s="6"/>
      <c r="F201" s="6"/>
      <c r="G201" s="6"/>
      <c r="H201" s="6"/>
      <c r="I201" s="6"/>
    </row>
    <row r="202" spans="1:9" x14ac:dyDescent="0.2">
      <c r="A202" s="8" t="s">
        <v>5</v>
      </c>
      <c r="B202" s="5"/>
      <c r="C202" s="74"/>
      <c r="D202" s="6"/>
      <c r="E202" s="6"/>
      <c r="F202" s="6"/>
      <c r="G202" s="6"/>
      <c r="H202" s="6"/>
      <c r="I202" s="6"/>
    </row>
    <row r="203" spans="1:9" x14ac:dyDescent="0.2">
      <c r="A203" s="8" t="s">
        <v>6</v>
      </c>
      <c r="B203" s="5"/>
      <c r="C203" s="74"/>
      <c r="D203" s="6"/>
      <c r="E203" s="6"/>
      <c r="F203" s="6"/>
      <c r="G203" s="6"/>
      <c r="H203" s="6"/>
      <c r="I203" s="6"/>
    </row>
    <row r="204" spans="1:9" x14ac:dyDescent="0.2">
      <c r="A204" s="8" t="s">
        <v>7</v>
      </c>
      <c r="B204" s="5"/>
      <c r="C204" s="74"/>
      <c r="D204" s="6"/>
      <c r="E204" s="6"/>
      <c r="F204" s="6"/>
      <c r="G204" s="6"/>
      <c r="H204" s="6"/>
      <c r="I204" s="6"/>
    </row>
    <row r="205" spans="1:9" x14ac:dyDescent="0.2">
      <c r="A205" s="8" t="s">
        <v>8</v>
      </c>
      <c r="B205" s="5"/>
      <c r="C205" s="74"/>
      <c r="D205" s="6"/>
      <c r="E205" s="6"/>
      <c r="F205" s="6"/>
      <c r="G205" s="6"/>
      <c r="H205" s="6"/>
      <c r="I205" s="6"/>
    </row>
    <row r="206" spans="1:9" x14ac:dyDescent="0.2">
      <c r="A206" s="8" t="s">
        <v>9</v>
      </c>
      <c r="B206" s="5"/>
      <c r="C206" s="74"/>
      <c r="D206" s="6"/>
      <c r="E206" s="6"/>
      <c r="F206" s="6"/>
      <c r="G206" s="6"/>
      <c r="H206" s="6"/>
      <c r="I206" s="6"/>
    </row>
    <row r="207" spans="1:9" x14ac:dyDescent="0.2">
      <c r="A207" s="312" t="s">
        <v>10</v>
      </c>
      <c r="B207" s="313"/>
      <c r="C207" s="313"/>
      <c r="D207" s="313"/>
      <c r="E207" s="314"/>
      <c r="F207" s="11">
        <f>SUM(F197:F206)</f>
        <v>0</v>
      </c>
      <c r="G207" s="11">
        <f>SUM(G197:G206)</f>
        <v>0</v>
      </c>
      <c r="H207" s="11">
        <f>SUM(H197:H206)</f>
        <v>0</v>
      </c>
      <c r="I207" s="11"/>
    </row>
    <row r="208" spans="1:9" x14ac:dyDescent="0.2">
      <c r="A208" s="8" t="s">
        <v>0</v>
      </c>
      <c r="B208" s="5">
        <f>B197+1</f>
        <v>46124</v>
      </c>
      <c r="C208" s="75"/>
      <c r="D208" s="6"/>
      <c r="E208" s="6"/>
      <c r="F208" s="6"/>
      <c r="G208" s="6"/>
      <c r="H208" s="6"/>
      <c r="I208" s="6"/>
    </row>
    <row r="209" spans="1:9" x14ac:dyDescent="0.2">
      <c r="A209" s="8" t="s">
        <v>1</v>
      </c>
      <c r="B209" s="5"/>
      <c r="C209" s="75"/>
      <c r="D209" s="6"/>
      <c r="E209" s="6"/>
      <c r="F209" s="6"/>
      <c r="G209" s="6"/>
      <c r="H209" s="6"/>
      <c r="I209" s="6"/>
    </row>
    <row r="210" spans="1:9" x14ac:dyDescent="0.2">
      <c r="A210" s="8" t="s">
        <v>2</v>
      </c>
      <c r="B210" s="5"/>
      <c r="C210" s="75"/>
      <c r="D210" s="6"/>
      <c r="E210" s="6"/>
      <c r="F210" s="6"/>
      <c r="G210" s="6"/>
      <c r="H210" s="6"/>
      <c r="I210" s="6"/>
    </row>
    <row r="211" spans="1:9" x14ac:dyDescent="0.2">
      <c r="A211" s="8" t="s">
        <v>3</v>
      </c>
      <c r="B211" s="5"/>
      <c r="C211" s="75"/>
      <c r="D211" s="6"/>
      <c r="E211" s="6"/>
      <c r="F211" s="6"/>
      <c r="G211" s="6"/>
      <c r="H211" s="6"/>
      <c r="I211" s="6"/>
    </row>
    <row r="212" spans="1:9" x14ac:dyDescent="0.2">
      <c r="A212" s="8" t="s">
        <v>4</v>
      </c>
      <c r="B212" s="5"/>
      <c r="C212" s="75"/>
      <c r="D212" s="6"/>
      <c r="E212" s="6"/>
      <c r="F212" s="6"/>
      <c r="G212" s="6"/>
      <c r="H212" s="6"/>
      <c r="I212" s="6"/>
    </row>
    <row r="213" spans="1:9" x14ac:dyDescent="0.2">
      <c r="A213" s="8" t="s">
        <v>5</v>
      </c>
      <c r="B213" s="5"/>
      <c r="C213" s="75"/>
      <c r="D213" s="6"/>
      <c r="E213" s="6"/>
      <c r="F213" s="6"/>
      <c r="G213" s="6"/>
      <c r="H213" s="6"/>
      <c r="I213" s="6"/>
    </row>
    <row r="214" spans="1:9" x14ac:dyDescent="0.2">
      <c r="A214" s="8" t="s">
        <v>6</v>
      </c>
      <c r="B214" s="5"/>
      <c r="C214" s="75"/>
      <c r="D214" s="6"/>
      <c r="E214" s="6"/>
      <c r="F214" s="6"/>
      <c r="G214" s="6"/>
      <c r="H214" s="6"/>
      <c r="I214" s="6"/>
    </row>
    <row r="215" spans="1:9" x14ac:dyDescent="0.2">
      <c r="A215" s="8" t="s">
        <v>7</v>
      </c>
      <c r="B215" s="5"/>
      <c r="C215" s="74"/>
      <c r="D215" s="6"/>
      <c r="E215" s="6"/>
      <c r="F215" s="6"/>
      <c r="G215" s="6"/>
      <c r="H215" s="6"/>
      <c r="I215" s="6"/>
    </row>
    <row r="216" spans="1:9" x14ac:dyDescent="0.2">
      <c r="A216" s="8" t="s">
        <v>8</v>
      </c>
      <c r="B216" s="5"/>
      <c r="C216" s="74"/>
      <c r="D216" s="6"/>
      <c r="E216" s="6"/>
      <c r="F216" s="6"/>
      <c r="G216" s="6"/>
      <c r="H216" s="6"/>
      <c r="I216" s="6"/>
    </row>
    <row r="217" spans="1:9" x14ac:dyDescent="0.2">
      <c r="A217" s="8" t="s">
        <v>9</v>
      </c>
      <c r="B217" s="5"/>
      <c r="C217" s="74"/>
      <c r="D217" s="6"/>
      <c r="E217" s="6"/>
      <c r="F217" s="6"/>
      <c r="G217" s="6"/>
      <c r="H217" s="6"/>
      <c r="I217" s="6"/>
    </row>
    <row r="218" spans="1:9" x14ac:dyDescent="0.2">
      <c r="A218" s="312" t="s">
        <v>10</v>
      </c>
      <c r="B218" s="313"/>
      <c r="C218" s="313"/>
      <c r="D218" s="313"/>
      <c r="E218" s="314"/>
      <c r="F218" s="11">
        <f>SUM(F208:F217)</f>
        <v>0</v>
      </c>
      <c r="G218" s="11">
        <f>SUM(G208:G217)</f>
        <v>0</v>
      </c>
      <c r="H218" s="11">
        <f>SUM(H208:H217)</f>
        <v>0</v>
      </c>
      <c r="I218" s="11"/>
    </row>
    <row r="219" spans="1:9" x14ac:dyDescent="0.2">
      <c r="A219" s="8" t="s">
        <v>0</v>
      </c>
      <c r="B219" s="5">
        <f>B208+1</f>
        <v>46125</v>
      </c>
      <c r="C219" s="75"/>
      <c r="D219" s="6"/>
      <c r="E219" s="6"/>
      <c r="F219" s="6"/>
      <c r="G219" s="6"/>
      <c r="H219" s="6"/>
      <c r="I219" s="6"/>
    </row>
    <row r="220" spans="1:9" x14ac:dyDescent="0.2">
      <c r="A220" s="8" t="s">
        <v>1</v>
      </c>
      <c r="B220" s="5"/>
      <c r="C220" s="75"/>
      <c r="D220" s="6"/>
      <c r="E220" s="6"/>
      <c r="F220" s="6"/>
      <c r="G220" s="6"/>
      <c r="H220" s="6"/>
      <c r="I220" s="6"/>
    </row>
    <row r="221" spans="1:9" x14ac:dyDescent="0.2">
      <c r="A221" s="8" t="s">
        <v>2</v>
      </c>
      <c r="B221" s="5"/>
      <c r="C221" s="75"/>
      <c r="D221" s="6"/>
      <c r="E221" s="6"/>
      <c r="F221" s="6"/>
      <c r="G221" s="6"/>
      <c r="H221" s="6"/>
      <c r="I221" s="6"/>
    </row>
    <row r="222" spans="1:9" x14ac:dyDescent="0.2">
      <c r="A222" s="8" t="s">
        <v>3</v>
      </c>
      <c r="B222" s="5"/>
      <c r="C222" s="75"/>
      <c r="D222" s="6"/>
      <c r="E222" s="6"/>
      <c r="F222" s="6"/>
      <c r="G222" s="6"/>
      <c r="H222" s="6"/>
      <c r="I222" s="6"/>
    </row>
    <row r="223" spans="1:9" x14ac:dyDescent="0.2">
      <c r="A223" s="8" t="s">
        <v>4</v>
      </c>
      <c r="B223" s="5"/>
      <c r="C223" s="75"/>
      <c r="D223" s="6"/>
      <c r="E223" s="6"/>
      <c r="F223" s="6"/>
      <c r="G223" s="6"/>
      <c r="H223" s="6"/>
      <c r="I223" s="6"/>
    </row>
    <row r="224" spans="1:9" x14ac:dyDescent="0.2">
      <c r="A224" s="8" t="s">
        <v>5</v>
      </c>
      <c r="B224" s="5"/>
      <c r="C224" s="75"/>
      <c r="D224" s="6"/>
      <c r="E224" s="6"/>
      <c r="F224" s="6"/>
      <c r="G224" s="6"/>
      <c r="H224" s="6"/>
      <c r="I224" s="6"/>
    </row>
    <row r="225" spans="1:9" x14ac:dyDescent="0.2">
      <c r="A225" s="8" t="s">
        <v>6</v>
      </c>
      <c r="B225" s="5"/>
      <c r="C225" s="74"/>
      <c r="D225" s="6"/>
      <c r="E225" s="6"/>
      <c r="F225" s="6"/>
      <c r="G225" s="6"/>
      <c r="H225" s="6"/>
      <c r="I225" s="6"/>
    </row>
    <row r="226" spans="1:9" x14ac:dyDescent="0.2">
      <c r="A226" s="8" t="s">
        <v>7</v>
      </c>
      <c r="B226" s="5"/>
      <c r="C226" s="74"/>
      <c r="D226" s="6"/>
      <c r="E226" s="6"/>
      <c r="F226" s="6"/>
      <c r="G226" s="6"/>
      <c r="H226" s="6"/>
      <c r="I226" s="6"/>
    </row>
    <row r="227" spans="1:9" x14ac:dyDescent="0.2">
      <c r="A227" s="8" t="s">
        <v>8</v>
      </c>
      <c r="B227" s="5"/>
      <c r="C227" s="74"/>
      <c r="D227" s="6"/>
      <c r="E227" s="6"/>
      <c r="F227" s="6"/>
      <c r="G227" s="6"/>
      <c r="H227" s="6"/>
      <c r="I227" s="6"/>
    </row>
    <row r="228" spans="1:9" x14ac:dyDescent="0.2">
      <c r="A228" s="8" t="s">
        <v>9</v>
      </c>
      <c r="B228" s="5"/>
      <c r="C228" s="74"/>
      <c r="D228" s="6"/>
      <c r="E228" s="6"/>
      <c r="F228" s="6"/>
      <c r="G228" s="6"/>
      <c r="H228" s="6"/>
      <c r="I228" s="6"/>
    </row>
    <row r="229" spans="1:9" x14ac:dyDescent="0.2">
      <c r="A229" s="312" t="s">
        <v>10</v>
      </c>
      <c r="B229" s="313"/>
      <c r="C229" s="313"/>
      <c r="D229" s="313"/>
      <c r="E229" s="314"/>
      <c r="F229" s="11">
        <f>SUM(F219:F228)</f>
        <v>0</v>
      </c>
      <c r="G229" s="11">
        <f>SUM(G219:G228)</f>
        <v>0</v>
      </c>
      <c r="H229" s="11">
        <f>SUM(H219:H228)</f>
        <v>0</v>
      </c>
      <c r="I229" s="11"/>
    </row>
    <row r="230" spans="1:9" x14ac:dyDescent="0.2">
      <c r="A230" s="8" t="s">
        <v>0</v>
      </c>
      <c r="B230" s="5">
        <f>B219+1</f>
        <v>46126</v>
      </c>
      <c r="C230" s="75"/>
      <c r="D230" s="6"/>
      <c r="E230" s="6"/>
      <c r="F230" s="6"/>
      <c r="G230" s="6"/>
      <c r="H230" s="6"/>
      <c r="I230" s="6"/>
    </row>
    <row r="231" spans="1:9" x14ac:dyDescent="0.2">
      <c r="A231" s="8" t="s">
        <v>1</v>
      </c>
      <c r="B231" s="5"/>
      <c r="C231" s="75"/>
      <c r="D231" s="6"/>
      <c r="E231" s="6"/>
      <c r="F231" s="6"/>
      <c r="G231" s="6"/>
      <c r="H231" s="6"/>
      <c r="I231" s="6"/>
    </row>
    <row r="232" spans="1:9" x14ac:dyDescent="0.2">
      <c r="A232" s="8" t="s">
        <v>2</v>
      </c>
      <c r="B232" s="5"/>
      <c r="C232" s="75"/>
      <c r="D232" s="6"/>
      <c r="E232" s="6"/>
      <c r="F232" s="6"/>
      <c r="G232" s="6"/>
      <c r="H232" s="6"/>
      <c r="I232" s="6"/>
    </row>
    <row r="233" spans="1:9" x14ac:dyDescent="0.2">
      <c r="A233" s="8" t="s">
        <v>3</v>
      </c>
      <c r="B233" s="5"/>
      <c r="C233" s="75"/>
      <c r="D233" s="6"/>
      <c r="E233" s="6"/>
      <c r="F233" s="6"/>
      <c r="G233" s="6"/>
      <c r="H233" s="6"/>
      <c r="I233" s="6"/>
    </row>
    <row r="234" spans="1:9" x14ac:dyDescent="0.2">
      <c r="A234" s="8" t="s">
        <v>4</v>
      </c>
      <c r="B234" s="5"/>
      <c r="C234" s="75"/>
      <c r="D234" s="6"/>
      <c r="E234" s="6"/>
      <c r="F234" s="6"/>
      <c r="G234" s="6"/>
      <c r="H234" s="6"/>
      <c r="I234" s="6"/>
    </row>
    <row r="235" spans="1:9" x14ac:dyDescent="0.2">
      <c r="A235" s="8" t="s">
        <v>5</v>
      </c>
      <c r="B235" s="5"/>
      <c r="C235" s="75"/>
      <c r="D235" s="6"/>
      <c r="E235" s="6"/>
      <c r="F235" s="6"/>
      <c r="G235" s="6"/>
      <c r="H235" s="6"/>
      <c r="I235" s="6"/>
    </row>
    <row r="236" spans="1:9" x14ac:dyDescent="0.2">
      <c r="A236" s="8" t="s">
        <v>6</v>
      </c>
      <c r="B236" s="5"/>
      <c r="C236" s="75"/>
      <c r="D236" s="6"/>
      <c r="E236" s="6"/>
      <c r="F236" s="6"/>
      <c r="G236" s="6"/>
      <c r="H236" s="6"/>
      <c r="I236" s="6"/>
    </row>
    <row r="237" spans="1:9" x14ac:dyDescent="0.2">
      <c r="A237" s="8" t="s">
        <v>7</v>
      </c>
      <c r="B237" s="5"/>
      <c r="C237" s="75"/>
      <c r="D237" s="6"/>
      <c r="E237" s="6"/>
      <c r="F237" s="6"/>
      <c r="G237" s="6"/>
      <c r="H237" s="6"/>
      <c r="I237" s="6"/>
    </row>
    <row r="238" spans="1:9" x14ac:dyDescent="0.2">
      <c r="A238" s="8" t="s">
        <v>8</v>
      </c>
      <c r="B238" s="5"/>
      <c r="C238" s="75"/>
      <c r="D238" s="6"/>
      <c r="E238" s="6"/>
      <c r="F238" s="6"/>
      <c r="G238" s="6"/>
      <c r="H238" s="6"/>
      <c r="I238" s="6"/>
    </row>
    <row r="239" spans="1:9" x14ac:dyDescent="0.2">
      <c r="A239" s="8" t="s">
        <v>9</v>
      </c>
      <c r="B239" s="5"/>
      <c r="C239" s="75"/>
      <c r="D239" s="6"/>
      <c r="E239" s="6"/>
      <c r="F239" s="6"/>
      <c r="G239" s="6"/>
      <c r="H239" s="6"/>
      <c r="I239" s="6"/>
    </row>
    <row r="240" spans="1:9" x14ac:dyDescent="0.2">
      <c r="A240" s="312" t="s">
        <v>10</v>
      </c>
      <c r="B240" s="313"/>
      <c r="C240" s="313"/>
      <c r="D240" s="313"/>
      <c r="E240" s="314"/>
      <c r="F240" s="11">
        <f>SUM(F230:F239)</f>
        <v>0</v>
      </c>
      <c r="G240" s="11">
        <f>SUM(G230:G239)</f>
        <v>0</v>
      </c>
      <c r="H240" s="11">
        <f>SUM(H230:H239)</f>
        <v>0</v>
      </c>
      <c r="I240" s="11"/>
    </row>
    <row r="241" spans="1:9" x14ac:dyDescent="0.2">
      <c r="A241" s="8" t="s">
        <v>0</v>
      </c>
      <c r="B241" s="5">
        <f>B230+1</f>
        <v>46127</v>
      </c>
      <c r="C241" s="74"/>
      <c r="D241" s="6"/>
      <c r="E241" s="6"/>
      <c r="F241" s="6"/>
      <c r="G241" s="6"/>
      <c r="H241" s="6"/>
      <c r="I241" s="6"/>
    </row>
    <row r="242" spans="1:9" x14ac:dyDescent="0.2">
      <c r="A242" s="8" t="s">
        <v>1</v>
      </c>
      <c r="B242" s="5"/>
      <c r="C242" s="74"/>
      <c r="D242" s="6"/>
      <c r="E242" s="6"/>
      <c r="F242" s="6"/>
      <c r="G242" s="6"/>
      <c r="H242" s="6"/>
      <c r="I242" s="6"/>
    </row>
    <row r="243" spans="1:9" x14ac:dyDescent="0.2">
      <c r="A243" s="8" t="s">
        <v>2</v>
      </c>
      <c r="B243" s="5"/>
      <c r="C243" s="74"/>
      <c r="D243" s="6"/>
      <c r="E243" s="6"/>
      <c r="F243" s="6"/>
      <c r="G243" s="6"/>
      <c r="H243" s="6"/>
      <c r="I243" s="6"/>
    </row>
    <row r="244" spans="1:9" x14ac:dyDescent="0.2">
      <c r="A244" s="8" t="s">
        <v>3</v>
      </c>
      <c r="B244" s="5"/>
      <c r="C244" s="74"/>
      <c r="D244" s="6"/>
      <c r="E244" s="6"/>
      <c r="F244" s="6"/>
      <c r="G244" s="6"/>
      <c r="H244" s="6"/>
      <c r="I244" s="6"/>
    </row>
    <row r="245" spans="1:9" x14ac:dyDescent="0.2">
      <c r="A245" s="8" t="s">
        <v>4</v>
      </c>
      <c r="B245" s="5"/>
      <c r="C245" s="74"/>
      <c r="D245" s="6"/>
      <c r="E245" s="6"/>
      <c r="F245" s="6"/>
      <c r="G245" s="6"/>
      <c r="H245" s="6"/>
      <c r="I245" s="6"/>
    </row>
    <row r="246" spans="1:9" x14ac:dyDescent="0.2">
      <c r="A246" s="8" t="s">
        <v>5</v>
      </c>
      <c r="B246" s="5"/>
      <c r="C246" s="74"/>
      <c r="D246" s="6"/>
      <c r="E246" s="6"/>
      <c r="F246" s="6"/>
      <c r="G246" s="6"/>
      <c r="H246" s="6"/>
      <c r="I246" s="6"/>
    </row>
    <row r="247" spans="1:9" x14ac:dyDescent="0.2">
      <c r="A247" s="8" t="s">
        <v>6</v>
      </c>
      <c r="B247" s="5"/>
      <c r="C247" s="74"/>
      <c r="D247" s="6"/>
      <c r="E247" s="6"/>
      <c r="F247" s="6"/>
      <c r="G247" s="6"/>
      <c r="H247" s="6"/>
      <c r="I247" s="6"/>
    </row>
    <row r="248" spans="1:9" x14ac:dyDescent="0.2">
      <c r="A248" s="8" t="s">
        <v>7</v>
      </c>
      <c r="B248" s="5"/>
      <c r="C248" s="74"/>
      <c r="D248" s="6"/>
      <c r="E248" s="6"/>
      <c r="F248" s="6"/>
      <c r="G248" s="6"/>
      <c r="H248" s="6"/>
      <c r="I248" s="6"/>
    </row>
    <row r="249" spans="1:9" x14ac:dyDescent="0.2">
      <c r="A249" s="8" t="s">
        <v>8</v>
      </c>
      <c r="B249" s="5"/>
      <c r="C249" s="74"/>
      <c r="D249" s="6"/>
      <c r="E249" s="6"/>
      <c r="F249" s="6"/>
      <c r="G249" s="6"/>
      <c r="H249" s="6"/>
      <c r="I249" s="6"/>
    </row>
    <row r="250" spans="1:9" x14ac:dyDescent="0.2">
      <c r="A250" s="8" t="s">
        <v>9</v>
      </c>
      <c r="B250" s="5"/>
      <c r="C250" s="74"/>
      <c r="D250" s="6"/>
      <c r="E250" s="6"/>
      <c r="F250" s="6"/>
      <c r="G250" s="6"/>
      <c r="H250" s="6"/>
      <c r="I250" s="6"/>
    </row>
    <row r="251" spans="1:9" x14ac:dyDescent="0.2">
      <c r="A251" s="312" t="s">
        <v>10</v>
      </c>
      <c r="B251" s="313"/>
      <c r="C251" s="313"/>
      <c r="D251" s="313"/>
      <c r="E251" s="314"/>
      <c r="F251" s="11">
        <f>SUM(F241:F250)</f>
        <v>0</v>
      </c>
      <c r="G251" s="11">
        <f>SUM(G241:G250)</f>
        <v>0</v>
      </c>
      <c r="H251" s="11">
        <f>SUM(H241:H250)</f>
        <v>0</v>
      </c>
      <c r="I251" s="11"/>
    </row>
    <row r="252" spans="1:9" s="25" customFormat="1" ht="18" x14ac:dyDescent="0.2">
      <c r="A252" s="315" t="s">
        <v>39</v>
      </c>
      <c r="B252" s="316"/>
      <c r="C252" s="316"/>
      <c r="D252" s="316"/>
      <c r="E252" s="317"/>
      <c r="F252" s="22">
        <f>F185+F196+F207+F218+F229+F240+F251+F168</f>
        <v>0</v>
      </c>
      <c r="G252" s="22">
        <f>G185+G196+G207+G218+G229+G240+G251+G168</f>
        <v>0</v>
      </c>
      <c r="H252" s="22">
        <f>H185+H196+H207+H218+H229+H240+H251+H168</f>
        <v>0</v>
      </c>
      <c r="I252" s="22"/>
    </row>
    <row r="253" spans="1:9" ht="21.95" customHeight="1" x14ac:dyDescent="0.2">
      <c r="A253" s="319" t="s">
        <v>14</v>
      </c>
      <c r="B253" s="319"/>
      <c r="C253" s="319"/>
      <c r="D253" s="319"/>
      <c r="E253" s="319"/>
      <c r="F253" s="319"/>
      <c r="G253" s="319"/>
      <c r="H253" s="319"/>
      <c r="I253" s="319"/>
    </row>
    <row r="254" spans="1:9" s="53" customFormat="1" ht="20.100000000000001" customHeight="1" x14ac:dyDescent="0.2">
      <c r="A254" s="323" t="s">
        <v>86</v>
      </c>
      <c r="B254" s="323"/>
      <c r="C254" s="323"/>
      <c r="D254" s="323"/>
      <c r="E254" s="323"/>
      <c r="F254" s="50" t="str">
        <f>F170</f>
        <v>เมษายน</v>
      </c>
      <c r="G254" s="50" t="s">
        <v>87</v>
      </c>
      <c r="H254" s="51">
        <f>H170</f>
        <v>2569</v>
      </c>
      <c r="I254" s="52"/>
    </row>
    <row r="255" spans="1:9" s="3" customFormat="1" ht="20.100000000000001" customHeight="1" x14ac:dyDescent="0.35">
      <c r="A255" s="318" t="s">
        <v>38</v>
      </c>
      <c r="B255" s="318"/>
      <c r="C255" s="318"/>
      <c r="D255" s="2"/>
      <c r="F255" s="4"/>
      <c r="G255" s="4"/>
      <c r="H255" s="4" t="s">
        <v>21</v>
      </c>
      <c r="I255" s="40">
        <f>I171+1</f>
        <v>4</v>
      </c>
    </row>
    <row r="256" spans="1:9" s="3" customFormat="1" ht="20.100000000000001" customHeight="1" x14ac:dyDescent="0.35">
      <c r="A256" s="311" t="s">
        <v>68</v>
      </c>
      <c r="B256" s="311"/>
      <c r="C256" s="311"/>
      <c r="D256" s="2"/>
      <c r="E256" s="39" t="s">
        <v>81</v>
      </c>
      <c r="F256" s="308">
        <f>F172</f>
        <v>46107</v>
      </c>
      <c r="G256" s="308"/>
      <c r="H256" s="39" t="s">
        <v>82</v>
      </c>
      <c r="I256" s="34">
        <f>I172</f>
        <v>46136</v>
      </c>
    </row>
    <row r="257" spans="1:9" x14ac:dyDescent="0.2">
      <c r="A257" s="12" t="s">
        <v>23</v>
      </c>
      <c r="B257" s="13" t="s">
        <v>11</v>
      </c>
      <c r="C257" s="72" t="s">
        <v>26</v>
      </c>
      <c r="D257" s="12" t="s">
        <v>16</v>
      </c>
      <c r="E257" s="12" t="s">
        <v>17</v>
      </c>
      <c r="F257" s="310" t="s">
        <v>46</v>
      </c>
      <c r="G257" s="310"/>
      <c r="H257" s="310"/>
      <c r="I257" s="12" t="s">
        <v>19</v>
      </c>
    </row>
    <row r="258" spans="1:9" x14ac:dyDescent="0.2">
      <c r="A258" s="15"/>
      <c r="B258" s="16"/>
      <c r="C258" s="73"/>
      <c r="D258" s="15"/>
      <c r="E258" s="15"/>
      <c r="F258" s="21" t="s">
        <v>113</v>
      </c>
      <c r="G258" s="21" t="s">
        <v>114</v>
      </c>
      <c r="H258" s="21" t="s">
        <v>20</v>
      </c>
      <c r="I258" s="15"/>
    </row>
    <row r="259" spans="1:9" x14ac:dyDescent="0.2">
      <c r="A259" s="8" t="s">
        <v>0</v>
      </c>
      <c r="B259" s="5">
        <f>B241+1</f>
        <v>46128</v>
      </c>
      <c r="C259" s="74"/>
      <c r="D259" s="6"/>
      <c r="E259" s="6"/>
      <c r="F259" s="6"/>
      <c r="G259" s="6"/>
      <c r="H259" s="6"/>
      <c r="I259" s="6"/>
    </row>
    <row r="260" spans="1:9" x14ac:dyDescent="0.2">
      <c r="A260" s="8" t="s">
        <v>1</v>
      </c>
      <c r="B260" s="5"/>
      <c r="C260" s="74"/>
      <c r="D260" s="6"/>
      <c r="E260" s="6"/>
      <c r="F260" s="6"/>
      <c r="G260" s="6"/>
      <c r="H260" s="6"/>
      <c r="I260" s="6"/>
    </row>
    <row r="261" spans="1:9" x14ac:dyDescent="0.2">
      <c r="A261" s="8" t="s">
        <v>2</v>
      </c>
      <c r="B261" s="5"/>
      <c r="C261" s="74"/>
      <c r="D261" s="6"/>
      <c r="E261" s="6"/>
      <c r="F261" s="6"/>
      <c r="G261" s="6"/>
      <c r="H261" s="6"/>
      <c r="I261" s="6"/>
    </row>
    <row r="262" spans="1:9" x14ac:dyDescent="0.2">
      <c r="A262" s="8" t="s">
        <v>3</v>
      </c>
      <c r="B262" s="5"/>
      <c r="C262" s="74"/>
      <c r="D262" s="6"/>
      <c r="E262" s="6"/>
      <c r="F262" s="6"/>
      <c r="G262" s="6"/>
      <c r="H262" s="6"/>
      <c r="I262" s="6"/>
    </row>
    <row r="263" spans="1:9" x14ac:dyDescent="0.2">
      <c r="A263" s="8" t="s">
        <v>4</v>
      </c>
      <c r="B263" s="5"/>
      <c r="C263" s="74"/>
      <c r="D263" s="6"/>
      <c r="E263" s="6"/>
      <c r="F263" s="6"/>
      <c r="G263" s="6"/>
      <c r="H263" s="6"/>
      <c r="I263" s="6"/>
    </row>
    <row r="264" spans="1:9" x14ac:dyDescent="0.2">
      <c r="A264" s="8" t="s">
        <v>5</v>
      </c>
      <c r="B264" s="5"/>
      <c r="C264" s="74"/>
      <c r="D264" s="6"/>
      <c r="E264" s="6"/>
      <c r="F264" s="6"/>
      <c r="G264" s="6"/>
      <c r="H264" s="6"/>
      <c r="I264" s="6"/>
    </row>
    <row r="265" spans="1:9" x14ac:dyDescent="0.2">
      <c r="A265" s="8" t="s">
        <v>6</v>
      </c>
      <c r="B265" s="5"/>
      <c r="C265" s="74"/>
      <c r="D265" s="6"/>
      <c r="E265" s="6"/>
      <c r="F265" s="6"/>
      <c r="G265" s="6"/>
      <c r="H265" s="6"/>
      <c r="I265" s="6"/>
    </row>
    <row r="266" spans="1:9" x14ac:dyDescent="0.2">
      <c r="A266" s="8" t="s">
        <v>7</v>
      </c>
      <c r="B266" s="5"/>
      <c r="C266" s="74"/>
      <c r="D266" s="6"/>
      <c r="E266" s="6"/>
      <c r="F266" s="6"/>
      <c r="G266" s="6"/>
      <c r="H266" s="6"/>
      <c r="I266" s="6"/>
    </row>
    <row r="267" spans="1:9" x14ac:dyDescent="0.2">
      <c r="A267" s="8" t="s">
        <v>8</v>
      </c>
      <c r="B267" s="5"/>
      <c r="C267" s="74"/>
      <c r="D267" s="6"/>
      <c r="E267" s="6"/>
      <c r="F267" s="6"/>
      <c r="G267" s="6"/>
      <c r="H267" s="6"/>
      <c r="I267" s="6"/>
    </row>
    <row r="268" spans="1:9" x14ac:dyDescent="0.2">
      <c r="A268" s="8" t="s">
        <v>9</v>
      </c>
      <c r="B268" s="5"/>
      <c r="C268" s="74"/>
      <c r="D268" s="6"/>
      <c r="E268" s="6"/>
      <c r="F268" s="6"/>
      <c r="G268" s="6"/>
      <c r="H268" s="6"/>
      <c r="I268" s="6"/>
    </row>
    <row r="269" spans="1:9" x14ac:dyDescent="0.2">
      <c r="A269" s="312" t="s">
        <v>10</v>
      </c>
      <c r="B269" s="313"/>
      <c r="C269" s="313"/>
      <c r="D269" s="313"/>
      <c r="E269" s="314"/>
      <c r="F269" s="11">
        <f>SUM(F259:F268)</f>
        <v>0</v>
      </c>
      <c r="G269" s="11">
        <f>SUM(G259:G268)</f>
        <v>0</v>
      </c>
      <c r="H269" s="11">
        <f>SUM(H259:H268)</f>
        <v>0</v>
      </c>
      <c r="I269" s="11"/>
    </row>
    <row r="270" spans="1:9" x14ac:dyDescent="0.2">
      <c r="A270" s="8" t="s">
        <v>0</v>
      </c>
      <c r="B270" s="5">
        <f>B259+1</f>
        <v>46129</v>
      </c>
      <c r="C270" s="74"/>
      <c r="D270" s="6"/>
      <c r="E270" s="6"/>
      <c r="F270" s="6"/>
      <c r="G270" s="6"/>
      <c r="H270" s="6"/>
      <c r="I270" s="6"/>
    </row>
    <row r="271" spans="1:9" x14ac:dyDescent="0.2">
      <c r="A271" s="8" t="s">
        <v>1</v>
      </c>
      <c r="B271" s="5"/>
      <c r="C271" s="74"/>
      <c r="D271" s="6"/>
      <c r="E271" s="6"/>
      <c r="F271" s="6"/>
      <c r="G271" s="6"/>
      <c r="H271" s="6"/>
      <c r="I271" s="6"/>
    </row>
    <row r="272" spans="1:9" x14ac:dyDescent="0.2">
      <c r="A272" s="8" t="s">
        <v>2</v>
      </c>
      <c r="B272" s="5"/>
      <c r="C272" s="74"/>
      <c r="D272" s="6"/>
      <c r="E272" s="6"/>
      <c r="F272" s="6"/>
      <c r="G272" s="6"/>
      <c r="H272" s="6"/>
      <c r="I272" s="6"/>
    </row>
    <row r="273" spans="1:9" x14ac:dyDescent="0.2">
      <c r="A273" s="8" t="s">
        <v>3</v>
      </c>
      <c r="B273" s="5"/>
      <c r="C273" s="74"/>
      <c r="D273" s="6"/>
      <c r="E273" s="6"/>
      <c r="F273" s="6"/>
      <c r="G273" s="6"/>
      <c r="H273" s="6"/>
      <c r="I273" s="6"/>
    </row>
    <row r="274" spans="1:9" x14ac:dyDescent="0.2">
      <c r="A274" s="8" t="s">
        <v>4</v>
      </c>
      <c r="B274" s="5"/>
      <c r="C274" s="74"/>
      <c r="D274" s="6"/>
      <c r="E274" s="6"/>
      <c r="F274" s="6"/>
      <c r="G274" s="6"/>
      <c r="H274" s="6"/>
      <c r="I274" s="6"/>
    </row>
    <row r="275" spans="1:9" x14ac:dyDescent="0.2">
      <c r="A275" s="8" t="s">
        <v>5</v>
      </c>
      <c r="B275" s="5"/>
      <c r="C275" s="74"/>
      <c r="D275" s="6"/>
      <c r="E275" s="6"/>
      <c r="F275" s="6"/>
      <c r="G275" s="6"/>
      <c r="H275" s="6"/>
      <c r="I275" s="6"/>
    </row>
    <row r="276" spans="1:9" x14ac:dyDescent="0.2">
      <c r="A276" s="8" t="s">
        <v>6</v>
      </c>
      <c r="B276" s="5"/>
      <c r="C276" s="74"/>
      <c r="D276" s="6"/>
      <c r="E276" s="6"/>
      <c r="F276" s="6"/>
      <c r="G276" s="6"/>
      <c r="H276" s="6"/>
      <c r="I276" s="6"/>
    </row>
    <row r="277" spans="1:9" x14ac:dyDescent="0.2">
      <c r="A277" s="8" t="s">
        <v>7</v>
      </c>
      <c r="B277" s="5"/>
      <c r="C277" s="74"/>
      <c r="D277" s="6"/>
      <c r="E277" s="6"/>
      <c r="F277" s="6"/>
      <c r="G277" s="6"/>
      <c r="H277" s="6"/>
      <c r="I277" s="6"/>
    </row>
    <row r="278" spans="1:9" x14ac:dyDescent="0.2">
      <c r="A278" s="8" t="s">
        <v>8</v>
      </c>
      <c r="B278" s="5"/>
      <c r="C278" s="74"/>
      <c r="D278" s="6"/>
      <c r="E278" s="6"/>
      <c r="F278" s="6"/>
      <c r="G278" s="6"/>
      <c r="H278" s="6"/>
      <c r="I278" s="6"/>
    </row>
    <row r="279" spans="1:9" x14ac:dyDescent="0.2">
      <c r="A279" s="8" t="s">
        <v>9</v>
      </c>
      <c r="B279" s="5"/>
      <c r="C279" s="74"/>
      <c r="D279" s="6"/>
      <c r="E279" s="6"/>
      <c r="F279" s="6"/>
      <c r="G279" s="6"/>
      <c r="H279" s="6"/>
      <c r="I279" s="6"/>
    </row>
    <row r="280" spans="1:9" x14ac:dyDescent="0.2">
      <c r="A280" s="312" t="s">
        <v>10</v>
      </c>
      <c r="B280" s="313"/>
      <c r="C280" s="313"/>
      <c r="D280" s="313"/>
      <c r="E280" s="314"/>
      <c r="F280" s="11">
        <f>SUM(F270:F279)</f>
        <v>0</v>
      </c>
      <c r="G280" s="11">
        <f>SUM(G270:G279)</f>
        <v>0</v>
      </c>
      <c r="H280" s="11">
        <f>SUM(H270:H279)</f>
        <v>0</v>
      </c>
      <c r="I280" s="11"/>
    </row>
    <row r="281" spans="1:9" x14ac:dyDescent="0.2">
      <c r="A281" s="8" t="s">
        <v>0</v>
      </c>
      <c r="B281" s="5">
        <f>B270+1</f>
        <v>46130</v>
      </c>
      <c r="C281" s="74"/>
      <c r="D281" s="6"/>
      <c r="E281" s="6"/>
      <c r="F281" s="6"/>
      <c r="G281" s="6"/>
      <c r="H281" s="6"/>
      <c r="I281" s="6"/>
    </row>
    <row r="282" spans="1:9" x14ac:dyDescent="0.2">
      <c r="A282" s="8" t="s">
        <v>1</v>
      </c>
      <c r="B282" s="5"/>
      <c r="C282" s="74"/>
      <c r="D282" s="6"/>
      <c r="E282" s="6"/>
      <c r="F282" s="6"/>
      <c r="G282" s="6"/>
      <c r="H282" s="6"/>
      <c r="I282" s="6"/>
    </row>
    <row r="283" spans="1:9" x14ac:dyDescent="0.2">
      <c r="A283" s="8" t="s">
        <v>2</v>
      </c>
      <c r="B283" s="5"/>
      <c r="C283" s="74"/>
      <c r="D283" s="6"/>
      <c r="E283" s="6"/>
      <c r="F283" s="6"/>
      <c r="G283" s="6"/>
      <c r="H283" s="6"/>
      <c r="I283" s="6"/>
    </row>
    <row r="284" spans="1:9" x14ac:dyDescent="0.2">
      <c r="A284" s="8" t="s">
        <v>3</v>
      </c>
      <c r="B284" s="5"/>
      <c r="C284" s="74"/>
      <c r="D284" s="6"/>
      <c r="E284" s="6"/>
      <c r="F284" s="6"/>
      <c r="G284" s="6"/>
      <c r="H284" s="6"/>
      <c r="I284" s="6"/>
    </row>
    <row r="285" spans="1:9" x14ac:dyDescent="0.2">
      <c r="A285" s="8" t="s">
        <v>4</v>
      </c>
      <c r="B285" s="5"/>
      <c r="C285" s="74"/>
      <c r="D285" s="6"/>
      <c r="E285" s="6"/>
      <c r="F285" s="6"/>
      <c r="G285" s="6"/>
      <c r="H285" s="6"/>
      <c r="I285" s="6"/>
    </row>
    <row r="286" spans="1:9" x14ac:dyDescent="0.2">
      <c r="A286" s="8" t="s">
        <v>5</v>
      </c>
      <c r="B286" s="5"/>
      <c r="C286" s="74"/>
      <c r="D286" s="6"/>
      <c r="E286" s="6"/>
      <c r="F286" s="6"/>
      <c r="G286" s="6"/>
      <c r="H286" s="6"/>
      <c r="I286" s="6"/>
    </row>
    <row r="287" spans="1:9" x14ac:dyDescent="0.2">
      <c r="A287" s="8" t="s">
        <v>6</v>
      </c>
      <c r="B287" s="5"/>
      <c r="C287" s="74"/>
      <c r="D287" s="6"/>
      <c r="E287" s="6"/>
      <c r="F287" s="6"/>
      <c r="G287" s="6"/>
      <c r="H287" s="6"/>
      <c r="I287" s="6"/>
    </row>
    <row r="288" spans="1:9" x14ac:dyDescent="0.2">
      <c r="A288" s="8" t="s">
        <v>7</v>
      </c>
      <c r="B288" s="5"/>
      <c r="C288" s="74"/>
      <c r="D288" s="6"/>
      <c r="E288" s="6"/>
      <c r="F288" s="6"/>
      <c r="G288" s="6"/>
      <c r="H288" s="6"/>
      <c r="I288" s="6"/>
    </row>
    <row r="289" spans="1:9" x14ac:dyDescent="0.2">
      <c r="A289" s="8" t="s">
        <v>8</v>
      </c>
      <c r="B289" s="5"/>
      <c r="C289" s="74"/>
      <c r="D289" s="6"/>
      <c r="E289" s="6"/>
      <c r="F289" s="6"/>
      <c r="G289" s="6"/>
      <c r="H289" s="6"/>
      <c r="I289" s="6"/>
    </row>
    <row r="290" spans="1:9" x14ac:dyDescent="0.2">
      <c r="A290" s="8" t="s">
        <v>9</v>
      </c>
      <c r="B290" s="5"/>
      <c r="C290" s="74"/>
      <c r="D290" s="6"/>
      <c r="E290" s="6"/>
      <c r="F290" s="6"/>
      <c r="G290" s="6"/>
      <c r="H290" s="6"/>
      <c r="I290" s="6"/>
    </row>
    <row r="291" spans="1:9" x14ac:dyDescent="0.2">
      <c r="A291" s="312" t="s">
        <v>10</v>
      </c>
      <c r="B291" s="313"/>
      <c r="C291" s="313"/>
      <c r="D291" s="313"/>
      <c r="E291" s="314"/>
      <c r="F291" s="11">
        <f>SUM(F281:F290)</f>
        <v>0</v>
      </c>
      <c r="G291" s="11">
        <f>SUM(G281:G290)</f>
        <v>0</v>
      </c>
      <c r="H291" s="11">
        <f>SUM(H281:H290)</f>
        <v>0</v>
      </c>
      <c r="I291" s="11"/>
    </row>
    <row r="292" spans="1:9" x14ac:dyDescent="0.2">
      <c r="A292" s="8" t="s">
        <v>0</v>
      </c>
      <c r="B292" s="5">
        <f>B281+1</f>
        <v>46131</v>
      </c>
      <c r="C292" s="75"/>
      <c r="D292" s="6"/>
      <c r="E292" s="6"/>
      <c r="F292" s="6"/>
      <c r="G292" s="6"/>
      <c r="H292" s="6"/>
      <c r="I292" s="6"/>
    </row>
    <row r="293" spans="1:9" x14ac:dyDescent="0.2">
      <c r="A293" s="8" t="s">
        <v>1</v>
      </c>
      <c r="B293" s="5"/>
      <c r="C293" s="75"/>
      <c r="D293" s="6"/>
      <c r="E293" s="6"/>
      <c r="F293" s="6"/>
      <c r="G293" s="6"/>
      <c r="H293" s="6"/>
      <c r="I293" s="6"/>
    </row>
    <row r="294" spans="1:9" x14ac:dyDescent="0.2">
      <c r="A294" s="8" t="s">
        <v>2</v>
      </c>
      <c r="B294" s="5"/>
      <c r="C294" s="75"/>
      <c r="D294" s="6"/>
      <c r="E294" s="6"/>
      <c r="F294" s="6"/>
      <c r="G294" s="6"/>
      <c r="H294" s="6"/>
      <c r="I294" s="6"/>
    </row>
    <row r="295" spans="1:9" x14ac:dyDescent="0.2">
      <c r="A295" s="8" t="s">
        <v>3</v>
      </c>
      <c r="B295" s="5"/>
      <c r="C295" s="75"/>
      <c r="D295" s="6"/>
      <c r="E295" s="6"/>
      <c r="F295" s="6"/>
      <c r="G295" s="6"/>
      <c r="H295" s="6"/>
      <c r="I295" s="6"/>
    </row>
    <row r="296" spans="1:9" x14ac:dyDescent="0.2">
      <c r="A296" s="8" t="s">
        <v>4</v>
      </c>
      <c r="B296" s="5"/>
      <c r="C296" s="75"/>
      <c r="D296" s="6"/>
      <c r="E296" s="6"/>
      <c r="F296" s="6"/>
      <c r="G296" s="6"/>
      <c r="H296" s="6"/>
      <c r="I296" s="6"/>
    </row>
    <row r="297" spans="1:9" x14ac:dyDescent="0.2">
      <c r="A297" s="8" t="s">
        <v>5</v>
      </c>
      <c r="B297" s="5"/>
      <c r="C297" s="75"/>
      <c r="D297" s="6"/>
      <c r="E297" s="6"/>
      <c r="F297" s="6"/>
      <c r="G297" s="6"/>
      <c r="H297" s="6"/>
      <c r="I297" s="6"/>
    </row>
    <row r="298" spans="1:9" x14ac:dyDescent="0.2">
      <c r="A298" s="8" t="s">
        <v>6</v>
      </c>
      <c r="B298" s="5"/>
      <c r="C298" s="75"/>
      <c r="D298" s="6"/>
      <c r="E298" s="6"/>
      <c r="F298" s="6"/>
      <c r="G298" s="6"/>
      <c r="H298" s="6"/>
      <c r="I298" s="6"/>
    </row>
    <row r="299" spans="1:9" x14ac:dyDescent="0.2">
      <c r="A299" s="8" t="s">
        <v>7</v>
      </c>
      <c r="B299" s="5"/>
      <c r="C299" s="74"/>
      <c r="D299" s="6"/>
      <c r="E299" s="6"/>
      <c r="F299" s="6"/>
      <c r="G299" s="6"/>
      <c r="H299" s="6"/>
      <c r="I299" s="6"/>
    </row>
    <row r="300" spans="1:9" x14ac:dyDescent="0.2">
      <c r="A300" s="8" t="s">
        <v>8</v>
      </c>
      <c r="B300" s="5"/>
      <c r="C300" s="74"/>
      <c r="D300" s="6"/>
      <c r="E300" s="6"/>
      <c r="F300" s="6"/>
      <c r="G300" s="6"/>
      <c r="H300" s="6"/>
      <c r="I300" s="6"/>
    </row>
    <row r="301" spans="1:9" x14ac:dyDescent="0.2">
      <c r="A301" s="8" t="s">
        <v>9</v>
      </c>
      <c r="B301" s="5"/>
      <c r="C301" s="74"/>
      <c r="D301" s="6"/>
      <c r="E301" s="6"/>
      <c r="F301" s="6"/>
      <c r="G301" s="6"/>
      <c r="H301" s="6"/>
      <c r="I301" s="6"/>
    </row>
    <row r="302" spans="1:9" x14ac:dyDescent="0.2">
      <c r="A302" s="312" t="s">
        <v>10</v>
      </c>
      <c r="B302" s="313"/>
      <c r="C302" s="313"/>
      <c r="D302" s="313"/>
      <c r="E302" s="314"/>
      <c r="F302" s="11">
        <f>SUM(F292:F301)</f>
        <v>0</v>
      </c>
      <c r="G302" s="11">
        <f>SUM(G292:G301)</f>
        <v>0</v>
      </c>
      <c r="H302" s="11">
        <f>SUM(H292:H301)</f>
        <v>0</v>
      </c>
      <c r="I302" s="11"/>
    </row>
    <row r="303" spans="1:9" x14ac:dyDescent="0.2">
      <c r="A303" s="8" t="s">
        <v>0</v>
      </c>
      <c r="B303" s="5">
        <f>B292+1</f>
        <v>46132</v>
      </c>
      <c r="C303" s="75"/>
      <c r="D303" s="6"/>
      <c r="E303" s="6"/>
      <c r="F303" s="6"/>
      <c r="G303" s="6"/>
      <c r="H303" s="6"/>
      <c r="I303" s="6"/>
    </row>
    <row r="304" spans="1:9" x14ac:dyDescent="0.2">
      <c r="A304" s="8" t="s">
        <v>1</v>
      </c>
      <c r="B304" s="5"/>
      <c r="C304" s="75"/>
      <c r="D304" s="6"/>
      <c r="E304" s="6"/>
      <c r="F304" s="6"/>
      <c r="G304" s="6"/>
      <c r="H304" s="6"/>
      <c r="I304" s="6"/>
    </row>
    <row r="305" spans="1:9" x14ac:dyDescent="0.2">
      <c r="A305" s="8" t="s">
        <v>2</v>
      </c>
      <c r="B305" s="5"/>
      <c r="C305" s="75"/>
      <c r="D305" s="6"/>
      <c r="E305" s="6"/>
      <c r="F305" s="6"/>
      <c r="G305" s="6"/>
      <c r="H305" s="6"/>
      <c r="I305" s="6"/>
    </row>
    <row r="306" spans="1:9" x14ac:dyDescent="0.2">
      <c r="A306" s="8" t="s">
        <v>3</v>
      </c>
      <c r="B306" s="5"/>
      <c r="C306" s="75"/>
      <c r="D306" s="6"/>
      <c r="E306" s="6"/>
      <c r="F306" s="6"/>
      <c r="G306" s="6"/>
      <c r="H306" s="6"/>
      <c r="I306" s="6"/>
    </row>
    <row r="307" spans="1:9" x14ac:dyDescent="0.2">
      <c r="A307" s="8" t="s">
        <v>4</v>
      </c>
      <c r="B307" s="5"/>
      <c r="C307" s="75"/>
      <c r="D307" s="6"/>
      <c r="E307" s="6"/>
      <c r="F307" s="6"/>
      <c r="G307" s="6"/>
      <c r="H307" s="6"/>
      <c r="I307" s="6"/>
    </row>
    <row r="308" spans="1:9" x14ac:dyDescent="0.2">
      <c r="A308" s="8" t="s">
        <v>5</v>
      </c>
      <c r="B308" s="5"/>
      <c r="C308" s="75"/>
      <c r="D308" s="6"/>
      <c r="E308" s="6"/>
      <c r="F308" s="6"/>
      <c r="G308" s="6"/>
      <c r="H308" s="6"/>
      <c r="I308" s="6"/>
    </row>
    <row r="309" spans="1:9" x14ac:dyDescent="0.2">
      <c r="A309" s="8" t="s">
        <v>6</v>
      </c>
      <c r="B309" s="5"/>
      <c r="C309" s="74"/>
      <c r="D309" s="6"/>
      <c r="E309" s="6"/>
      <c r="F309" s="6"/>
      <c r="G309" s="6"/>
      <c r="H309" s="6"/>
      <c r="I309" s="6"/>
    </row>
    <row r="310" spans="1:9" x14ac:dyDescent="0.2">
      <c r="A310" s="8" t="s">
        <v>7</v>
      </c>
      <c r="B310" s="5"/>
      <c r="C310" s="74"/>
      <c r="D310" s="6"/>
      <c r="E310" s="6"/>
      <c r="F310" s="6"/>
      <c r="G310" s="6"/>
      <c r="H310" s="6"/>
      <c r="I310" s="6"/>
    </row>
    <row r="311" spans="1:9" x14ac:dyDescent="0.2">
      <c r="A311" s="8" t="s">
        <v>8</v>
      </c>
      <c r="B311" s="5"/>
      <c r="C311" s="74"/>
      <c r="D311" s="6"/>
      <c r="E311" s="6"/>
      <c r="F311" s="6"/>
      <c r="G311" s="6"/>
      <c r="H311" s="6"/>
      <c r="I311" s="6"/>
    </row>
    <row r="312" spans="1:9" x14ac:dyDescent="0.2">
      <c r="A312" s="8" t="s">
        <v>9</v>
      </c>
      <c r="B312" s="5"/>
      <c r="C312" s="74"/>
      <c r="D312" s="6"/>
      <c r="E312" s="6"/>
      <c r="F312" s="6"/>
      <c r="G312" s="6"/>
      <c r="H312" s="6"/>
      <c r="I312" s="6"/>
    </row>
    <row r="313" spans="1:9" x14ac:dyDescent="0.2">
      <c r="A313" s="312" t="s">
        <v>10</v>
      </c>
      <c r="B313" s="313"/>
      <c r="C313" s="313"/>
      <c r="D313" s="313"/>
      <c r="E313" s="314"/>
      <c r="F313" s="11">
        <f>SUM(F303:F312)</f>
        <v>0</v>
      </c>
      <c r="G313" s="11">
        <f>SUM(G303:G312)</f>
        <v>0</v>
      </c>
      <c r="H313" s="11">
        <f>SUM(H303:H312)</f>
        <v>0</v>
      </c>
      <c r="I313" s="11"/>
    </row>
    <row r="314" spans="1:9" x14ac:dyDescent="0.2">
      <c r="A314" s="8" t="s">
        <v>0</v>
      </c>
      <c r="B314" s="5">
        <f>B303+1</f>
        <v>46133</v>
      </c>
      <c r="C314" s="75"/>
      <c r="D314" s="6"/>
      <c r="E314" s="6"/>
      <c r="F314" s="6"/>
      <c r="G314" s="6"/>
      <c r="H314" s="6"/>
      <c r="I314" s="6"/>
    </row>
    <row r="315" spans="1:9" x14ac:dyDescent="0.2">
      <c r="A315" s="8" t="s">
        <v>1</v>
      </c>
      <c r="B315" s="5"/>
      <c r="C315" s="75"/>
      <c r="D315" s="6"/>
      <c r="E315" s="6"/>
      <c r="F315" s="6"/>
      <c r="G315" s="6"/>
      <c r="H315" s="6"/>
      <c r="I315" s="6"/>
    </row>
    <row r="316" spans="1:9" x14ac:dyDescent="0.2">
      <c r="A316" s="8" t="s">
        <v>2</v>
      </c>
      <c r="B316" s="5"/>
      <c r="C316" s="75"/>
      <c r="D316" s="6"/>
      <c r="E316" s="6"/>
      <c r="F316" s="6"/>
      <c r="G316" s="6"/>
      <c r="H316" s="6"/>
      <c r="I316" s="6"/>
    </row>
    <row r="317" spans="1:9" x14ac:dyDescent="0.2">
      <c r="A317" s="8" t="s">
        <v>3</v>
      </c>
      <c r="B317" s="5"/>
      <c r="C317" s="75"/>
      <c r="D317" s="6"/>
      <c r="E317" s="6"/>
      <c r="F317" s="6"/>
      <c r="G317" s="6"/>
      <c r="H317" s="6"/>
      <c r="I317" s="6"/>
    </row>
    <row r="318" spans="1:9" x14ac:dyDescent="0.2">
      <c r="A318" s="8" t="s">
        <v>4</v>
      </c>
      <c r="B318" s="5"/>
      <c r="C318" s="75"/>
      <c r="D318" s="6"/>
      <c r="E318" s="6"/>
      <c r="F318" s="6"/>
      <c r="G318" s="6"/>
      <c r="H318" s="6"/>
      <c r="I318" s="6"/>
    </row>
    <row r="319" spans="1:9" x14ac:dyDescent="0.2">
      <c r="A319" s="8" t="s">
        <v>5</v>
      </c>
      <c r="B319" s="5"/>
      <c r="C319" s="75"/>
      <c r="D319" s="6"/>
      <c r="E319" s="6"/>
      <c r="F319" s="6"/>
      <c r="G319" s="6"/>
      <c r="H319" s="6"/>
      <c r="I319" s="6"/>
    </row>
    <row r="320" spans="1:9" x14ac:dyDescent="0.2">
      <c r="A320" s="8" t="s">
        <v>6</v>
      </c>
      <c r="B320" s="5"/>
      <c r="C320" s="75"/>
      <c r="D320" s="6"/>
      <c r="E320" s="6"/>
      <c r="F320" s="6"/>
      <c r="G320" s="6"/>
      <c r="H320" s="6"/>
      <c r="I320" s="6"/>
    </row>
    <row r="321" spans="1:9" x14ac:dyDescent="0.2">
      <c r="A321" s="8" t="s">
        <v>7</v>
      </c>
      <c r="B321" s="5"/>
      <c r="C321" s="75"/>
      <c r="D321" s="6"/>
      <c r="E321" s="6"/>
      <c r="F321" s="6"/>
      <c r="G321" s="6"/>
      <c r="H321" s="6"/>
      <c r="I321" s="6"/>
    </row>
    <row r="322" spans="1:9" x14ac:dyDescent="0.2">
      <c r="A322" s="8" t="s">
        <v>8</v>
      </c>
      <c r="B322" s="5"/>
      <c r="C322" s="75"/>
      <c r="D322" s="6"/>
      <c r="E322" s="6"/>
      <c r="F322" s="6"/>
      <c r="G322" s="6"/>
      <c r="H322" s="6"/>
      <c r="I322" s="6"/>
    </row>
    <row r="323" spans="1:9" x14ac:dyDescent="0.2">
      <c r="A323" s="8" t="s">
        <v>9</v>
      </c>
      <c r="B323" s="5"/>
      <c r="C323" s="75"/>
      <c r="D323" s="6"/>
      <c r="E323" s="6"/>
      <c r="F323" s="6"/>
      <c r="G323" s="6"/>
      <c r="H323" s="6"/>
      <c r="I323" s="6"/>
    </row>
    <row r="324" spans="1:9" x14ac:dyDescent="0.2">
      <c r="A324" s="312" t="s">
        <v>10</v>
      </c>
      <c r="B324" s="313"/>
      <c r="C324" s="313"/>
      <c r="D324" s="313"/>
      <c r="E324" s="314"/>
      <c r="F324" s="11">
        <f>SUM(F314:F323)</f>
        <v>0</v>
      </c>
      <c r="G324" s="11">
        <f>SUM(G314:G323)</f>
        <v>0</v>
      </c>
      <c r="H324" s="11">
        <f>SUM(H314:H323)</f>
        <v>0</v>
      </c>
      <c r="I324" s="11"/>
    </row>
    <row r="325" spans="1:9" x14ac:dyDescent="0.2">
      <c r="A325" s="8" t="s">
        <v>0</v>
      </c>
      <c r="B325" s="5">
        <f>B314+1</f>
        <v>46134</v>
      </c>
      <c r="C325" s="74"/>
      <c r="D325" s="6"/>
      <c r="E325" s="6"/>
      <c r="F325" s="6"/>
      <c r="G325" s="6"/>
      <c r="H325" s="6"/>
      <c r="I325" s="6"/>
    </row>
    <row r="326" spans="1:9" x14ac:dyDescent="0.2">
      <c r="A326" s="8" t="s">
        <v>1</v>
      </c>
      <c r="B326" s="5"/>
      <c r="C326" s="74"/>
      <c r="D326" s="6"/>
      <c r="E326" s="6"/>
      <c r="F326" s="6"/>
      <c r="G326" s="6"/>
      <c r="H326" s="6"/>
      <c r="I326" s="6"/>
    </row>
    <row r="327" spans="1:9" x14ac:dyDescent="0.2">
      <c r="A327" s="8" t="s">
        <v>2</v>
      </c>
      <c r="B327" s="5"/>
      <c r="C327" s="74"/>
      <c r="D327" s="6"/>
      <c r="E327" s="6"/>
      <c r="F327" s="6"/>
      <c r="G327" s="6"/>
      <c r="H327" s="6"/>
      <c r="I327" s="6"/>
    </row>
    <row r="328" spans="1:9" x14ac:dyDescent="0.2">
      <c r="A328" s="8" t="s">
        <v>3</v>
      </c>
      <c r="B328" s="5"/>
      <c r="C328" s="74"/>
      <c r="D328" s="6"/>
      <c r="E328" s="6"/>
      <c r="F328" s="6"/>
      <c r="G328" s="6"/>
      <c r="H328" s="6"/>
      <c r="I328" s="6"/>
    </row>
    <row r="329" spans="1:9" x14ac:dyDescent="0.2">
      <c r="A329" s="8" t="s">
        <v>4</v>
      </c>
      <c r="B329" s="5"/>
      <c r="C329" s="74"/>
      <c r="D329" s="6"/>
      <c r="E329" s="6"/>
      <c r="F329" s="6"/>
      <c r="G329" s="6"/>
      <c r="H329" s="6"/>
      <c r="I329" s="6"/>
    </row>
    <row r="330" spans="1:9" x14ac:dyDescent="0.2">
      <c r="A330" s="8" t="s">
        <v>5</v>
      </c>
      <c r="B330" s="5"/>
      <c r="C330" s="74"/>
      <c r="D330" s="6"/>
      <c r="E330" s="6"/>
      <c r="F330" s="6"/>
      <c r="G330" s="6"/>
      <c r="H330" s="6"/>
      <c r="I330" s="6"/>
    </row>
    <row r="331" spans="1:9" x14ac:dyDescent="0.2">
      <c r="A331" s="8" t="s">
        <v>6</v>
      </c>
      <c r="B331" s="5"/>
      <c r="C331" s="74"/>
      <c r="D331" s="6"/>
      <c r="E331" s="6"/>
      <c r="F331" s="6"/>
      <c r="G331" s="6"/>
      <c r="H331" s="6"/>
      <c r="I331" s="6"/>
    </row>
    <row r="332" spans="1:9" x14ac:dyDescent="0.2">
      <c r="A332" s="8" t="s">
        <v>7</v>
      </c>
      <c r="B332" s="5"/>
      <c r="C332" s="74"/>
      <c r="D332" s="6"/>
      <c r="E332" s="6"/>
      <c r="F332" s="6"/>
      <c r="G332" s="6"/>
      <c r="H332" s="6"/>
      <c r="I332" s="6"/>
    </row>
    <row r="333" spans="1:9" x14ac:dyDescent="0.2">
      <c r="A333" s="8" t="s">
        <v>8</v>
      </c>
      <c r="B333" s="5"/>
      <c r="C333" s="74"/>
      <c r="D333" s="6"/>
      <c r="E333" s="6"/>
      <c r="F333" s="6"/>
      <c r="G333" s="6"/>
      <c r="H333" s="6"/>
      <c r="I333" s="6"/>
    </row>
    <row r="334" spans="1:9" x14ac:dyDescent="0.2">
      <c r="A334" s="8" t="s">
        <v>9</v>
      </c>
      <c r="B334" s="5"/>
      <c r="C334" s="74"/>
      <c r="D334" s="6"/>
      <c r="E334" s="6"/>
      <c r="F334" s="6"/>
      <c r="G334" s="6"/>
      <c r="H334" s="6"/>
      <c r="I334" s="6"/>
    </row>
    <row r="335" spans="1:9" x14ac:dyDescent="0.2">
      <c r="A335" s="312" t="s">
        <v>10</v>
      </c>
      <c r="B335" s="313"/>
      <c r="C335" s="313"/>
      <c r="D335" s="313"/>
      <c r="E335" s="314"/>
      <c r="F335" s="11">
        <f>SUM(F325:F334)</f>
        <v>0</v>
      </c>
      <c r="G335" s="11">
        <f>SUM(G325:G334)</f>
        <v>0</v>
      </c>
      <c r="H335" s="11">
        <f>SUM(H325:H334)</f>
        <v>0</v>
      </c>
      <c r="I335" s="11"/>
    </row>
    <row r="336" spans="1:9" s="25" customFormat="1" ht="18" x14ac:dyDescent="0.2">
      <c r="A336" s="315" t="s">
        <v>39</v>
      </c>
      <c r="B336" s="316"/>
      <c r="C336" s="316"/>
      <c r="D336" s="316"/>
      <c r="E336" s="317"/>
      <c r="F336" s="22">
        <f>F269+F280+F291+F302+F313+F324+F335+F252</f>
        <v>0</v>
      </c>
      <c r="G336" s="22">
        <f>G269+G280+G291+G302+G313+G324+G335+G252</f>
        <v>0</v>
      </c>
      <c r="H336" s="22">
        <f>H269+H280+H291+H302+H313+H324+H335+H252</f>
        <v>0</v>
      </c>
      <c r="I336" s="22"/>
    </row>
    <row r="337" spans="1:9" ht="21.95" customHeight="1" x14ac:dyDescent="0.2">
      <c r="A337" s="319" t="s">
        <v>14</v>
      </c>
      <c r="B337" s="319"/>
      <c r="C337" s="319"/>
      <c r="D337" s="319"/>
      <c r="E337" s="319"/>
      <c r="F337" s="319"/>
      <c r="G337" s="319"/>
      <c r="H337" s="319"/>
      <c r="I337" s="319"/>
    </row>
    <row r="338" spans="1:9" s="53" customFormat="1" ht="20.100000000000001" customHeight="1" x14ac:dyDescent="0.2">
      <c r="A338" s="323" t="s">
        <v>86</v>
      </c>
      <c r="B338" s="323"/>
      <c r="C338" s="323"/>
      <c r="D338" s="323"/>
      <c r="E338" s="323"/>
      <c r="F338" s="50" t="str">
        <f>F254</f>
        <v>เมษายน</v>
      </c>
      <c r="G338" s="50" t="s">
        <v>87</v>
      </c>
      <c r="H338" s="51">
        <f>H254</f>
        <v>2569</v>
      </c>
      <c r="I338" s="52"/>
    </row>
    <row r="339" spans="1:9" s="3" customFormat="1" ht="20.100000000000001" customHeight="1" x14ac:dyDescent="0.35">
      <c r="A339" s="318" t="s">
        <v>38</v>
      </c>
      <c r="B339" s="318"/>
      <c r="C339" s="318"/>
      <c r="D339" s="2"/>
      <c r="F339" s="4"/>
      <c r="G339" s="4"/>
      <c r="H339" s="4" t="s">
        <v>21</v>
      </c>
      <c r="I339" s="40">
        <f>I255+1</f>
        <v>5</v>
      </c>
    </row>
    <row r="340" spans="1:9" s="3" customFormat="1" ht="20.100000000000001" customHeight="1" x14ac:dyDescent="0.35">
      <c r="A340" s="311" t="s">
        <v>68</v>
      </c>
      <c r="B340" s="311"/>
      <c r="C340" s="311"/>
      <c r="D340" s="2"/>
      <c r="E340" s="39" t="s">
        <v>81</v>
      </c>
      <c r="F340" s="308">
        <f>F256</f>
        <v>46107</v>
      </c>
      <c r="G340" s="308"/>
      <c r="H340" s="39" t="s">
        <v>82</v>
      </c>
      <c r="I340" s="34">
        <f>I256</f>
        <v>46136</v>
      </c>
    </row>
    <row r="341" spans="1:9" x14ac:dyDescent="0.2">
      <c r="A341" s="12" t="s">
        <v>23</v>
      </c>
      <c r="B341" s="13" t="s">
        <v>11</v>
      </c>
      <c r="C341" s="72" t="s">
        <v>26</v>
      </c>
      <c r="D341" s="12" t="s">
        <v>16</v>
      </c>
      <c r="E341" s="12" t="s">
        <v>17</v>
      </c>
      <c r="F341" s="310" t="s">
        <v>18</v>
      </c>
      <c r="G341" s="310"/>
      <c r="H341" s="310"/>
      <c r="I341" s="12" t="s">
        <v>19</v>
      </c>
    </row>
    <row r="342" spans="1:9" x14ac:dyDescent="0.2">
      <c r="A342" s="15"/>
      <c r="B342" s="16"/>
      <c r="C342" s="73"/>
      <c r="D342" s="15"/>
      <c r="E342" s="15"/>
      <c r="F342" s="21" t="s">
        <v>113</v>
      </c>
      <c r="G342" s="21" t="s">
        <v>114</v>
      </c>
      <c r="H342" s="21" t="s">
        <v>20</v>
      </c>
      <c r="I342" s="15"/>
    </row>
    <row r="343" spans="1:9" x14ac:dyDescent="0.2">
      <c r="A343" s="8" t="s">
        <v>0</v>
      </c>
      <c r="B343" s="5">
        <f>B325+1</f>
        <v>46135</v>
      </c>
      <c r="C343" s="74"/>
      <c r="D343" s="6"/>
      <c r="E343" s="6"/>
      <c r="F343" s="6"/>
      <c r="G343" s="6"/>
      <c r="H343" s="6"/>
      <c r="I343" s="6"/>
    </row>
    <row r="344" spans="1:9" x14ac:dyDescent="0.2">
      <c r="A344" s="8" t="s">
        <v>1</v>
      </c>
      <c r="B344" s="5"/>
      <c r="C344" s="74"/>
      <c r="D344" s="6"/>
      <c r="E344" s="6"/>
      <c r="F344" s="6"/>
      <c r="G344" s="6"/>
      <c r="H344" s="6"/>
      <c r="I344" s="6"/>
    </row>
    <row r="345" spans="1:9" x14ac:dyDescent="0.2">
      <c r="A345" s="8" t="s">
        <v>2</v>
      </c>
      <c r="B345" s="5"/>
      <c r="C345" s="74"/>
      <c r="D345" s="6"/>
      <c r="E345" s="6"/>
      <c r="F345" s="6"/>
      <c r="G345" s="6"/>
      <c r="H345" s="6"/>
      <c r="I345" s="6"/>
    </row>
    <row r="346" spans="1:9" x14ac:dyDescent="0.2">
      <c r="A346" s="8" t="s">
        <v>3</v>
      </c>
      <c r="B346" s="5"/>
      <c r="C346" s="74"/>
      <c r="D346" s="6"/>
      <c r="E346" s="6"/>
      <c r="F346" s="6"/>
      <c r="G346" s="6"/>
      <c r="H346" s="6"/>
      <c r="I346" s="6"/>
    </row>
    <row r="347" spans="1:9" x14ac:dyDescent="0.2">
      <c r="A347" s="8" t="s">
        <v>4</v>
      </c>
      <c r="B347" s="5"/>
      <c r="C347" s="74"/>
      <c r="D347" s="6"/>
      <c r="E347" s="6"/>
      <c r="F347" s="6"/>
      <c r="G347" s="6"/>
      <c r="H347" s="6"/>
      <c r="I347" s="6"/>
    </row>
    <row r="348" spans="1:9" x14ac:dyDescent="0.2">
      <c r="A348" s="8" t="s">
        <v>5</v>
      </c>
      <c r="B348" s="5"/>
      <c r="C348" s="74"/>
      <c r="D348" s="6"/>
      <c r="E348" s="6"/>
      <c r="F348" s="6"/>
      <c r="G348" s="6"/>
      <c r="H348" s="6"/>
      <c r="I348" s="6"/>
    </row>
    <row r="349" spans="1:9" x14ac:dyDescent="0.2">
      <c r="A349" s="8" t="s">
        <v>6</v>
      </c>
      <c r="B349" s="5"/>
      <c r="C349" s="74"/>
      <c r="D349" s="6"/>
      <c r="E349" s="6"/>
      <c r="F349" s="6"/>
      <c r="G349" s="6"/>
      <c r="H349" s="6"/>
      <c r="I349" s="6"/>
    </row>
    <row r="350" spans="1:9" x14ac:dyDescent="0.2">
      <c r="A350" s="8" t="s">
        <v>7</v>
      </c>
      <c r="B350" s="5"/>
      <c r="C350" s="74"/>
      <c r="D350" s="6"/>
      <c r="E350" s="6"/>
      <c r="F350" s="6"/>
      <c r="G350" s="6"/>
      <c r="H350" s="6"/>
      <c r="I350" s="6"/>
    </row>
    <row r="351" spans="1:9" x14ac:dyDescent="0.2">
      <c r="A351" s="8" t="s">
        <v>8</v>
      </c>
      <c r="B351" s="5"/>
      <c r="C351" s="74"/>
      <c r="D351" s="6"/>
      <c r="E351" s="6"/>
      <c r="F351" s="6"/>
      <c r="G351" s="6"/>
      <c r="H351" s="6"/>
      <c r="I351" s="6"/>
    </row>
    <row r="352" spans="1:9" x14ac:dyDescent="0.2">
      <c r="A352" s="8" t="s">
        <v>9</v>
      </c>
      <c r="B352" s="5"/>
      <c r="C352" s="74"/>
      <c r="D352" s="6"/>
      <c r="E352" s="6"/>
      <c r="F352" s="6"/>
      <c r="G352" s="6"/>
      <c r="H352" s="6"/>
      <c r="I352" s="6"/>
    </row>
    <row r="353" spans="1:9" x14ac:dyDescent="0.2">
      <c r="A353" s="8" t="s">
        <v>99</v>
      </c>
      <c r="B353" s="5"/>
      <c r="C353" s="74"/>
      <c r="D353" s="6"/>
      <c r="E353" s="6"/>
      <c r="F353" s="6"/>
      <c r="G353" s="6"/>
      <c r="H353" s="6"/>
      <c r="I353" s="6"/>
    </row>
    <row r="354" spans="1:9" x14ac:dyDescent="0.2">
      <c r="A354" s="312" t="s">
        <v>10</v>
      </c>
      <c r="B354" s="313"/>
      <c r="C354" s="313"/>
      <c r="D354" s="313"/>
      <c r="E354" s="314"/>
      <c r="F354" s="11">
        <f>SUM(F343:F353)</f>
        <v>0</v>
      </c>
      <c r="G354" s="11">
        <f>SUM(G343:G353)</f>
        <v>0</v>
      </c>
      <c r="H354" s="11">
        <f>SUM(H343:H353)</f>
        <v>0</v>
      </c>
      <c r="I354" s="11"/>
    </row>
    <row r="355" spans="1:9" x14ac:dyDescent="0.2">
      <c r="A355" s="8" t="s">
        <v>0</v>
      </c>
      <c r="B355" s="5">
        <f>B343+1</f>
        <v>46136</v>
      </c>
      <c r="C355" s="74"/>
      <c r="D355" s="6"/>
      <c r="E355" s="6"/>
      <c r="F355" s="6"/>
      <c r="G355" s="6"/>
      <c r="H355" s="6"/>
      <c r="I355" s="6"/>
    </row>
    <row r="356" spans="1:9" x14ac:dyDescent="0.2">
      <c r="A356" s="8" t="s">
        <v>1</v>
      </c>
      <c r="B356" s="5"/>
      <c r="C356" s="74"/>
      <c r="D356" s="6"/>
      <c r="E356" s="6"/>
      <c r="F356" s="6"/>
      <c r="G356" s="6"/>
      <c r="H356" s="6"/>
      <c r="I356" s="6"/>
    </row>
    <row r="357" spans="1:9" x14ac:dyDescent="0.2">
      <c r="A357" s="8" t="s">
        <v>2</v>
      </c>
      <c r="B357" s="5"/>
      <c r="C357" s="74"/>
      <c r="D357" s="6"/>
      <c r="E357" s="6"/>
      <c r="F357" s="6"/>
      <c r="G357" s="6"/>
      <c r="H357" s="6"/>
      <c r="I357" s="6"/>
    </row>
    <row r="358" spans="1:9" x14ac:dyDescent="0.2">
      <c r="A358" s="8" t="s">
        <v>3</v>
      </c>
      <c r="B358" s="5"/>
      <c r="C358" s="74"/>
      <c r="D358" s="6"/>
      <c r="E358" s="6"/>
      <c r="F358" s="6"/>
      <c r="G358" s="6"/>
      <c r="H358" s="6"/>
      <c r="I358" s="6"/>
    </row>
    <row r="359" spans="1:9" x14ac:dyDescent="0.2">
      <c r="A359" s="8" t="s">
        <v>4</v>
      </c>
      <c r="B359" s="5"/>
      <c r="C359" s="74"/>
      <c r="D359" s="6"/>
      <c r="E359" s="6"/>
      <c r="F359" s="6"/>
      <c r="G359" s="6"/>
      <c r="H359" s="6"/>
      <c r="I359" s="6"/>
    </row>
    <row r="360" spans="1:9" x14ac:dyDescent="0.2">
      <c r="A360" s="8" t="s">
        <v>5</v>
      </c>
      <c r="B360" s="5"/>
      <c r="C360" s="74"/>
      <c r="D360" s="6"/>
      <c r="E360" s="6"/>
      <c r="F360" s="6"/>
      <c r="G360" s="6"/>
      <c r="H360" s="6"/>
      <c r="I360" s="6"/>
    </row>
    <row r="361" spans="1:9" x14ac:dyDescent="0.2">
      <c r="A361" s="8" t="s">
        <v>6</v>
      </c>
      <c r="B361" s="5"/>
      <c r="C361" s="74"/>
      <c r="D361" s="6"/>
      <c r="E361" s="6"/>
      <c r="F361" s="6"/>
      <c r="G361" s="6"/>
      <c r="H361" s="6"/>
      <c r="I361" s="6"/>
    </row>
    <row r="362" spans="1:9" x14ac:dyDescent="0.2">
      <c r="A362" s="8" t="s">
        <v>7</v>
      </c>
      <c r="B362" s="5"/>
      <c r="C362" s="74"/>
      <c r="D362" s="6"/>
      <c r="E362" s="6"/>
      <c r="F362" s="6"/>
      <c r="G362" s="6"/>
      <c r="H362" s="6"/>
      <c r="I362" s="6"/>
    </row>
    <row r="363" spans="1:9" x14ac:dyDescent="0.2">
      <c r="A363" s="8" t="s">
        <v>8</v>
      </c>
      <c r="B363" s="5"/>
      <c r="C363" s="74"/>
      <c r="D363" s="6"/>
      <c r="E363" s="6"/>
      <c r="F363" s="6"/>
      <c r="G363" s="6"/>
      <c r="H363" s="6"/>
      <c r="I363" s="6"/>
    </row>
    <row r="364" spans="1:9" x14ac:dyDescent="0.2">
      <c r="A364" s="8" t="s">
        <v>9</v>
      </c>
      <c r="B364" s="5"/>
      <c r="C364" s="74"/>
      <c r="D364" s="6"/>
      <c r="E364" s="6"/>
      <c r="F364" s="6"/>
      <c r="G364" s="6"/>
      <c r="H364" s="6"/>
      <c r="I364" s="6"/>
    </row>
    <row r="365" spans="1:9" x14ac:dyDescent="0.2">
      <c r="A365" s="312" t="s">
        <v>10</v>
      </c>
      <c r="B365" s="313"/>
      <c r="C365" s="313"/>
      <c r="D365" s="313"/>
      <c r="E365" s="314"/>
      <c r="F365" s="11">
        <f>SUM(F355:F364)</f>
        <v>0</v>
      </c>
      <c r="G365" s="11">
        <f>SUM(G355:G364)</f>
        <v>0</v>
      </c>
      <c r="H365" s="11">
        <f>SUM(H355:H364)</f>
        <v>0</v>
      </c>
      <c r="I365" s="11"/>
    </row>
    <row r="366" spans="1:9" x14ac:dyDescent="0.2">
      <c r="A366" s="8" t="s">
        <v>0</v>
      </c>
      <c r="B366" s="5">
        <f>B355+1</f>
        <v>46137</v>
      </c>
      <c r="C366" s="74"/>
      <c r="D366" s="6"/>
      <c r="E366" s="6"/>
      <c r="F366" s="6"/>
      <c r="G366" s="6"/>
      <c r="H366" s="6"/>
      <c r="I366" s="6"/>
    </row>
    <row r="367" spans="1:9" x14ac:dyDescent="0.2">
      <c r="A367" s="8" t="s">
        <v>1</v>
      </c>
      <c r="B367" s="5"/>
      <c r="C367" s="74"/>
      <c r="D367" s="6"/>
      <c r="E367" s="6"/>
      <c r="F367" s="6"/>
      <c r="G367" s="6"/>
      <c r="H367" s="6"/>
      <c r="I367" s="6"/>
    </row>
    <row r="368" spans="1:9" x14ac:dyDescent="0.2">
      <c r="A368" s="8" t="s">
        <v>2</v>
      </c>
      <c r="B368" s="5"/>
      <c r="C368" s="74"/>
      <c r="D368" s="6"/>
      <c r="E368" s="6"/>
      <c r="F368" s="6"/>
      <c r="G368" s="6"/>
      <c r="H368" s="6"/>
      <c r="I368" s="6"/>
    </row>
    <row r="369" spans="1:9" x14ac:dyDescent="0.2">
      <c r="A369" s="8" t="s">
        <v>3</v>
      </c>
      <c r="B369" s="5"/>
      <c r="C369" s="75"/>
      <c r="D369" s="6"/>
      <c r="E369" s="6"/>
      <c r="F369" s="6"/>
      <c r="G369" s="6"/>
      <c r="H369" s="6"/>
      <c r="I369" s="6"/>
    </row>
    <row r="370" spans="1:9" x14ac:dyDescent="0.2">
      <c r="A370" s="8" t="s">
        <v>4</v>
      </c>
      <c r="B370" s="5"/>
      <c r="C370" s="74"/>
      <c r="D370" s="6"/>
      <c r="E370" s="6"/>
      <c r="F370" s="6"/>
      <c r="G370" s="6"/>
      <c r="H370" s="6"/>
      <c r="I370" s="6"/>
    </row>
    <row r="371" spans="1:9" x14ac:dyDescent="0.2">
      <c r="A371" s="8" t="s">
        <v>5</v>
      </c>
      <c r="B371" s="5"/>
      <c r="C371" s="74"/>
      <c r="D371" s="6"/>
      <c r="E371" s="6"/>
      <c r="F371" s="6"/>
      <c r="G371" s="6"/>
      <c r="H371" s="6"/>
      <c r="I371" s="6"/>
    </row>
    <row r="372" spans="1:9" x14ac:dyDescent="0.2">
      <c r="A372" s="8" t="s">
        <v>6</v>
      </c>
      <c r="B372" s="5"/>
      <c r="C372" s="74"/>
      <c r="D372" s="6"/>
      <c r="E372" s="6"/>
      <c r="F372" s="6"/>
      <c r="G372" s="6"/>
      <c r="H372" s="6"/>
      <c r="I372" s="6"/>
    </row>
    <row r="373" spans="1:9" x14ac:dyDescent="0.2">
      <c r="A373" s="8" t="s">
        <v>7</v>
      </c>
      <c r="B373" s="5"/>
      <c r="C373" s="74"/>
      <c r="D373" s="6"/>
      <c r="E373" s="6"/>
      <c r="F373" s="6"/>
      <c r="G373" s="6"/>
      <c r="H373" s="6"/>
      <c r="I373" s="6"/>
    </row>
    <row r="374" spans="1:9" x14ac:dyDescent="0.2">
      <c r="A374" s="8" t="s">
        <v>8</v>
      </c>
      <c r="B374" s="5"/>
      <c r="C374" s="74"/>
      <c r="D374" s="6"/>
      <c r="E374" s="6"/>
      <c r="F374" s="6"/>
      <c r="G374" s="6"/>
      <c r="H374" s="6"/>
      <c r="I374" s="6"/>
    </row>
    <row r="375" spans="1:9" x14ac:dyDescent="0.2">
      <c r="A375" s="8" t="s">
        <v>9</v>
      </c>
      <c r="B375" s="5"/>
      <c r="C375" s="74"/>
      <c r="D375" s="6"/>
      <c r="E375" s="6"/>
      <c r="F375" s="6"/>
      <c r="G375" s="6"/>
      <c r="H375" s="6"/>
      <c r="I375" s="6"/>
    </row>
    <row r="376" spans="1:9" x14ac:dyDescent="0.2">
      <c r="A376" s="312" t="s">
        <v>10</v>
      </c>
      <c r="B376" s="313"/>
      <c r="C376" s="313"/>
      <c r="D376" s="313"/>
      <c r="E376" s="314"/>
      <c r="F376" s="11">
        <f>SUM(F366:F375)</f>
        <v>0</v>
      </c>
      <c r="G376" s="11">
        <f>SUM(G366:G375)</f>
        <v>0</v>
      </c>
      <c r="H376" s="11">
        <f>SUM(H366:H375)</f>
        <v>0</v>
      </c>
      <c r="I376" s="11"/>
    </row>
    <row r="377" spans="1:9" x14ac:dyDescent="0.2">
      <c r="A377" s="8" t="s">
        <v>0</v>
      </c>
      <c r="B377" s="5">
        <f>B366+1</f>
        <v>46138</v>
      </c>
      <c r="C377" s="75"/>
      <c r="D377" s="6"/>
      <c r="E377" s="6"/>
      <c r="F377" s="6"/>
      <c r="G377" s="6"/>
      <c r="H377" s="6"/>
      <c r="I377" s="6"/>
    </row>
    <row r="378" spans="1:9" x14ac:dyDescent="0.2">
      <c r="A378" s="8" t="s">
        <v>1</v>
      </c>
      <c r="B378" s="5"/>
      <c r="C378" s="75"/>
      <c r="D378" s="6"/>
      <c r="E378" s="6"/>
      <c r="F378" s="6"/>
      <c r="G378" s="6"/>
      <c r="H378" s="6"/>
      <c r="I378" s="6"/>
    </row>
    <row r="379" spans="1:9" x14ac:dyDescent="0.2">
      <c r="A379" s="8" t="s">
        <v>2</v>
      </c>
      <c r="B379" s="5"/>
      <c r="C379" s="75"/>
      <c r="D379" s="6"/>
      <c r="E379" s="6"/>
      <c r="F379" s="6"/>
      <c r="G379" s="6"/>
      <c r="H379" s="6"/>
      <c r="I379" s="6"/>
    </row>
    <row r="380" spans="1:9" x14ac:dyDescent="0.2">
      <c r="A380" s="8" t="s">
        <v>3</v>
      </c>
      <c r="B380" s="5"/>
      <c r="C380" s="75"/>
      <c r="D380" s="6"/>
      <c r="E380" s="6"/>
      <c r="F380" s="6"/>
      <c r="G380" s="6"/>
      <c r="H380" s="6"/>
      <c r="I380" s="6"/>
    </row>
    <row r="381" spans="1:9" x14ac:dyDescent="0.2">
      <c r="A381" s="8" t="s">
        <v>4</v>
      </c>
      <c r="B381" s="5"/>
      <c r="C381" s="75"/>
      <c r="D381" s="6"/>
      <c r="E381" s="6"/>
      <c r="F381" s="6"/>
      <c r="G381" s="6"/>
      <c r="H381" s="6"/>
      <c r="I381" s="6"/>
    </row>
    <row r="382" spans="1:9" x14ac:dyDescent="0.2">
      <c r="A382" s="8" t="s">
        <v>5</v>
      </c>
      <c r="B382" s="5"/>
      <c r="C382" s="75"/>
      <c r="D382" s="6"/>
      <c r="E382" s="6"/>
      <c r="F382" s="6"/>
      <c r="G382" s="6"/>
      <c r="H382" s="6"/>
      <c r="I382" s="6"/>
    </row>
    <row r="383" spans="1:9" x14ac:dyDescent="0.2">
      <c r="A383" s="8" t="s">
        <v>6</v>
      </c>
      <c r="B383" s="5"/>
      <c r="C383" s="75"/>
      <c r="D383" s="6"/>
      <c r="E383" s="6"/>
      <c r="F383" s="6"/>
      <c r="G383" s="6"/>
      <c r="H383" s="6"/>
      <c r="I383" s="6"/>
    </row>
    <row r="384" spans="1:9" x14ac:dyDescent="0.2">
      <c r="A384" s="8" t="s">
        <v>7</v>
      </c>
      <c r="B384" s="5"/>
      <c r="C384" s="74"/>
      <c r="D384" s="6"/>
      <c r="E384" s="6"/>
      <c r="F384" s="6"/>
      <c r="G384" s="6"/>
      <c r="H384" s="6"/>
      <c r="I384" s="6"/>
    </row>
    <row r="385" spans="1:9" x14ac:dyDescent="0.2">
      <c r="A385" s="8" t="s">
        <v>8</v>
      </c>
      <c r="B385" s="5"/>
      <c r="C385" s="74"/>
      <c r="D385" s="6"/>
      <c r="E385" s="6"/>
      <c r="F385" s="6"/>
      <c r="G385" s="6"/>
      <c r="H385" s="6"/>
      <c r="I385" s="6"/>
    </row>
    <row r="386" spans="1:9" x14ac:dyDescent="0.2">
      <c r="A386" s="8" t="s">
        <v>9</v>
      </c>
      <c r="B386" s="5"/>
      <c r="C386" s="74"/>
      <c r="D386" s="6"/>
      <c r="E386" s="6"/>
      <c r="F386" s="6"/>
      <c r="G386" s="6"/>
      <c r="H386" s="6"/>
      <c r="I386" s="6"/>
    </row>
    <row r="387" spans="1:9" x14ac:dyDescent="0.2">
      <c r="A387" s="312" t="s">
        <v>10</v>
      </c>
      <c r="B387" s="313"/>
      <c r="C387" s="313"/>
      <c r="D387" s="313"/>
      <c r="E387" s="314"/>
      <c r="F387" s="11">
        <f>SUM(F377:F386)</f>
        <v>0</v>
      </c>
      <c r="G387" s="11">
        <f>SUM(G377:G386)</f>
        <v>0</v>
      </c>
      <c r="H387" s="11">
        <f>SUM(H377:H386)</f>
        <v>0</v>
      </c>
      <c r="I387" s="11"/>
    </row>
    <row r="388" spans="1:9" x14ac:dyDescent="0.2">
      <c r="A388" s="8" t="s">
        <v>0</v>
      </c>
      <c r="B388" s="5">
        <f>B377+1</f>
        <v>46139</v>
      </c>
      <c r="C388" s="75"/>
      <c r="D388" s="6"/>
      <c r="E388" s="6"/>
      <c r="F388" s="6"/>
      <c r="G388" s="6"/>
      <c r="H388" s="6"/>
      <c r="I388" s="6"/>
    </row>
    <row r="389" spans="1:9" x14ac:dyDescent="0.2">
      <c r="A389" s="8" t="s">
        <v>1</v>
      </c>
      <c r="B389" s="5"/>
      <c r="C389" s="75"/>
      <c r="D389" s="6"/>
      <c r="E389" s="6"/>
      <c r="F389" s="6"/>
      <c r="G389" s="6"/>
      <c r="H389" s="6"/>
      <c r="I389" s="6"/>
    </row>
    <row r="390" spans="1:9" x14ac:dyDescent="0.2">
      <c r="A390" s="8" t="s">
        <v>2</v>
      </c>
      <c r="B390" s="5"/>
      <c r="C390" s="75"/>
      <c r="D390" s="6"/>
      <c r="E390" s="6"/>
      <c r="F390" s="6"/>
      <c r="G390" s="6"/>
      <c r="H390" s="6"/>
      <c r="I390" s="6"/>
    </row>
    <row r="391" spans="1:9" x14ac:dyDescent="0.2">
      <c r="A391" s="8" t="s">
        <v>3</v>
      </c>
      <c r="B391" s="5"/>
      <c r="C391" s="75"/>
      <c r="D391" s="6"/>
      <c r="E391" s="6"/>
      <c r="F391" s="6"/>
      <c r="G391" s="6"/>
      <c r="H391" s="6"/>
      <c r="I391" s="6"/>
    </row>
    <row r="392" spans="1:9" x14ac:dyDescent="0.2">
      <c r="A392" s="8" t="s">
        <v>4</v>
      </c>
      <c r="B392" s="5"/>
      <c r="C392" s="75"/>
      <c r="D392" s="6"/>
      <c r="E392" s="6"/>
      <c r="F392" s="6"/>
      <c r="G392" s="6"/>
      <c r="H392" s="6"/>
      <c r="I392" s="6"/>
    </row>
    <row r="393" spans="1:9" x14ac:dyDescent="0.2">
      <c r="A393" s="8" t="s">
        <v>5</v>
      </c>
      <c r="B393" s="5"/>
      <c r="C393" s="75"/>
      <c r="D393" s="6"/>
      <c r="E393" s="6"/>
      <c r="F393" s="6"/>
      <c r="G393" s="6"/>
      <c r="H393" s="6"/>
      <c r="I393" s="6"/>
    </row>
    <row r="394" spans="1:9" x14ac:dyDescent="0.2">
      <c r="A394" s="8" t="s">
        <v>6</v>
      </c>
      <c r="B394" s="5"/>
      <c r="C394" s="74"/>
      <c r="D394" s="6"/>
      <c r="E394" s="6"/>
      <c r="F394" s="6"/>
      <c r="G394" s="6"/>
      <c r="H394" s="6"/>
      <c r="I394" s="6"/>
    </row>
    <row r="395" spans="1:9" x14ac:dyDescent="0.2">
      <c r="A395" s="8" t="s">
        <v>7</v>
      </c>
      <c r="B395" s="5"/>
      <c r="C395" s="74"/>
      <c r="D395" s="6"/>
      <c r="E395" s="6"/>
      <c r="F395" s="6"/>
      <c r="G395" s="6"/>
      <c r="H395" s="6"/>
      <c r="I395" s="6"/>
    </row>
    <row r="396" spans="1:9" x14ac:dyDescent="0.2">
      <c r="A396" s="8" t="s">
        <v>8</v>
      </c>
      <c r="B396" s="5"/>
      <c r="C396" s="74"/>
      <c r="D396" s="6"/>
      <c r="E396" s="6"/>
      <c r="F396" s="6"/>
      <c r="G396" s="6"/>
      <c r="H396" s="6"/>
      <c r="I396" s="6"/>
    </row>
    <row r="397" spans="1:9" x14ac:dyDescent="0.2">
      <c r="A397" s="8" t="s">
        <v>9</v>
      </c>
      <c r="B397" s="5"/>
      <c r="C397" s="74"/>
      <c r="D397" s="6"/>
      <c r="E397" s="6"/>
      <c r="F397" s="6"/>
      <c r="G397" s="6"/>
      <c r="H397" s="6"/>
      <c r="I397" s="6"/>
    </row>
    <row r="398" spans="1:9" x14ac:dyDescent="0.2">
      <c r="A398" s="312" t="s">
        <v>10</v>
      </c>
      <c r="B398" s="313"/>
      <c r="C398" s="313"/>
      <c r="D398" s="313"/>
      <c r="E398" s="314"/>
      <c r="F398" s="11">
        <f>SUM(F388:F397)</f>
        <v>0</v>
      </c>
      <c r="G398" s="11">
        <f>SUM(G388:G397)</f>
        <v>0</v>
      </c>
      <c r="H398" s="11">
        <f>SUM(H388:H397)</f>
        <v>0</v>
      </c>
      <c r="I398" s="11"/>
    </row>
    <row r="399" spans="1:9" x14ac:dyDescent="0.2">
      <c r="A399" s="8" t="s">
        <v>0</v>
      </c>
      <c r="B399" s="5">
        <f>B388+1</f>
        <v>46140</v>
      </c>
      <c r="C399" s="75"/>
      <c r="D399" s="6"/>
      <c r="E399" s="6"/>
      <c r="F399" s="6"/>
      <c r="G399" s="6"/>
      <c r="H399" s="6"/>
      <c r="I399" s="6"/>
    </row>
    <row r="400" spans="1:9" x14ac:dyDescent="0.2">
      <c r="A400" s="8" t="s">
        <v>1</v>
      </c>
      <c r="B400" s="5"/>
      <c r="C400" s="75"/>
      <c r="D400" s="6"/>
      <c r="E400" s="6"/>
      <c r="F400" s="6"/>
      <c r="G400" s="6"/>
      <c r="H400" s="6"/>
      <c r="I400" s="6"/>
    </row>
    <row r="401" spans="1:9" x14ac:dyDescent="0.2">
      <c r="A401" s="8" t="s">
        <v>2</v>
      </c>
      <c r="B401" s="5"/>
      <c r="C401" s="75"/>
      <c r="D401" s="6"/>
      <c r="E401" s="6"/>
      <c r="F401" s="6"/>
      <c r="G401" s="6"/>
      <c r="H401" s="6"/>
      <c r="I401" s="6"/>
    </row>
    <row r="402" spans="1:9" x14ac:dyDescent="0.2">
      <c r="A402" s="8" t="s">
        <v>3</v>
      </c>
      <c r="B402" s="5"/>
      <c r="C402" s="75"/>
      <c r="D402" s="6"/>
      <c r="E402" s="6"/>
      <c r="F402" s="6"/>
      <c r="G402" s="6"/>
      <c r="H402" s="6"/>
      <c r="I402" s="6"/>
    </row>
    <row r="403" spans="1:9" x14ac:dyDescent="0.2">
      <c r="A403" s="8" t="s">
        <v>4</v>
      </c>
      <c r="B403" s="5"/>
      <c r="C403" s="75"/>
      <c r="D403" s="6"/>
      <c r="E403" s="6"/>
      <c r="F403" s="6"/>
      <c r="G403" s="6"/>
      <c r="H403" s="6"/>
      <c r="I403" s="6"/>
    </row>
    <row r="404" spans="1:9" x14ac:dyDescent="0.2">
      <c r="A404" s="8" t="s">
        <v>5</v>
      </c>
      <c r="B404" s="5"/>
      <c r="C404" s="75"/>
      <c r="D404" s="6"/>
      <c r="E404" s="6"/>
      <c r="F404" s="6"/>
      <c r="G404" s="6"/>
      <c r="H404" s="6"/>
      <c r="I404" s="6"/>
    </row>
    <row r="405" spans="1:9" x14ac:dyDescent="0.2">
      <c r="A405" s="8" t="s">
        <v>6</v>
      </c>
      <c r="B405" s="5"/>
      <c r="C405" s="75"/>
      <c r="D405" s="6"/>
      <c r="E405" s="6"/>
      <c r="F405" s="6"/>
      <c r="G405" s="6"/>
      <c r="H405" s="6"/>
      <c r="I405" s="6"/>
    </row>
    <row r="406" spans="1:9" x14ac:dyDescent="0.2">
      <c r="A406" s="8" t="s">
        <v>7</v>
      </c>
      <c r="B406" s="5"/>
      <c r="C406" s="75"/>
      <c r="D406" s="6"/>
      <c r="E406" s="6"/>
      <c r="F406" s="6"/>
      <c r="G406" s="6"/>
      <c r="H406" s="6"/>
      <c r="I406" s="6"/>
    </row>
    <row r="407" spans="1:9" x14ac:dyDescent="0.2">
      <c r="A407" s="8" t="s">
        <v>8</v>
      </c>
      <c r="B407" s="5"/>
      <c r="C407" s="75"/>
      <c r="D407" s="6"/>
      <c r="E407" s="6"/>
      <c r="F407" s="6"/>
      <c r="G407" s="6"/>
      <c r="H407" s="6"/>
      <c r="I407" s="6"/>
    </row>
    <row r="408" spans="1:9" x14ac:dyDescent="0.2">
      <c r="A408" s="8" t="s">
        <v>9</v>
      </c>
      <c r="B408" s="5"/>
      <c r="C408" s="75"/>
      <c r="D408" s="6"/>
      <c r="E408" s="6"/>
      <c r="F408" s="6"/>
      <c r="G408" s="6"/>
      <c r="H408" s="6"/>
      <c r="I408" s="6"/>
    </row>
    <row r="409" spans="1:9" x14ac:dyDescent="0.2">
      <c r="A409" s="312" t="s">
        <v>10</v>
      </c>
      <c r="B409" s="313"/>
      <c r="C409" s="313"/>
      <c r="D409" s="313"/>
      <c r="E409" s="314"/>
      <c r="F409" s="11">
        <f>SUM(F399:F408)</f>
        <v>0</v>
      </c>
      <c r="G409" s="11">
        <f>SUM(G399:G408)</f>
        <v>0</v>
      </c>
      <c r="H409" s="11">
        <f>SUM(H399:H408)</f>
        <v>0</v>
      </c>
      <c r="I409" s="11"/>
    </row>
    <row r="410" spans="1:9" x14ac:dyDescent="0.2">
      <c r="A410" s="8" t="s">
        <v>0</v>
      </c>
      <c r="B410" s="5"/>
      <c r="C410" s="74"/>
      <c r="D410" s="6"/>
      <c r="E410" s="6"/>
      <c r="F410" s="6"/>
      <c r="G410" s="6"/>
      <c r="H410" s="6"/>
      <c r="I410" s="6"/>
    </row>
    <row r="411" spans="1:9" x14ac:dyDescent="0.2">
      <c r="A411" s="8" t="s">
        <v>1</v>
      </c>
      <c r="B411" s="5"/>
      <c r="C411" s="74"/>
      <c r="D411" s="6"/>
      <c r="E411" s="6"/>
      <c r="F411" s="6"/>
      <c r="G411" s="6"/>
      <c r="H411" s="6"/>
      <c r="I411" s="6"/>
    </row>
    <row r="412" spans="1:9" x14ac:dyDescent="0.2">
      <c r="A412" s="8" t="s">
        <v>2</v>
      </c>
      <c r="B412" s="5"/>
      <c r="C412" s="74"/>
      <c r="D412" s="6"/>
      <c r="E412" s="6"/>
      <c r="F412" s="6"/>
      <c r="G412" s="6"/>
      <c r="H412" s="6"/>
      <c r="I412" s="6"/>
    </row>
    <row r="413" spans="1:9" x14ac:dyDescent="0.2">
      <c r="A413" s="8" t="s">
        <v>3</v>
      </c>
      <c r="B413" s="5"/>
      <c r="C413" s="74"/>
      <c r="D413" s="6"/>
      <c r="E413" s="6"/>
      <c r="F413" s="6"/>
      <c r="G413" s="6"/>
      <c r="H413" s="6"/>
      <c r="I413" s="6"/>
    </row>
    <row r="414" spans="1:9" x14ac:dyDescent="0.2">
      <c r="A414" s="8" t="s">
        <v>4</v>
      </c>
      <c r="B414" s="5"/>
      <c r="C414" s="74"/>
      <c r="D414" s="6"/>
      <c r="E414" s="6"/>
      <c r="F414" s="6"/>
      <c r="G414" s="6"/>
      <c r="H414" s="6"/>
      <c r="I414" s="6"/>
    </row>
    <row r="415" spans="1:9" x14ac:dyDescent="0.2">
      <c r="A415" s="8" t="s">
        <v>5</v>
      </c>
      <c r="B415" s="5"/>
      <c r="C415" s="74"/>
      <c r="D415" s="6"/>
      <c r="E415" s="6"/>
      <c r="F415" s="6"/>
      <c r="G415" s="6"/>
      <c r="H415" s="6"/>
      <c r="I415" s="6"/>
    </row>
    <row r="416" spans="1:9" x14ac:dyDescent="0.2">
      <c r="A416" s="8" t="s">
        <v>6</v>
      </c>
      <c r="B416" s="5"/>
      <c r="C416" s="74"/>
      <c r="D416" s="6"/>
      <c r="E416" s="6"/>
      <c r="F416" s="6"/>
      <c r="G416" s="6"/>
      <c r="H416" s="6"/>
      <c r="I416" s="6"/>
    </row>
    <row r="417" spans="1:9" x14ac:dyDescent="0.2">
      <c r="A417" s="8" t="s">
        <v>7</v>
      </c>
      <c r="B417" s="5"/>
      <c r="C417" s="74"/>
      <c r="D417" s="6"/>
      <c r="E417" s="6"/>
      <c r="F417" s="6"/>
      <c r="G417" s="6"/>
      <c r="H417" s="6"/>
      <c r="I417" s="6"/>
    </row>
    <row r="418" spans="1:9" x14ac:dyDescent="0.2">
      <c r="A418" s="8" t="s">
        <v>8</v>
      </c>
      <c r="B418" s="5"/>
      <c r="C418" s="74"/>
      <c r="D418" s="6"/>
      <c r="E418" s="6"/>
      <c r="F418" s="6"/>
      <c r="G418" s="6"/>
      <c r="H418" s="6"/>
      <c r="I418" s="6"/>
    </row>
    <row r="419" spans="1:9" x14ac:dyDescent="0.2">
      <c r="A419" s="8" t="s">
        <v>9</v>
      </c>
      <c r="B419" s="5"/>
      <c r="C419" s="74"/>
      <c r="D419" s="6"/>
      <c r="E419" s="6"/>
      <c r="F419" s="6"/>
      <c r="G419" s="6"/>
      <c r="H419" s="6"/>
      <c r="I419" s="6"/>
    </row>
    <row r="420" spans="1:9" x14ac:dyDescent="0.2">
      <c r="A420" s="312" t="s">
        <v>10</v>
      </c>
      <c r="B420" s="313"/>
      <c r="C420" s="313"/>
      <c r="D420" s="313"/>
      <c r="E420" s="314"/>
      <c r="F420" s="11">
        <f>SUM(F410:F419)</f>
        <v>0</v>
      </c>
      <c r="G420" s="11">
        <f>SUM(G410:G419)</f>
        <v>0</v>
      </c>
      <c r="H420" s="11">
        <f>SUM(H410:H419)</f>
        <v>0</v>
      </c>
      <c r="I420" s="11"/>
    </row>
    <row r="421" spans="1:9" s="25" customFormat="1" ht="18" x14ac:dyDescent="0.2">
      <c r="A421" s="315" t="s">
        <v>39</v>
      </c>
      <c r="B421" s="316"/>
      <c r="C421" s="316"/>
      <c r="D421" s="316"/>
      <c r="E421" s="317"/>
      <c r="F421" s="22">
        <f>F354+F365+F376+F387+F398+F409+F420+F336</f>
        <v>0</v>
      </c>
      <c r="G421" s="22">
        <f>G354+G365+G376+G387+G398+G409+G420+G336</f>
        <v>0</v>
      </c>
      <c r="H421" s="22">
        <f>H354+H365+H376+H387+H398+H409+H420+H336</f>
        <v>0</v>
      </c>
      <c r="I421" s="22"/>
    </row>
  </sheetData>
  <mergeCells count="70">
    <mergeCell ref="A409:E409"/>
    <mergeCell ref="A420:E420"/>
    <mergeCell ref="A421:E421"/>
    <mergeCell ref="F341:H341"/>
    <mergeCell ref="A354:E354"/>
    <mergeCell ref="A365:E365"/>
    <mergeCell ref="A376:E376"/>
    <mergeCell ref="A387:E387"/>
    <mergeCell ref="A398:E398"/>
    <mergeCell ref="A336:E336"/>
    <mergeCell ref="A337:I337"/>
    <mergeCell ref="A338:E338"/>
    <mergeCell ref="A339:C339"/>
    <mergeCell ref="A340:C340"/>
    <mergeCell ref="F340:G340"/>
    <mergeCell ref="A335:E335"/>
    <mergeCell ref="A254:E254"/>
    <mergeCell ref="A255:C255"/>
    <mergeCell ref="A256:C256"/>
    <mergeCell ref="F256:G256"/>
    <mergeCell ref="F257:H257"/>
    <mergeCell ref="A269:E269"/>
    <mergeCell ref="A280:E280"/>
    <mergeCell ref="A291:E291"/>
    <mergeCell ref="A302:E302"/>
    <mergeCell ref="A313:E313"/>
    <mergeCell ref="A324:E324"/>
    <mergeCell ref="A253:I253"/>
    <mergeCell ref="A172:C172"/>
    <mergeCell ref="F172:G172"/>
    <mergeCell ref="F173:H173"/>
    <mergeCell ref="A185:E185"/>
    <mergeCell ref="A196:E196"/>
    <mergeCell ref="A207:E207"/>
    <mergeCell ref="A218:E218"/>
    <mergeCell ref="A229:E229"/>
    <mergeCell ref="A240:E240"/>
    <mergeCell ref="A251:E251"/>
    <mergeCell ref="A252:E252"/>
    <mergeCell ref="A171:C171"/>
    <mergeCell ref="F89:H89"/>
    <mergeCell ref="A101:E101"/>
    <mergeCell ref="A112:E112"/>
    <mergeCell ref="A123:E123"/>
    <mergeCell ref="A134:E134"/>
    <mergeCell ref="A145:E145"/>
    <mergeCell ref="A156:E156"/>
    <mergeCell ref="A167:E167"/>
    <mergeCell ref="A168:E168"/>
    <mergeCell ref="A169:I169"/>
    <mergeCell ref="A170:E170"/>
    <mergeCell ref="A88:C88"/>
    <mergeCell ref="F88:G88"/>
    <mergeCell ref="A17:E17"/>
    <mergeCell ref="A28:E28"/>
    <mergeCell ref="A39:E39"/>
    <mergeCell ref="A50:E50"/>
    <mergeCell ref="A61:E61"/>
    <mergeCell ref="A72:E72"/>
    <mergeCell ref="A83:E83"/>
    <mergeCell ref="A84:E84"/>
    <mergeCell ref="A85:I85"/>
    <mergeCell ref="A86:E86"/>
    <mergeCell ref="A87:C87"/>
    <mergeCell ref="F5:H5"/>
    <mergeCell ref="A1:I1"/>
    <mergeCell ref="A2:E2"/>
    <mergeCell ref="A3:C3"/>
    <mergeCell ref="A4:C4"/>
    <mergeCell ref="F4:G4"/>
  </mergeCells>
  <pageMargins left="0.59055118110236227" right="0.39370078740157483" top="0.59055118110236227" bottom="0.39370078740157483" header="0.31496062992125984" footer="0.31496062992125984"/>
  <pageSetup paperSize="9" scale="99" fitToHeight="5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1"/>
  <sheetViews>
    <sheetView zoomScale="150" zoomScaleNormal="150" workbookViewId="0">
      <selection activeCell="F343" sqref="F343:G343"/>
    </sheetView>
  </sheetViews>
  <sheetFormatPr defaultColWidth="9" defaultRowHeight="17.25" x14ac:dyDescent="0.2"/>
  <cols>
    <col min="1" max="1" width="4" style="1" bestFit="1" customWidth="1"/>
    <col min="2" max="2" width="10.625" style="7" customWidth="1"/>
    <col min="3" max="3" width="11.25" style="76" customWidth="1"/>
    <col min="4" max="4" width="15.625" style="1" customWidth="1"/>
    <col min="5" max="5" width="10.625" style="1" customWidth="1"/>
    <col min="6" max="8" width="7.625" style="1" customWidth="1"/>
    <col min="9" max="9" width="18" style="1" customWidth="1"/>
    <col min="10" max="16384" width="9" style="1"/>
  </cols>
  <sheetData>
    <row r="1" spans="1:9" ht="21.95" customHeight="1" x14ac:dyDescent="0.2">
      <c r="A1" s="319" t="s">
        <v>14</v>
      </c>
      <c r="B1" s="319"/>
      <c r="C1" s="319"/>
      <c r="D1" s="319"/>
      <c r="E1" s="319"/>
      <c r="F1" s="319"/>
      <c r="G1" s="319"/>
      <c r="H1" s="319"/>
      <c r="I1" s="319"/>
    </row>
    <row r="2" spans="1:9" s="53" customFormat="1" ht="20.100000000000001" customHeight="1" x14ac:dyDescent="0.2">
      <c r="A2" s="323" t="s">
        <v>86</v>
      </c>
      <c r="B2" s="323"/>
      <c r="C2" s="323"/>
      <c r="D2" s="323"/>
      <c r="E2" s="323"/>
      <c r="F2" s="104" t="str">
        <f>'1'!$F$2</f>
        <v>เมษายน</v>
      </c>
      <c r="G2" s="50" t="s">
        <v>87</v>
      </c>
      <c r="H2" s="51">
        <f>'1'!$H$2</f>
        <v>2569</v>
      </c>
      <c r="I2" s="52"/>
    </row>
    <row r="3" spans="1:9" s="3" customFormat="1" ht="20.100000000000001" customHeight="1" x14ac:dyDescent="0.4">
      <c r="A3" s="318" t="s">
        <v>97</v>
      </c>
      <c r="B3" s="318"/>
      <c r="C3" s="318"/>
      <c r="D3" s="2"/>
      <c r="F3" s="4"/>
      <c r="G3" s="4"/>
      <c r="H3" s="4" t="s">
        <v>21</v>
      </c>
      <c r="I3" s="41">
        <v>1</v>
      </c>
    </row>
    <row r="4" spans="1:9" s="49" customFormat="1" ht="20.100000000000001" customHeight="1" x14ac:dyDescent="0.35">
      <c r="A4" s="327" t="s">
        <v>98</v>
      </c>
      <c r="B4" s="327"/>
      <c r="C4" s="327"/>
      <c r="D4" s="46"/>
      <c r="E4" s="47" t="s">
        <v>81</v>
      </c>
      <c r="F4" s="328">
        <f>'1'!$F$4</f>
        <v>46107</v>
      </c>
      <c r="G4" s="328"/>
      <c r="H4" s="47" t="s">
        <v>82</v>
      </c>
      <c r="I4" s="48">
        <f>'1'!$I$4</f>
        <v>46136</v>
      </c>
    </row>
    <row r="5" spans="1:9" x14ac:dyDescent="0.2">
      <c r="A5" s="12" t="s">
        <v>23</v>
      </c>
      <c r="B5" s="13" t="s">
        <v>11</v>
      </c>
      <c r="C5" s="72" t="s">
        <v>26</v>
      </c>
      <c r="D5" s="12" t="s">
        <v>16</v>
      </c>
      <c r="E5" s="12" t="s">
        <v>17</v>
      </c>
      <c r="F5" s="310" t="s">
        <v>46</v>
      </c>
      <c r="G5" s="310"/>
      <c r="H5" s="310"/>
      <c r="I5" s="12" t="s">
        <v>19</v>
      </c>
    </row>
    <row r="6" spans="1:9" x14ac:dyDescent="0.2">
      <c r="A6" s="15"/>
      <c r="B6" s="16"/>
      <c r="C6" s="73"/>
      <c r="D6" s="15"/>
      <c r="E6" s="15"/>
      <c r="F6" s="21" t="s">
        <v>113</v>
      </c>
      <c r="G6" s="21" t="s">
        <v>114</v>
      </c>
      <c r="H6" s="21" t="s">
        <v>20</v>
      </c>
      <c r="I6" s="15"/>
    </row>
    <row r="7" spans="1:9" x14ac:dyDescent="0.2">
      <c r="A7" s="8" t="s">
        <v>0</v>
      </c>
      <c r="B7" s="5">
        <f>'10'!B7</f>
        <v>46107</v>
      </c>
      <c r="C7" s="74"/>
      <c r="D7" s="6"/>
      <c r="E7" s="6"/>
      <c r="F7" s="6"/>
      <c r="G7" s="6"/>
      <c r="H7" s="6"/>
      <c r="I7" s="6"/>
    </row>
    <row r="8" spans="1:9" x14ac:dyDescent="0.2">
      <c r="A8" s="8" t="s">
        <v>1</v>
      </c>
      <c r="B8" s="5"/>
      <c r="C8" s="74"/>
      <c r="D8" s="6"/>
      <c r="E8" s="6"/>
      <c r="F8" s="6"/>
      <c r="G8" s="6"/>
      <c r="H8" s="6"/>
      <c r="I8" s="6"/>
    </row>
    <row r="9" spans="1:9" x14ac:dyDescent="0.2">
      <c r="A9" s="8" t="s">
        <v>2</v>
      </c>
      <c r="B9" s="5"/>
      <c r="C9" s="74"/>
      <c r="D9" s="6"/>
      <c r="E9" s="6"/>
      <c r="F9" s="54"/>
      <c r="G9" s="6"/>
      <c r="H9" s="6"/>
      <c r="I9" s="6"/>
    </row>
    <row r="10" spans="1:9" x14ac:dyDescent="0.2">
      <c r="A10" s="8" t="s">
        <v>3</v>
      </c>
      <c r="B10" s="5"/>
      <c r="C10" s="74"/>
      <c r="D10" s="6"/>
      <c r="E10" s="6"/>
      <c r="F10" s="6"/>
      <c r="G10" s="6"/>
      <c r="H10" s="6"/>
      <c r="I10" s="6"/>
    </row>
    <row r="11" spans="1:9" x14ac:dyDescent="0.2">
      <c r="A11" s="8" t="s">
        <v>4</v>
      </c>
      <c r="B11" s="5"/>
      <c r="C11" s="74"/>
      <c r="D11" s="6"/>
      <c r="E11" s="6"/>
      <c r="F11" s="6"/>
      <c r="G11" s="6"/>
      <c r="H11" s="6"/>
      <c r="I11" s="6"/>
    </row>
    <row r="12" spans="1:9" x14ac:dyDescent="0.2">
      <c r="A12" s="8" t="s">
        <v>5</v>
      </c>
      <c r="B12" s="5"/>
      <c r="C12" s="74"/>
      <c r="D12" s="6"/>
      <c r="E12" s="6"/>
      <c r="F12" s="6"/>
      <c r="G12" s="6"/>
      <c r="H12" s="6"/>
      <c r="I12" s="6"/>
    </row>
    <row r="13" spans="1:9" x14ac:dyDescent="0.2">
      <c r="A13" s="8" t="s">
        <v>6</v>
      </c>
      <c r="B13" s="5"/>
      <c r="C13" s="74"/>
      <c r="D13" s="6"/>
      <c r="E13" s="6"/>
      <c r="F13" s="6"/>
      <c r="G13" s="6"/>
      <c r="H13" s="6"/>
      <c r="I13" s="6"/>
    </row>
    <row r="14" spans="1:9" x14ac:dyDescent="0.2">
      <c r="A14" s="8" t="s">
        <v>7</v>
      </c>
      <c r="B14" s="5"/>
      <c r="C14" s="74"/>
      <c r="D14" s="6"/>
      <c r="E14" s="6"/>
      <c r="F14" s="6"/>
      <c r="G14" s="6"/>
      <c r="H14" s="6"/>
      <c r="I14" s="6"/>
    </row>
    <row r="15" spans="1:9" x14ac:dyDescent="0.2">
      <c r="A15" s="8" t="s">
        <v>8</v>
      </c>
      <c r="B15" s="5"/>
      <c r="C15" s="74"/>
      <c r="D15" s="6"/>
      <c r="E15" s="6"/>
      <c r="F15" s="6"/>
      <c r="G15" s="6"/>
      <c r="H15" s="6"/>
      <c r="I15" s="6"/>
    </row>
    <row r="16" spans="1:9" x14ac:dyDescent="0.2">
      <c r="A16" s="8" t="s">
        <v>9</v>
      </c>
      <c r="B16" s="5"/>
      <c r="C16" s="74"/>
      <c r="D16" s="6"/>
      <c r="E16" s="6"/>
      <c r="F16" s="6"/>
      <c r="G16" s="6"/>
      <c r="H16" s="6"/>
      <c r="I16" s="6"/>
    </row>
    <row r="17" spans="1:9" x14ac:dyDescent="0.2">
      <c r="A17" s="312" t="s">
        <v>10</v>
      </c>
      <c r="B17" s="313"/>
      <c r="C17" s="313"/>
      <c r="D17" s="313"/>
      <c r="E17" s="314"/>
      <c r="F17" s="11">
        <f>SUM(F7:F16)</f>
        <v>0</v>
      </c>
      <c r="G17" s="11">
        <f>SUM(G7:G16)</f>
        <v>0</v>
      </c>
      <c r="H17" s="11">
        <f>SUM(H7:H16)</f>
        <v>0</v>
      </c>
      <c r="I17" s="11"/>
    </row>
    <row r="18" spans="1:9" x14ac:dyDescent="0.2">
      <c r="A18" s="8" t="s">
        <v>0</v>
      </c>
      <c r="B18" s="5">
        <f>B7+1</f>
        <v>46108</v>
      </c>
      <c r="C18" s="74"/>
      <c r="D18" s="6"/>
      <c r="E18" s="6"/>
      <c r="F18" s="6"/>
      <c r="G18" s="6"/>
      <c r="H18" s="6"/>
      <c r="I18" s="6"/>
    </row>
    <row r="19" spans="1:9" x14ac:dyDescent="0.2">
      <c r="A19" s="8" t="s">
        <v>1</v>
      </c>
      <c r="B19" s="5"/>
      <c r="C19" s="74"/>
      <c r="D19" s="6"/>
      <c r="E19" s="6"/>
      <c r="F19" s="6"/>
      <c r="G19" s="6"/>
      <c r="H19" s="6"/>
      <c r="I19" s="6"/>
    </row>
    <row r="20" spans="1:9" x14ac:dyDescent="0.2">
      <c r="A20" s="8" t="s">
        <v>2</v>
      </c>
      <c r="B20" s="5"/>
      <c r="C20" s="74"/>
      <c r="D20" s="6"/>
      <c r="E20" s="6"/>
      <c r="F20" s="54"/>
      <c r="G20" s="6"/>
      <c r="H20" s="6"/>
      <c r="I20" s="6"/>
    </row>
    <row r="21" spans="1:9" x14ac:dyDescent="0.2">
      <c r="A21" s="8" t="s">
        <v>3</v>
      </c>
      <c r="B21" s="5"/>
      <c r="C21" s="75"/>
      <c r="D21" s="6"/>
      <c r="E21" s="6"/>
      <c r="F21" s="6"/>
      <c r="G21" s="6"/>
      <c r="H21" s="6"/>
      <c r="I21" s="6"/>
    </row>
    <row r="22" spans="1:9" x14ac:dyDescent="0.2">
      <c r="A22" s="8" t="s">
        <v>4</v>
      </c>
      <c r="B22" s="5"/>
      <c r="C22" s="75"/>
      <c r="D22" s="6"/>
      <c r="E22" s="6"/>
      <c r="F22" s="6"/>
      <c r="G22" s="6"/>
      <c r="H22" s="6"/>
      <c r="I22" s="6"/>
    </row>
    <row r="23" spans="1:9" x14ac:dyDescent="0.2">
      <c r="A23" s="8" t="s">
        <v>5</v>
      </c>
      <c r="B23" s="5"/>
      <c r="C23" s="75"/>
      <c r="D23" s="6"/>
      <c r="E23" s="6"/>
      <c r="F23" s="6"/>
      <c r="G23" s="6"/>
      <c r="H23" s="6"/>
      <c r="I23" s="6"/>
    </row>
    <row r="24" spans="1:9" x14ac:dyDescent="0.2">
      <c r="A24" s="8" t="s">
        <v>6</v>
      </c>
      <c r="B24" s="5"/>
      <c r="C24" s="75"/>
      <c r="D24" s="6"/>
      <c r="E24" s="6"/>
      <c r="F24" s="6"/>
      <c r="G24" s="6"/>
      <c r="H24" s="6"/>
      <c r="I24" s="6"/>
    </row>
    <row r="25" spans="1:9" x14ac:dyDescent="0.2">
      <c r="A25" s="8" t="s">
        <v>7</v>
      </c>
      <c r="B25" s="5"/>
      <c r="C25" s="75"/>
      <c r="D25" s="6"/>
      <c r="E25" s="6"/>
      <c r="F25" s="6"/>
      <c r="G25" s="6"/>
      <c r="H25" s="6"/>
      <c r="I25" s="6"/>
    </row>
    <row r="26" spans="1:9" x14ac:dyDescent="0.2">
      <c r="A26" s="8" t="s">
        <v>8</v>
      </c>
      <c r="B26" s="5"/>
      <c r="C26" s="74"/>
      <c r="D26" s="6"/>
      <c r="E26" s="6"/>
      <c r="F26" s="6"/>
      <c r="G26" s="6"/>
      <c r="H26" s="6"/>
      <c r="I26" s="6"/>
    </row>
    <row r="27" spans="1:9" x14ac:dyDescent="0.2">
      <c r="A27" s="8" t="s">
        <v>9</v>
      </c>
      <c r="B27" s="5"/>
      <c r="C27" s="74"/>
      <c r="D27" s="6"/>
      <c r="E27" s="6"/>
      <c r="F27" s="6"/>
      <c r="G27" s="6"/>
      <c r="H27" s="6"/>
      <c r="I27" s="6"/>
    </row>
    <row r="28" spans="1:9" x14ac:dyDescent="0.2">
      <c r="A28" s="312" t="s">
        <v>10</v>
      </c>
      <c r="B28" s="313"/>
      <c r="C28" s="313"/>
      <c r="D28" s="313"/>
      <c r="E28" s="314"/>
      <c r="F28" s="11">
        <f>SUM(F18:F27)</f>
        <v>0</v>
      </c>
      <c r="G28" s="11">
        <f>SUM(G18:G27)</f>
        <v>0</v>
      </c>
      <c r="H28" s="11">
        <f>SUM(H18:H27)</f>
        <v>0</v>
      </c>
      <c r="I28" s="11"/>
    </row>
    <row r="29" spans="1:9" x14ac:dyDescent="0.2">
      <c r="A29" s="8" t="s">
        <v>0</v>
      </c>
      <c r="B29" s="5">
        <f>B18+1</f>
        <v>46109</v>
      </c>
      <c r="C29" s="74"/>
      <c r="D29" s="6"/>
      <c r="E29" s="6"/>
      <c r="F29" s="6"/>
      <c r="G29" s="6"/>
      <c r="H29" s="6"/>
      <c r="I29" s="6"/>
    </row>
    <row r="30" spans="1:9" x14ac:dyDescent="0.2">
      <c r="A30" s="8" t="s">
        <v>1</v>
      </c>
      <c r="B30" s="5"/>
      <c r="C30" s="74"/>
      <c r="D30" s="6"/>
      <c r="E30" s="6"/>
      <c r="F30" s="6"/>
      <c r="G30" s="6"/>
      <c r="H30" s="6"/>
      <c r="I30" s="6"/>
    </row>
    <row r="31" spans="1:9" x14ac:dyDescent="0.2">
      <c r="A31" s="8" t="s">
        <v>2</v>
      </c>
      <c r="B31" s="5"/>
      <c r="C31" s="74"/>
      <c r="D31" s="6"/>
      <c r="E31" s="6"/>
      <c r="F31" s="6"/>
      <c r="G31" s="6"/>
      <c r="H31" s="6"/>
      <c r="I31" s="6"/>
    </row>
    <row r="32" spans="1:9" x14ac:dyDescent="0.2">
      <c r="A32" s="8" t="s">
        <v>3</v>
      </c>
      <c r="B32" s="5"/>
      <c r="C32" s="74"/>
      <c r="D32" s="6"/>
      <c r="E32" s="6"/>
      <c r="F32" s="6"/>
      <c r="G32" s="6"/>
      <c r="H32" s="6"/>
      <c r="I32" s="6"/>
    </row>
    <row r="33" spans="1:9" x14ac:dyDescent="0.2">
      <c r="A33" s="8" t="s">
        <v>4</v>
      </c>
      <c r="B33" s="5"/>
      <c r="C33" s="74"/>
      <c r="D33" s="6"/>
      <c r="E33" s="6"/>
      <c r="F33" s="6"/>
      <c r="G33" s="6"/>
      <c r="H33" s="6"/>
      <c r="I33" s="6"/>
    </row>
    <row r="34" spans="1:9" x14ac:dyDescent="0.2">
      <c r="A34" s="8" t="s">
        <v>5</v>
      </c>
      <c r="B34" s="5"/>
      <c r="C34" s="74"/>
      <c r="D34" s="6"/>
      <c r="E34" s="6"/>
      <c r="F34" s="6"/>
      <c r="G34" s="6"/>
      <c r="H34" s="6"/>
      <c r="I34" s="6"/>
    </row>
    <row r="35" spans="1:9" x14ac:dyDescent="0.2">
      <c r="A35" s="8" t="s">
        <v>6</v>
      </c>
      <c r="B35" s="5"/>
      <c r="C35" s="74"/>
      <c r="D35" s="6"/>
      <c r="E35" s="6"/>
      <c r="F35" s="6"/>
      <c r="G35" s="6"/>
      <c r="H35" s="6"/>
      <c r="I35" s="6"/>
    </row>
    <row r="36" spans="1:9" x14ac:dyDescent="0.2">
      <c r="A36" s="8" t="s">
        <v>7</v>
      </c>
      <c r="B36" s="5"/>
      <c r="C36" s="74"/>
      <c r="D36" s="6"/>
      <c r="E36" s="6"/>
      <c r="F36" s="6"/>
      <c r="G36" s="6"/>
      <c r="H36" s="6"/>
      <c r="I36" s="6"/>
    </row>
    <row r="37" spans="1:9" x14ac:dyDescent="0.2">
      <c r="A37" s="8" t="s">
        <v>8</v>
      </c>
      <c r="B37" s="5"/>
      <c r="C37" s="74"/>
      <c r="D37" s="6"/>
      <c r="E37" s="6"/>
      <c r="F37" s="6"/>
      <c r="G37" s="6"/>
      <c r="H37" s="6"/>
      <c r="I37" s="6"/>
    </row>
    <row r="38" spans="1:9" x14ac:dyDescent="0.2">
      <c r="A38" s="8" t="s">
        <v>9</v>
      </c>
      <c r="B38" s="5"/>
      <c r="C38" s="74"/>
      <c r="D38" s="6"/>
      <c r="E38" s="6"/>
      <c r="F38" s="6"/>
      <c r="G38" s="6"/>
      <c r="H38" s="6"/>
      <c r="I38" s="6"/>
    </row>
    <row r="39" spans="1:9" x14ac:dyDescent="0.2">
      <c r="A39" s="312" t="s">
        <v>10</v>
      </c>
      <c r="B39" s="313"/>
      <c r="C39" s="313"/>
      <c r="D39" s="313"/>
      <c r="E39" s="314"/>
      <c r="F39" s="11">
        <f>SUM(F29:F38)</f>
        <v>0</v>
      </c>
      <c r="G39" s="11">
        <f>SUM(G29:G38)</f>
        <v>0</v>
      </c>
      <c r="H39" s="11">
        <f>SUM(H29:H38)</f>
        <v>0</v>
      </c>
      <c r="I39" s="11"/>
    </row>
    <row r="40" spans="1:9" x14ac:dyDescent="0.2">
      <c r="A40" s="8" t="s">
        <v>0</v>
      </c>
      <c r="B40" s="5">
        <f>B29+1</f>
        <v>46110</v>
      </c>
      <c r="C40" s="75"/>
      <c r="D40" s="6"/>
      <c r="E40" s="6"/>
      <c r="F40" s="6"/>
      <c r="G40" s="6"/>
      <c r="H40" s="6"/>
      <c r="I40" s="6"/>
    </row>
    <row r="41" spans="1:9" x14ac:dyDescent="0.2">
      <c r="A41" s="8" t="s">
        <v>1</v>
      </c>
      <c r="B41" s="5"/>
      <c r="C41" s="75"/>
      <c r="D41" s="6"/>
      <c r="E41" s="6"/>
      <c r="F41" s="6"/>
      <c r="G41" s="6"/>
      <c r="H41" s="6"/>
      <c r="I41" s="6"/>
    </row>
    <row r="42" spans="1:9" x14ac:dyDescent="0.2">
      <c r="A42" s="8" t="s">
        <v>2</v>
      </c>
      <c r="B42" s="5"/>
      <c r="C42" s="75"/>
      <c r="D42" s="6"/>
      <c r="E42" s="6"/>
      <c r="F42" s="6"/>
      <c r="G42" s="6"/>
      <c r="H42" s="6"/>
      <c r="I42" s="6"/>
    </row>
    <row r="43" spans="1:9" x14ac:dyDescent="0.2">
      <c r="A43" s="8" t="s">
        <v>3</v>
      </c>
      <c r="B43" s="5"/>
      <c r="C43" s="75"/>
      <c r="D43" s="6"/>
      <c r="E43" s="6"/>
      <c r="F43" s="6"/>
      <c r="G43" s="6"/>
      <c r="H43" s="6"/>
      <c r="I43" s="6"/>
    </row>
    <row r="44" spans="1:9" x14ac:dyDescent="0.2">
      <c r="A44" s="8" t="s">
        <v>4</v>
      </c>
      <c r="B44" s="5"/>
      <c r="C44" s="75"/>
      <c r="D44" s="6"/>
      <c r="E44" s="6"/>
      <c r="F44" s="6"/>
      <c r="G44" s="6"/>
      <c r="H44" s="6"/>
      <c r="I44" s="6"/>
    </row>
    <row r="45" spans="1:9" x14ac:dyDescent="0.2">
      <c r="A45" s="8" t="s">
        <v>5</v>
      </c>
      <c r="B45" s="5"/>
      <c r="C45" s="75"/>
      <c r="D45" s="6"/>
      <c r="E45" s="6"/>
      <c r="F45" s="6"/>
      <c r="G45" s="6"/>
      <c r="H45" s="6"/>
      <c r="I45" s="6"/>
    </row>
    <row r="46" spans="1:9" x14ac:dyDescent="0.2">
      <c r="A46" s="8" t="s">
        <v>6</v>
      </c>
      <c r="B46" s="5"/>
      <c r="C46" s="75"/>
      <c r="D46" s="6"/>
      <c r="E46" s="6"/>
      <c r="F46" s="6"/>
      <c r="G46" s="6"/>
      <c r="H46" s="6"/>
      <c r="I46" s="6"/>
    </row>
    <row r="47" spans="1:9" x14ac:dyDescent="0.2">
      <c r="A47" s="8" t="s">
        <v>7</v>
      </c>
      <c r="B47" s="5"/>
      <c r="C47" s="74"/>
      <c r="D47" s="6"/>
      <c r="E47" s="6"/>
      <c r="F47" s="6"/>
      <c r="G47" s="6"/>
      <c r="H47" s="6"/>
      <c r="I47" s="6"/>
    </row>
    <row r="48" spans="1:9" x14ac:dyDescent="0.2">
      <c r="A48" s="8" t="s">
        <v>8</v>
      </c>
      <c r="B48" s="5"/>
      <c r="C48" s="74"/>
      <c r="D48" s="6"/>
      <c r="E48" s="6"/>
      <c r="F48" s="6"/>
      <c r="G48" s="6"/>
      <c r="H48" s="6"/>
      <c r="I48" s="6"/>
    </row>
    <row r="49" spans="1:9" x14ac:dyDescent="0.2">
      <c r="A49" s="8" t="s">
        <v>9</v>
      </c>
      <c r="B49" s="5"/>
      <c r="C49" s="74"/>
      <c r="D49" s="6"/>
      <c r="E49" s="6"/>
      <c r="F49" s="6"/>
      <c r="G49" s="6"/>
      <c r="H49" s="6"/>
      <c r="I49" s="6"/>
    </row>
    <row r="50" spans="1:9" x14ac:dyDescent="0.2">
      <c r="A50" s="312" t="s">
        <v>10</v>
      </c>
      <c r="B50" s="313"/>
      <c r="C50" s="313"/>
      <c r="D50" s="313"/>
      <c r="E50" s="314"/>
      <c r="F50" s="11">
        <f>SUM(F40:F49)</f>
        <v>0</v>
      </c>
      <c r="G50" s="11">
        <f>SUM(G40:G49)</f>
        <v>0</v>
      </c>
      <c r="H50" s="11">
        <f>SUM(H40:H49)</f>
        <v>0</v>
      </c>
      <c r="I50" s="11"/>
    </row>
    <row r="51" spans="1:9" x14ac:dyDescent="0.2">
      <c r="A51" s="8" t="s">
        <v>0</v>
      </c>
      <c r="B51" s="5">
        <f>B40+1</f>
        <v>46111</v>
      </c>
      <c r="C51" s="75"/>
      <c r="D51" s="6"/>
      <c r="E51" s="6"/>
      <c r="F51" s="6"/>
      <c r="G51" s="6"/>
      <c r="H51" s="6"/>
      <c r="I51" s="6"/>
    </row>
    <row r="52" spans="1:9" x14ac:dyDescent="0.2">
      <c r="A52" s="8" t="s">
        <v>1</v>
      </c>
      <c r="B52" s="5"/>
      <c r="C52" s="75"/>
      <c r="D52" s="6"/>
      <c r="E52" s="6"/>
      <c r="F52" s="6"/>
      <c r="G52" s="6"/>
      <c r="H52" s="6"/>
      <c r="I52" s="6"/>
    </row>
    <row r="53" spans="1:9" x14ac:dyDescent="0.2">
      <c r="A53" s="8" t="s">
        <v>2</v>
      </c>
      <c r="B53" s="5"/>
      <c r="C53" s="75"/>
      <c r="D53" s="6"/>
      <c r="E53" s="6"/>
      <c r="F53" s="6"/>
      <c r="G53" s="6"/>
      <c r="H53" s="6"/>
      <c r="I53" s="6"/>
    </row>
    <row r="54" spans="1:9" x14ac:dyDescent="0.2">
      <c r="A54" s="8" t="s">
        <v>3</v>
      </c>
      <c r="B54" s="5"/>
      <c r="C54" s="75"/>
      <c r="D54" s="6"/>
      <c r="E54" s="6"/>
      <c r="F54" s="6"/>
      <c r="G54" s="6"/>
      <c r="H54" s="6"/>
      <c r="I54" s="6"/>
    </row>
    <row r="55" spans="1:9" x14ac:dyDescent="0.2">
      <c r="A55" s="8" t="s">
        <v>4</v>
      </c>
      <c r="B55" s="5"/>
      <c r="C55" s="75"/>
      <c r="D55" s="6"/>
      <c r="E55" s="6"/>
      <c r="F55" s="6"/>
      <c r="G55" s="6"/>
      <c r="H55" s="6"/>
      <c r="I55" s="6"/>
    </row>
    <row r="56" spans="1:9" x14ac:dyDescent="0.2">
      <c r="A56" s="8" t="s">
        <v>5</v>
      </c>
      <c r="B56" s="5"/>
      <c r="C56" s="75"/>
      <c r="D56" s="6"/>
      <c r="E56" s="6"/>
      <c r="F56" s="6"/>
      <c r="G56" s="6"/>
      <c r="H56" s="6"/>
      <c r="I56" s="6"/>
    </row>
    <row r="57" spans="1:9" x14ac:dyDescent="0.2">
      <c r="A57" s="8" t="s">
        <v>6</v>
      </c>
      <c r="B57" s="5"/>
      <c r="C57" s="74"/>
      <c r="D57" s="6"/>
      <c r="E57" s="6"/>
      <c r="F57" s="6"/>
      <c r="G57" s="6"/>
      <c r="H57" s="6"/>
      <c r="I57" s="6"/>
    </row>
    <row r="58" spans="1:9" x14ac:dyDescent="0.2">
      <c r="A58" s="8" t="s">
        <v>7</v>
      </c>
      <c r="B58" s="5"/>
      <c r="C58" s="74"/>
      <c r="D58" s="6"/>
      <c r="E58" s="6"/>
      <c r="F58" s="6"/>
      <c r="G58" s="6"/>
      <c r="H58" s="6"/>
      <c r="I58" s="6"/>
    </row>
    <row r="59" spans="1:9" x14ac:dyDescent="0.2">
      <c r="A59" s="8" t="s">
        <v>8</v>
      </c>
      <c r="B59" s="5"/>
      <c r="C59" s="74"/>
      <c r="D59" s="6"/>
      <c r="E59" s="6"/>
      <c r="F59" s="6"/>
      <c r="G59" s="6"/>
      <c r="H59" s="6"/>
      <c r="I59" s="6"/>
    </row>
    <row r="60" spans="1:9" x14ac:dyDescent="0.2">
      <c r="A60" s="8" t="s">
        <v>9</v>
      </c>
      <c r="B60" s="5"/>
      <c r="C60" s="74"/>
      <c r="D60" s="6"/>
      <c r="E60" s="6"/>
      <c r="F60" s="6"/>
      <c r="G60" s="6"/>
      <c r="H60" s="6"/>
      <c r="I60" s="6"/>
    </row>
    <row r="61" spans="1:9" x14ac:dyDescent="0.2">
      <c r="A61" s="312" t="s">
        <v>10</v>
      </c>
      <c r="B61" s="313"/>
      <c r="C61" s="313"/>
      <c r="D61" s="313"/>
      <c r="E61" s="314"/>
      <c r="F61" s="11">
        <f>SUM(F51:F60)</f>
        <v>0</v>
      </c>
      <c r="G61" s="11">
        <f>SUM(G51:G60)</f>
        <v>0</v>
      </c>
      <c r="H61" s="11">
        <f>SUM(H51:H60)</f>
        <v>0</v>
      </c>
      <c r="I61" s="11"/>
    </row>
    <row r="62" spans="1:9" x14ac:dyDescent="0.2">
      <c r="A62" s="8" t="s">
        <v>0</v>
      </c>
      <c r="B62" s="5">
        <f>B51+1</f>
        <v>46112</v>
      </c>
      <c r="C62" s="74"/>
      <c r="D62" s="6"/>
      <c r="E62" s="6"/>
      <c r="F62" s="6"/>
      <c r="G62" s="6"/>
      <c r="H62" s="6"/>
      <c r="I62" s="6"/>
    </row>
    <row r="63" spans="1:9" x14ac:dyDescent="0.2">
      <c r="A63" s="8" t="s">
        <v>1</v>
      </c>
      <c r="B63" s="5"/>
      <c r="C63" s="74"/>
      <c r="D63" s="6"/>
      <c r="E63" s="6"/>
      <c r="F63" s="6"/>
      <c r="G63" s="6"/>
      <c r="H63" s="6"/>
      <c r="I63" s="6"/>
    </row>
    <row r="64" spans="1:9" x14ac:dyDescent="0.2">
      <c r="A64" s="8" t="s">
        <v>2</v>
      </c>
      <c r="B64" s="5"/>
      <c r="C64" s="74"/>
      <c r="D64" s="6"/>
      <c r="E64" s="6"/>
      <c r="F64" s="6"/>
      <c r="G64" s="6"/>
      <c r="H64" s="6"/>
      <c r="I64" s="6"/>
    </row>
    <row r="65" spans="1:9" x14ac:dyDescent="0.2">
      <c r="A65" s="8" t="s">
        <v>3</v>
      </c>
      <c r="B65" s="5"/>
      <c r="C65" s="74"/>
      <c r="D65" s="6"/>
      <c r="E65" s="6"/>
      <c r="F65" s="6"/>
      <c r="G65" s="6"/>
      <c r="H65" s="6"/>
      <c r="I65" s="6"/>
    </row>
    <row r="66" spans="1:9" x14ac:dyDescent="0.2">
      <c r="A66" s="8" t="s">
        <v>4</v>
      </c>
      <c r="B66" s="5"/>
      <c r="C66" s="74"/>
      <c r="D66" s="6"/>
      <c r="E66" s="6"/>
      <c r="F66" s="6"/>
      <c r="G66" s="6"/>
      <c r="H66" s="6"/>
      <c r="I66" s="6"/>
    </row>
    <row r="67" spans="1:9" x14ac:dyDescent="0.2">
      <c r="A67" s="8" t="s">
        <v>5</v>
      </c>
      <c r="B67" s="5"/>
      <c r="C67" s="74"/>
      <c r="D67" s="6"/>
      <c r="E67" s="6"/>
      <c r="F67" s="6"/>
      <c r="G67" s="6"/>
      <c r="H67" s="6"/>
      <c r="I67" s="6"/>
    </row>
    <row r="68" spans="1:9" x14ac:dyDescent="0.2">
      <c r="A68" s="8" t="s">
        <v>6</v>
      </c>
      <c r="B68" s="5"/>
      <c r="C68" s="74"/>
      <c r="D68" s="6"/>
      <c r="E68" s="6"/>
      <c r="F68" s="6"/>
      <c r="G68" s="6"/>
      <c r="H68" s="6"/>
      <c r="I68" s="6"/>
    </row>
    <row r="69" spans="1:9" x14ac:dyDescent="0.2">
      <c r="A69" s="8" t="s">
        <v>7</v>
      </c>
      <c r="B69" s="5"/>
      <c r="C69" s="74"/>
      <c r="D69" s="6"/>
      <c r="E69" s="6"/>
      <c r="F69" s="6"/>
      <c r="G69" s="6"/>
      <c r="H69" s="6"/>
      <c r="I69" s="6"/>
    </row>
    <row r="70" spans="1:9" x14ac:dyDescent="0.2">
      <c r="A70" s="8" t="s">
        <v>8</v>
      </c>
      <c r="B70" s="5"/>
      <c r="C70" s="74"/>
      <c r="D70" s="6"/>
      <c r="E70" s="6"/>
      <c r="F70" s="6"/>
      <c r="G70" s="6"/>
      <c r="H70" s="6"/>
      <c r="I70" s="6"/>
    </row>
    <row r="71" spans="1:9" x14ac:dyDescent="0.2">
      <c r="A71" s="8" t="s">
        <v>9</v>
      </c>
      <c r="B71" s="5"/>
      <c r="C71" s="75"/>
      <c r="D71" s="6"/>
      <c r="E71" s="6"/>
      <c r="F71" s="6"/>
      <c r="G71" s="6"/>
      <c r="H71" s="6"/>
      <c r="I71" s="6"/>
    </row>
    <row r="72" spans="1:9" x14ac:dyDescent="0.2">
      <c r="A72" s="312" t="s">
        <v>10</v>
      </c>
      <c r="B72" s="313"/>
      <c r="C72" s="313"/>
      <c r="D72" s="313"/>
      <c r="E72" s="314"/>
      <c r="F72" s="11">
        <f>SUM(F62:F71)</f>
        <v>0</v>
      </c>
      <c r="G72" s="11">
        <f>SUM(G62:G71)</f>
        <v>0</v>
      </c>
      <c r="H72" s="11">
        <f>SUM(H62:H71)</f>
        <v>0</v>
      </c>
      <c r="I72" s="11"/>
    </row>
    <row r="73" spans="1:9" x14ac:dyDescent="0.2">
      <c r="A73" s="8" t="s">
        <v>0</v>
      </c>
      <c r="B73" s="5">
        <f>B62+1</f>
        <v>46113</v>
      </c>
      <c r="C73" s="74"/>
      <c r="D73" s="6"/>
      <c r="E73" s="6"/>
      <c r="F73" s="6"/>
      <c r="G73" s="6"/>
      <c r="H73" s="6"/>
      <c r="I73" s="6"/>
    </row>
    <row r="74" spans="1:9" x14ac:dyDescent="0.2">
      <c r="A74" s="8" t="s">
        <v>1</v>
      </c>
      <c r="B74" s="5"/>
      <c r="C74" s="74"/>
      <c r="D74" s="6"/>
      <c r="E74" s="6"/>
      <c r="F74" s="6"/>
      <c r="G74" s="6"/>
      <c r="H74" s="6"/>
      <c r="I74" s="6"/>
    </row>
    <row r="75" spans="1:9" x14ac:dyDescent="0.2">
      <c r="A75" s="8" t="s">
        <v>2</v>
      </c>
      <c r="B75" s="5"/>
      <c r="C75" s="74"/>
      <c r="D75" s="6"/>
      <c r="E75" s="6"/>
      <c r="F75" s="6"/>
      <c r="G75" s="6"/>
      <c r="H75" s="6"/>
      <c r="I75" s="6"/>
    </row>
    <row r="76" spans="1:9" x14ac:dyDescent="0.2">
      <c r="A76" s="8" t="s">
        <v>3</v>
      </c>
      <c r="B76" s="5"/>
      <c r="C76" s="74"/>
      <c r="D76" s="6"/>
      <c r="E76" s="6"/>
      <c r="F76" s="6"/>
      <c r="G76" s="6"/>
      <c r="H76" s="6"/>
      <c r="I76" s="6"/>
    </row>
    <row r="77" spans="1:9" x14ac:dyDescent="0.2">
      <c r="A77" s="8" t="s">
        <v>4</v>
      </c>
      <c r="B77" s="5"/>
      <c r="C77" s="74"/>
      <c r="D77" s="6"/>
      <c r="E77" s="6"/>
      <c r="F77" s="6"/>
      <c r="G77" s="6"/>
      <c r="H77" s="6"/>
      <c r="I77" s="6"/>
    </row>
    <row r="78" spans="1:9" x14ac:dyDescent="0.2">
      <c r="A78" s="8" t="s">
        <v>5</v>
      </c>
      <c r="B78" s="5"/>
      <c r="C78" s="74"/>
      <c r="D78" s="6"/>
      <c r="E78" s="6"/>
      <c r="F78" s="6"/>
      <c r="G78" s="6"/>
      <c r="H78" s="6"/>
      <c r="I78" s="6"/>
    </row>
    <row r="79" spans="1:9" x14ac:dyDescent="0.2">
      <c r="A79" s="8" t="s">
        <v>6</v>
      </c>
      <c r="B79" s="5"/>
      <c r="C79" s="74"/>
      <c r="D79" s="6"/>
      <c r="E79" s="6"/>
      <c r="F79" s="6"/>
      <c r="G79" s="6"/>
      <c r="H79" s="6"/>
      <c r="I79" s="6"/>
    </row>
    <row r="80" spans="1:9" x14ac:dyDescent="0.2">
      <c r="A80" s="8" t="s">
        <v>7</v>
      </c>
      <c r="B80" s="5"/>
      <c r="C80" s="74"/>
      <c r="D80" s="6"/>
      <c r="E80" s="6"/>
      <c r="F80" s="6"/>
      <c r="G80" s="6"/>
      <c r="H80" s="6"/>
      <c r="I80" s="6"/>
    </row>
    <row r="81" spans="1:9" x14ac:dyDescent="0.2">
      <c r="A81" s="8" t="s">
        <v>8</v>
      </c>
      <c r="B81" s="5"/>
      <c r="C81" s="74"/>
      <c r="D81" s="6"/>
      <c r="E81" s="6"/>
      <c r="F81" s="6"/>
      <c r="G81" s="6"/>
      <c r="H81" s="6"/>
      <c r="I81" s="6"/>
    </row>
    <row r="82" spans="1:9" x14ac:dyDescent="0.2">
      <c r="A82" s="8" t="s">
        <v>9</v>
      </c>
      <c r="B82" s="5"/>
      <c r="C82" s="74"/>
      <c r="D82" s="6"/>
      <c r="E82" s="6"/>
      <c r="F82" s="6"/>
      <c r="G82" s="6"/>
      <c r="H82" s="6"/>
      <c r="I82" s="6"/>
    </row>
    <row r="83" spans="1:9" x14ac:dyDescent="0.2">
      <c r="A83" s="312" t="s">
        <v>10</v>
      </c>
      <c r="B83" s="313"/>
      <c r="C83" s="313"/>
      <c r="D83" s="313"/>
      <c r="E83" s="314"/>
      <c r="F83" s="11">
        <f>SUM(F73:F82)</f>
        <v>0</v>
      </c>
      <c r="G83" s="11">
        <f>SUM(G73:G82)</f>
        <v>0</v>
      </c>
      <c r="H83" s="11">
        <f>SUM(H73:H82)</f>
        <v>0</v>
      </c>
      <c r="I83" s="11"/>
    </row>
    <row r="84" spans="1:9" s="25" customFormat="1" ht="18" x14ac:dyDescent="0.2">
      <c r="A84" s="324" t="s">
        <v>39</v>
      </c>
      <c r="B84" s="325"/>
      <c r="C84" s="325"/>
      <c r="D84" s="325"/>
      <c r="E84" s="326"/>
      <c r="F84" s="24">
        <f>F17+F28+F39+F50+F61+F72+F83</f>
        <v>0</v>
      </c>
      <c r="G84" s="24">
        <f>G17+G28+G39+G50+G61+G72+G83</f>
        <v>0</v>
      </c>
      <c r="H84" s="24">
        <f>H17+H28+H39+H50+H61+H72+H83</f>
        <v>0</v>
      </c>
      <c r="I84" s="24"/>
    </row>
    <row r="85" spans="1:9" ht="21.95" customHeight="1" x14ac:dyDescent="0.2">
      <c r="A85" s="319" t="s">
        <v>14</v>
      </c>
      <c r="B85" s="319"/>
      <c r="C85" s="319"/>
      <c r="D85" s="319"/>
      <c r="E85" s="319"/>
      <c r="F85" s="319"/>
      <c r="G85" s="319"/>
      <c r="H85" s="319"/>
      <c r="I85" s="319"/>
    </row>
    <row r="86" spans="1:9" s="53" customFormat="1" ht="20.100000000000001" customHeight="1" x14ac:dyDescent="0.2">
      <c r="A86" s="323" t="s">
        <v>86</v>
      </c>
      <c r="B86" s="323"/>
      <c r="C86" s="323"/>
      <c r="D86" s="323"/>
      <c r="E86" s="323"/>
      <c r="F86" s="50" t="str">
        <f>F2</f>
        <v>เมษายน</v>
      </c>
      <c r="G86" s="50" t="s">
        <v>87</v>
      </c>
      <c r="H86" s="51">
        <f>H2</f>
        <v>2569</v>
      </c>
      <c r="I86" s="52"/>
    </row>
    <row r="87" spans="1:9" s="3" customFormat="1" ht="20.100000000000001" customHeight="1" x14ac:dyDescent="0.35">
      <c r="A87" s="318" t="s">
        <v>38</v>
      </c>
      <c r="B87" s="318"/>
      <c r="C87" s="318"/>
      <c r="D87" s="2"/>
      <c r="F87" s="4"/>
      <c r="G87" s="4"/>
      <c r="H87" s="4" t="s">
        <v>21</v>
      </c>
      <c r="I87" s="40">
        <f>I3+1</f>
        <v>2</v>
      </c>
    </row>
    <row r="88" spans="1:9" s="3" customFormat="1" ht="20.100000000000001" customHeight="1" x14ac:dyDescent="0.35">
      <c r="A88" s="311" t="s">
        <v>68</v>
      </c>
      <c r="B88" s="311"/>
      <c r="C88" s="311"/>
      <c r="D88" s="2"/>
      <c r="E88" s="39" t="s">
        <v>81</v>
      </c>
      <c r="F88" s="308">
        <f>F4</f>
        <v>46107</v>
      </c>
      <c r="G88" s="308"/>
      <c r="H88" s="39" t="s">
        <v>82</v>
      </c>
      <c r="I88" s="34">
        <f>I4</f>
        <v>46136</v>
      </c>
    </row>
    <row r="89" spans="1:9" x14ac:dyDescent="0.2">
      <c r="A89" s="12" t="s">
        <v>23</v>
      </c>
      <c r="B89" s="13" t="s">
        <v>11</v>
      </c>
      <c r="C89" s="72" t="s">
        <v>26</v>
      </c>
      <c r="D89" s="12" t="s">
        <v>16</v>
      </c>
      <c r="E89" s="12" t="s">
        <v>17</v>
      </c>
      <c r="F89" s="310" t="s">
        <v>46</v>
      </c>
      <c r="G89" s="310"/>
      <c r="H89" s="310"/>
      <c r="I89" s="12" t="s">
        <v>19</v>
      </c>
    </row>
    <row r="90" spans="1:9" x14ac:dyDescent="0.2">
      <c r="A90" s="15"/>
      <c r="B90" s="16"/>
      <c r="C90" s="73"/>
      <c r="D90" s="15"/>
      <c r="E90" s="15"/>
      <c r="F90" s="21" t="s">
        <v>113</v>
      </c>
      <c r="G90" s="21" t="s">
        <v>114</v>
      </c>
      <c r="H90" s="21" t="s">
        <v>20</v>
      </c>
      <c r="I90" s="15"/>
    </row>
    <row r="91" spans="1:9" x14ac:dyDescent="0.2">
      <c r="A91" s="8" t="s">
        <v>0</v>
      </c>
      <c r="B91" s="5">
        <f>B73+1</f>
        <v>46114</v>
      </c>
      <c r="C91" s="74"/>
      <c r="D91" s="6"/>
      <c r="E91" s="6"/>
      <c r="F91" s="6"/>
      <c r="G91" s="6"/>
      <c r="H91" s="6"/>
      <c r="I91" s="6"/>
    </row>
    <row r="92" spans="1:9" x14ac:dyDescent="0.2">
      <c r="A92" s="8" t="s">
        <v>1</v>
      </c>
      <c r="B92" s="5"/>
      <c r="C92" s="74"/>
      <c r="D92" s="6"/>
      <c r="E92" s="6"/>
      <c r="F92" s="6"/>
      <c r="G92" s="6"/>
      <c r="H92" s="6"/>
      <c r="I92" s="6"/>
    </row>
    <row r="93" spans="1:9" x14ac:dyDescent="0.2">
      <c r="A93" s="8" t="s">
        <v>2</v>
      </c>
      <c r="B93" s="5"/>
      <c r="C93" s="74"/>
      <c r="D93" s="6"/>
      <c r="E93" s="6"/>
      <c r="F93" s="6"/>
      <c r="G93" s="6"/>
      <c r="H93" s="6"/>
      <c r="I93" s="6"/>
    </row>
    <row r="94" spans="1:9" x14ac:dyDescent="0.2">
      <c r="A94" s="8" t="s">
        <v>3</v>
      </c>
      <c r="B94" s="5"/>
      <c r="C94" s="74"/>
      <c r="D94" s="6"/>
      <c r="E94" s="6"/>
      <c r="F94" s="6"/>
      <c r="G94" s="6"/>
      <c r="H94" s="6"/>
      <c r="I94" s="6"/>
    </row>
    <row r="95" spans="1:9" x14ac:dyDescent="0.2">
      <c r="A95" s="8" t="s">
        <v>4</v>
      </c>
      <c r="B95" s="5"/>
      <c r="C95" s="74"/>
      <c r="D95" s="6"/>
      <c r="E95" s="6"/>
      <c r="F95" s="6"/>
      <c r="G95" s="6"/>
      <c r="H95" s="6"/>
      <c r="I95" s="6"/>
    </row>
    <row r="96" spans="1:9" x14ac:dyDescent="0.2">
      <c r="A96" s="8" t="s">
        <v>5</v>
      </c>
      <c r="B96" s="5"/>
      <c r="C96" s="74"/>
      <c r="D96" s="6"/>
      <c r="E96" s="6"/>
      <c r="F96" s="6"/>
      <c r="G96" s="6"/>
      <c r="H96" s="6"/>
      <c r="I96" s="6"/>
    </row>
    <row r="97" spans="1:9" x14ac:dyDescent="0.2">
      <c r="A97" s="8" t="s">
        <v>6</v>
      </c>
      <c r="B97" s="5"/>
      <c r="C97" s="74"/>
      <c r="D97" s="6"/>
      <c r="E97" s="6"/>
      <c r="F97" s="6"/>
      <c r="G97" s="6"/>
      <c r="H97" s="6"/>
      <c r="I97" s="6"/>
    </row>
    <row r="98" spans="1:9" x14ac:dyDescent="0.2">
      <c r="A98" s="8" t="s">
        <v>7</v>
      </c>
      <c r="B98" s="5"/>
      <c r="C98" s="74"/>
      <c r="D98" s="6"/>
      <c r="E98" s="6"/>
      <c r="F98" s="6"/>
      <c r="G98" s="6"/>
      <c r="H98" s="6"/>
      <c r="I98" s="6"/>
    </row>
    <row r="99" spans="1:9" x14ac:dyDescent="0.2">
      <c r="A99" s="8" t="s">
        <v>8</v>
      </c>
      <c r="B99" s="5"/>
      <c r="C99" s="74"/>
      <c r="D99" s="6"/>
      <c r="E99" s="6"/>
      <c r="F99" s="6"/>
      <c r="G99" s="6"/>
      <c r="H99" s="6"/>
      <c r="I99" s="6"/>
    </row>
    <row r="100" spans="1:9" x14ac:dyDescent="0.2">
      <c r="A100" s="8" t="s">
        <v>9</v>
      </c>
      <c r="B100" s="5"/>
      <c r="C100" s="74"/>
      <c r="D100" s="6"/>
      <c r="E100" s="6"/>
      <c r="F100" s="6"/>
      <c r="G100" s="6"/>
      <c r="H100" s="6"/>
      <c r="I100" s="6"/>
    </row>
    <row r="101" spans="1:9" x14ac:dyDescent="0.2">
      <c r="A101" s="312" t="s">
        <v>10</v>
      </c>
      <c r="B101" s="313"/>
      <c r="C101" s="313"/>
      <c r="D101" s="313"/>
      <c r="E101" s="314"/>
      <c r="F101" s="11">
        <f>SUM(F91:F100)</f>
        <v>0</v>
      </c>
      <c r="G101" s="11">
        <f>SUM(G91:G100)</f>
        <v>0</v>
      </c>
      <c r="H101" s="11">
        <f>SUM(H91:H100)</f>
        <v>0</v>
      </c>
      <c r="I101" s="11"/>
    </row>
    <row r="102" spans="1:9" x14ac:dyDescent="0.2">
      <c r="A102" s="8" t="s">
        <v>0</v>
      </c>
      <c r="B102" s="5">
        <f>B91+1</f>
        <v>46115</v>
      </c>
      <c r="C102" s="74"/>
      <c r="D102" s="6"/>
      <c r="E102" s="6"/>
      <c r="F102" s="6"/>
      <c r="G102" s="6"/>
      <c r="H102" s="6"/>
      <c r="I102" s="6"/>
    </row>
    <row r="103" spans="1:9" x14ac:dyDescent="0.2">
      <c r="A103" s="8" t="s">
        <v>1</v>
      </c>
      <c r="B103" s="5"/>
      <c r="C103" s="74"/>
      <c r="D103" s="6"/>
      <c r="E103" s="6"/>
      <c r="F103" s="6"/>
      <c r="G103" s="6"/>
      <c r="H103" s="6"/>
      <c r="I103" s="6"/>
    </row>
    <row r="104" spans="1:9" x14ac:dyDescent="0.2">
      <c r="A104" s="8" t="s">
        <v>2</v>
      </c>
      <c r="B104" s="5"/>
      <c r="C104" s="74"/>
      <c r="D104" s="6"/>
      <c r="E104" s="6"/>
      <c r="F104" s="6"/>
      <c r="G104" s="6"/>
      <c r="H104" s="6"/>
      <c r="I104" s="6"/>
    </row>
    <row r="105" spans="1:9" x14ac:dyDescent="0.2">
      <c r="A105" s="8" t="s">
        <v>3</v>
      </c>
      <c r="B105" s="5"/>
      <c r="C105" s="74"/>
      <c r="D105" s="6"/>
      <c r="E105" s="6"/>
      <c r="F105" s="6"/>
      <c r="G105" s="6"/>
      <c r="H105" s="6"/>
      <c r="I105" s="6"/>
    </row>
    <row r="106" spans="1:9" x14ac:dyDescent="0.2">
      <c r="A106" s="8" t="s">
        <v>4</v>
      </c>
      <c r="B106" s="5"/>
      <c r="C106" s="74"/>
      <c r="D106" s="6"/>
      <c r="E106" s="6"/>
      <c r="F106" s="6"/>
      <c r="G106" s="6"/>
      <c r="H106" s="6"/>
      <c r="I106" s="6"/>
    </row>
    <row r="107" spans="1:9" x14ac:dyDescent="0.2">
      <c r="A107" s="8" t="s">
        <v>5</v>
      </c>
      <c r="B107" s="5"/>
      <c r="C107" s="74"/>
      <c r="D107" s="6"/>
      <c r="E107" s="6"/>
      <c r="F107" s="6"/>
      <c r="G107" s="6"/>
      <c r="H107" s="6"/>
      <c r="I107" s="6"/>
    </row>
    <row r="108" spans="1:9" x14ac:dyDescent="0.2">
      <c r="A108" s="8" t="s">
        <v>6</v>
      </c>
      <c r="B108" s="5"/>
      <c r="C108" s="74"/>
      <c r="D108" s="6"/>
      <c r="E108" s="6"/>
      <c r="F108" s="6"/>
      <c r="G108" s="6"/>
      <c r="H108" s="6"/>
      <c r="I108" s="6"/>
    </row>
    <row r="109" spans="1:9" x14ac:dyDescent="0.2">
      <c r="A109" s="8" t="s">
        <v>7</v>
      </c>
      <c r="B109" s="5"/>
      <c r="C109" s="74"/>
      <c r="D109" s="6"/>
      <c r="E109" s="6"/>
      <c r="F109" s="6"/>
      <c r="G109" s="6"/>
      <c r="H109" s="6"/>
      <c r="I109" s="6"/>
    </row>
    <row r="110" spans="1:9" x14ac:dyDescent="0.2">
      <c r="A110" s="8" t="s">
        <v>8</v>
      </c>
      <c r="B110" s="5"/>
      <c r="C110" s="74"/>
      <c r="D110" s="6"/>
      <c r="E110" s="6"/>
      <c r="F110" s="6"/>
      <c r="G110" s="6"/>
      <c r="H110" s="6"/>
      <c r="I110" s="6"/>
    </row>
    <row r="111" spans="1:9" x14ac:dyDescent="0.2">
      <c r="A111" s="8" t="s">
        <v>9</v>
      </c>
      <c r="B111" s="5"/>
      <c r="C111" s="74"/>
      <c r="D111" s="6"/>
      <c r="E111" s="6"/>
      <c r="F111" s="6"/>
      <c r="G111" s="6"/>
      <c r="H111" s="6"/>
      <c r="I111" s="6"/>
    </row>
    <row r="112" spans="1:9" x14ac:dyDescent="0.2">
      <c r="A112" s="312" t="s">
        <v>10</v>
      </c>
      <c r="B112" s="313"/>
      <c r="C112" s="313"/>
      <c r="D112" s="313"/>
      <c r="E112" s="314"/>
      <c r="F112" s="11">
        <f>SUM(F102:F111)</f>
        <v>0</v>
      </c>
      <c r="G112" s="11">
        <f>SUM(G102:G111)</f>
        <v>0</v>
      </c>
      <c r="H112" s="11">
        <f>SUM(H102:H111)</f>
        <v>0</v>
      </c>
      <c r="I112" s="11"/>
    </row>
    <row r="113" spans="1:9" x14ac:dyDescent="0.2">
      <c r="A113" s="8" t="s">
        <v>0</v>
      </c>
      <c r="B113" s="5">
        <f>B102+1</f>
        <v>46116</v>
      </c>
      <c r="C113" s="74"/>
      <c r="D113" s="6"/>
      <c r="E113" s="6"/>
      <c r="F113" s="6"/>
      <c r="G113" s="6"/>
      <c r="H113" s="6"/>
      <c r="I113" s="6"/>
    </row>
    <row r="114" spans="1:9" x14ac:dyDescent="0.2">
      <c r="A114" s="8" t="s">
        <v>1</v>
      </c>
      <c r="B114" s="5"/>
      <c r="C114" s="74"/>
      <c r="D114" s="6"/>
      <c r="E114" s="6"/>
      <c r="F114" s="6"/>
      <c r="G114" s="6"/>
      <c r="H114" s="6"/>
      <c r="I114" s="6"/>
    </row>
    <row r="115" spans="1:9" x14ac:dyDescent="0.2">
      <c r="A115" s="8" t="s">
        <v>2</v>
      </c>
      <c r="B115" s="5"/>
      <c r="C115" s="74"/>
      <c r="D115" s="6"/>
      <c r="E115" s="6"/>
      <c r="F115" s="6"/>
      <c r="G115" s="6"/>
      <c r="H115" s="6"/>
      <c r="I115" s="6"/>
    </row>
    <row r="116" spans="1:9" x14ac:dyDescent="0.2">
      <c r="A116" s="8" t="s">
        <v>3</v>
      </c>
      <c r="B116" s="5"/>
      <c r="C116" s="74"/>
      <c r="D116" s="6"/>
      <c r="E116" s="6"/>
      <c r="F116" s="6"/>
      <c r="G116" s="6"/>
      <c r="H116" s="6"/>
      <c r="I116" s="6"/>
    </row>
    <row r="117" spans="1:9" x14ac:dyDescent="0.2">
      <c r="A117" s="8" t="s">
        <v>4</v>
      </c>
      <c r="B117" s="5"/>
      <c r="C117" s="74"/>
      <c r="D117" s="6"/>
      <c r="E117" s="6"/>
      <c r="F117" s="6"/>
      <c r="G117" s="6"/>
      <c r="H117" s="6"/>
      <c r="I117" s="6"/>
    </row>
    <row r="118" spans="1:9" x14ac:dyDescent="0.2">
      <c r="A118" s="8" t="s">
        <v>5</v>
      </c>
      <c r="B118" s="5"/>
      <c r="C118" s="74"/>
      <c r="D118" s="6"/>
      <c r="E118" s="6"/>
      <c r="F118" s="6"/>
      <c r="G118" s="6"/>
      <c r="H118" s="6"/>
      <c r="I118" s="6"/>
    </row>
    <row r="119" spans="1:9" x14ac:dyDescent="0.2">
      <c r="A119" s="8" t="s">
        <v>6</v>
      </c>
      <c r="B119" s="5"/>
      <c r="C119" s="74"/>
      <c r="D119" s="6"/>
      <c r="E119" s="6"/>
      <c r="F119" s="6"/>
      <c r="G119" s="6"/>
      <c r="H119" s="6"/>
      <c r="I119" s="6"/>
    </row>
    <row r="120" spans="1:9" x14ac:dyDescent="0.2">
      <c r="A120" s="8" t="s">
        <v>7</v>
      </c>
      <c r="B120" s="5"/>
      <c r="C120" s="74"/>
      <c r="D120" s="6"/>
      <c r="E120" s="6"/>
      <c r="F120" s="6"/>
      <c r="G120" s="6"/>
      <c r="H120" s="6"/>
      <c r="I120" s="6"/>
    </row>
    <row r="121" spans="1:9" x14ac:dyDescent="0.2">
      <c r="A121" s="8" t="s">
        <v>8</v>
      </c>
      <c r="B121" s="5"/>
      <c r="C121" s="74"/>
      <c r="D121" s="6"/>
      <c r="E121" s="6"/>
      <c r="F121" s="6"/>
      <c r="G121" s="6"/>
      <c r="H121" s="6"/>
      <c r="I121" s="6"/>
    </row>
    <row r="122" spans="1:9" x14ac:dyDescent="0.2">
      <c r="A122" s="8" t="s">
        <v>9</v>
      </c>
      <c r="B122" s="5"/>
      <c r="C122" s="74"/>
      <c r="D122" s="6"/>
      <c r="E122" s="6"/>
      <c r="F122" s="6"/>
      <c r="G122" s="6"/>
      <c r="H122" s="6"/>
      <c r="I122" s="6"/>
    </row>
    <row r="123" spans="1:9" x14ac:dyDescent="0.2">
      <c r="A123" s="312" t="s">
        <v>10</v>
      </c>
      <c r="B123" s="313"/>
      <c r="C123" s="313"/>
      <c r="D123" s="313"/>
      <c r="E123" s="314"/>
      <c r="F123" s="11">
        <f>SUM(F113:F122)</f>
        <v>0</v>
      </c>
      <c r="G123" s="11">
        <f>SUM(G113:G122)</f>
        <v>0</v>
      </c>
      <c r="H123" s="11">
        <f>SUM(H113:H122)</f>
        <v>0</v>
      </c>
      <c r="I123" s="11"/>
    </row>
    <row r="124" spans="1:9" x14ac:dyDescent="0.2">
      <c r="A124" s="8" t="s">
        <v>0</v>
      </c>
      <c r="B124" s="5">
        <f>B113+1</f>
        <v>46117</v>
      </c>
      <c r="C124" s="74"/>
      <c r="D124" s="6"/>
      <c r="E124" s="6"/>
      <c r="F124" s="6"/>
      <c r="G124" s="6"/>
      <c r="H124" s="6"/>
      <c r="I124" s="6"/>
    </row>
    <row r="125" spans="1:9" x14ac:dyDescent="0.2">
      <c r="A125" s="8" t="s">
        <v>1</v>
      </c>
      <c r="B125" s="5"/>
      <c r="C125" s="74"/>
      <c r="D125" s="6"/>
      <c r="E125" s="6"/>
      <c r="F125" s="6"/>
      <c r="G125" s="6"/>
      <c r="H125" s="6"/>
      <c r="I125" s="6"/>
    </row>
    <row r="126" spans="1:9" x14ac:dyDescent="0.2">
      <c r="A126" s="8" t="s">
        <v>2</v>
      </c>
      <c r="B126" s="5"/>
      <c r="C126" s="74"/>
      <c r="D126" s="6"/>
      <c r="E126" s="6"/>
      <c r="F126" s="6"/>
      <c r="G126" s="6"/>
      <c r="H126" s="6"/>
      <c r="I126" s="6"/>
    </row>
    <row r="127" spans="1:9" x14ac:dyDescent="0.2">
      <c r="A127" s="8" t="s">
        <v>3</v>
      </c>
      <c r="B127" s="5"/>
      <c r="C127" s="74"/>
      <c r="D127" s="6"/>
      <c r="E127" s="6"/>
      <c r="F127" s="6"/>
      <c r="G127" s="6"/>
      <c r="H127" s="6"/>
      <c r="I127" s="6"/>
    </row>
    <row r="128" spans="1:9" x14ac:dyDescent="0.2">
      <c r="A128" s="8" t="s">
        <v>4</v>
      </c>
      <c r="B128" s="5"/>
      <c r="C128" s="74"/>
      <c r="D128" s="6"/>
      <c r="E128" s="6"/>
      <c r="F128" s="6"/>
      <c r="G128" s="6"/>
      <c r="H128" s="6"/>
      <c r="I128" s="6"/>
    </row>
    <row r="129" spans="1:9" x14ac:dyDescent="0.2">
      <c r="A129" s="8" t="s">
        <v>5</v>
      </c>
      <c r="B129" s="5"/>
      <c r="C129" s="74"/>
      <c r="D129" s="6"/>
      <c r="E129" s="6"/>
      <c r="F129" s="6"/>
      <c r="G129" s="6"/>
      <c r="H129" s="6"/>
      <c r="I129" s="6"/>
    </row>
    <row r="130" spans="1:9" x14ac:dyDescent="0.2">
      <c r="A130" s="8" t="s">
        <v>6</v>
      </c>
      <c r="B130" s="5"/>
      <c r="C130" s="74"/>
      <c r="D130" s="6"/>
      <c r="E130" s="6"/>
      <c r="F130" s="6"/>
      <c r="G130" s="6"/>
      <c r="H130" s="6"/>
      <c r="I130" s="6"/>
    </row>
    <row r="131" spans="1:9" x14ac:dyDescent="0.2">
      <c r="A131" s="8" t="s">
        <v>7</v>
      </c>
      <c r="B131" s="5"/>
      <c r="C131" s="74"/>
      <c r="D131" s="6"/>
      <c r="E131" s="6"/>
      <c r="F131" s="6"/>
      <c r="G131" s="6"/>
      <c r="H131" s="6"/>
      <c r="I131" s="6"/>
    </row>
    <row r="132" spans="1:9" x14ac:dyDescent="0.2">
      <c r="A132" s="8" t="s">
        <v>8</v>
      </c>
      <c r="B132" s="5"/>
      <c r="C132" s="74"/>
      <c r="D132" s="6"/>
      <c r="E132" s="6"/>
      <c r="F132" s="6"/>
      <c r="G132" s="6"/>
      <c r="H132" s="6"/>
      <c r="I132" s="6"/>
    </row>
    <row r="133" spans="1:9" x14ac:dyDescent="0.2">
      <c r="A133" s="8" t="s">
        <v>9</v>
      </c>
      <c r="B133" s="5"/>
      <c r="C133" s="74"/>
      <c r="D133" s="6"/>
      <c r="E133" s="6"/>
      <c r="F133" s="6"/>
      <c r="G133" s="6"/>
      <c r="H133" s="6"/>
      <c r="I133" s="6"/>
    </row>
    <row r="134" spans="1:9" x14ac:dyDescent="0.2">
      <c r="A134" s="312" t="s">
        <v>10</v>
      </c>
      <c r="B134" s="313"/>
      <c r="C134" s="313"/>
      <c r="D134" s="313"/>
      <c r="E134" s="314"/>
      <c r="F134" s="11">
        <f>SUM(F124:F133)</f>
        <v>0</v>
      </c>
      <c r="G134" s="11">
        <f>SUM(G124:G133)</f>
        <v>0</v>
      </c>
      <c r="H134" s="11">
        <f>SUM(H124:H133)</f>
        <v>0</v>
      </c>
      <c r="I134" s="11"/>
    </row>
    <row r="135" spans="1:9" x14ac:dyDescent="0.2">
      <c r="A135" s="8" t="s">
        <v>0</v>
      </c>
      <c r="B135" s="5">
        <f>B124+1</f>
        <v>46118</v>
      </c>
      <c r="C135" s="75"/>
      <c r="D135" s="6"/>
      <c r="E135" s="6"/>
      <c r="F135" s="6"/>
      <c r="G135" s="6"/>
      <c r="H135" s="6"/>
      <c r="I135" s="6"/>
    </row>
    <row r="136" spans="1:9" x14ac:dyDescent="0.2">
      <c r="A136" s="8" t="s">
        <v>1</v>
      </c>
      <c r="B136" s="5"/>
      <c r="C136" s="75"/>
      <c r="D136" s="6"/>
      <c r="E136" s="6"/>
      <c r="F136" s="6"/>
      <c r="G136" s="6"/>
      <c r="H136" s="6"/>
      <c r="I136" s="6"/>
    </row>
    <row r="137" spans="1:9" x14ac:dyDescent="0.2">
      <c r="A137" s="8" t="s">
        <v>2</v>
      </c>
      <c r="B137" s="5"/>
      <c r="C137" s="75"/>
      <c r="D137" s="6"/>
      <c r="E137" s="6"/>
      <c r="F137" s="6"/>
      <c r="G137" s="6"/>
      <c r="H137" s="6"/>
      <c r="I137" s="6"/>
    </row>
    <row r="138" spans="1:9" x14ac:dyDescent="0.2">
      <c r="A138" s="8" t="s">
        <v>3</v>
      </c>
      <c r="B138" s="5"/>
      <c r="C138" s="75"/>
      <c r="D138" s="6"/>
      <c r="E138" s="6"/>
      <c r="F138" s="6"/>
      <c r="G138" s="6"/>
      <c r="H138" s="6"/>
      <c r="I138" s="6"/>
    </row>
    <row r="139" spans="1:9" x14ac:dyDescent="0.2">
      <c r="A139" s="8" t="s">
        <v>4</v>
      </c>
      <c r="B139" s="5"/>
      <c r="C139" s="75"/>
      <c r="D139" s="6"/>
      <c r="E139" s="6"/>
      <c r="F139" s="6"/>
      <c r="G139" s="6"/>
      <c r="H139" s="6"/>
      <c r="I139" s="6"/>
    </row>
    <row r="140" spans="1:9" x14ac:dyDescent="0.2">
      <c r="A140" s="8" t="s">
        <v>5</v>
      </c>
      <c r="B140" s="5"/>
      <c r="C140" s="75"/>
      <c r="D140" s="6"/>
      <c r="E140" s="6"/>
      <c r="F140" s="6"/>
      <c r="G140" s="6"/>
      <c r="H140" s="6"/>
      <c r="I140" s="6"/>
    </row>
    <row r="141" spans="1:9" x14ac:dyDescent="0.2">
      <c r="A141" s="8" t="s">
        <v>6</v>
      </c>
      <c r="B141" s="5"/>
      <c r="C141" s="74"/>
      <c r="D141" s="6"/>
      <c r="E141" s="6"/>
      <c r="F141" s="6"/>
      <c r="G141" s="6"/>
      <c r="H141" s="6"/>
      <c r="I141" s="6"/>
    </row>
    <row r="142" spans="1:9" x14ac:dyDescent="0.2">
      <c r="A142" s="8" t="s">
        <v>7</v>
      </c>
      <c r="B142" s="5"/>
      <c r="C142" s="74"/>
      <c r="D142" s="6"/>
      <c r="E142" s="6"/>
      <c r="F142" s="6"/>
      <c r="G142" s="6"/>
      <c r="H142" s="6"/>
      <c r="I142" s="6"/>
    </row>
    <row r="143" spans="1:9" x14ac:dyDescent="0.2">
      <c r="A143" s="8" t="s">
        <v>8</v>
      </c>
      <c r="B143" s="5"/>
      <c r="C143" s="74"/>
      <c r="D143" s="6"/>
      <c r="E143" s="6"/>
      <c r="F143" s="6"/>
      <c r="G143" s="6"/>
      <c r="H143" s="6"/>
      <c r="I143" s="6"/>
    </row>
    <row r="144" spans="1:9" x14ac:dyDescent="0.2">
      <c r="A144" s="8" t="s">
        <v>9</v>
      </c>
      <c r="B144" s="5"/>
      <c r="C144" s="74"/>
      <c r="D144" s="6"/>
      <c r="E144" s="6"/>
      <c r="F144" s="6"/>
      <c r="G144" s="6"/>
      <c r="H144" s="6"/>
      <c r="I144" s="6"/>
    </row>
    <row r="145" spans="1:9" x14ac:dyDescent="0.2">
      <c r="A145" s="312" t="s">
        <v>10</v>
      </c>
      <c r="B145" s="313"/>
      <c r="C145" s="313"/>
      <c r="D145" s="313"/>
      <c r="E145" s="314"/>
      <c r="F145" s="11">
        <f>SUM(F135:F144)</f>
        <v>0</v>
      </c>
      <c r="G145" s="11">
        <f>SUM(G135:G144)</f>
        <v>0</v>
      </c>
      <c r="H145" s="11">
        <f>SUM(H135:H144)</f>
        <v>0</v>
      </c>
      <c r="I145" s="11"/>
    </row>
    <row r="146" spans="1:9" x14ac:dyDescent="0.2">
      <c r="A146" s="8" t="s">
        <v>0</v>
      </c>
      <c r="B146" s="5">
        <f>B135+1</f>
        <v>46119</v>
      </c>
      <c r="C146" s="74"/>
      <c r="D146" s="6"/>
      <c r="E146" s="6"/>
      <c r="F146" s="6"/>
      <c r="G146" s="6"/>
      <c r="H146" s="6"/>
      <c r="I146" s="6"/>
    </row>
    <row r="147" spans="1:9" x14ac:dyDescent="0.2">
      <c r="A147" s="8" t="s">
        <v>1</v>
      </c>
      <c r="B147" s="5"/>
      <c r="C147" s="74"/>
      <c r="D147" s="6"/>
      <c r="E147" s="6"/>
      <c r="F147" s="6"/>
      <c r="G147" s="6"/>
      <c r="H147" s="6"/>
      <c r="I147" s="6"/>
    </row>
    <row r="148" spans="1:9" x14ac:dyDescent="0.2">
      <c r="A148" s="8" t="s">
        <v>2</v>
      </c>
      <c r="B148" s="5"/>
      <c r="C148" s="74"/>
      <c r="D148" s="6"/>
      <c r="E148" s="6"/>
      <c r="F148" s="6"/>
      <c r="G148" s="6"/>
      <c r="H148" s="6"/>
      <c r="I148" s="6"/>
    </row>
    <row r="149" spans="1:9" x14ac:dyDescent="0.2">
      <c r="A149" s="8" t="s">
        <v>3</v>
      </c>
      <c r="B149" s="5"/>
      <c r="C149" s="74"/>
      <c r="D149" s="6"/>
      <c r="E149" s="6"/>
      <c r="F149" s="6"/>
      <c r="G149" s="6"/>
      <c r="H149" s="6"/>
      <c r="I149" s="6"/>
    </row>
    <row r="150" spans="1:9" x14ac:dyDescent="0.2">
      <c r="A150" s="8" t="s">
        <v>4</v>
      </c>
      <c r="B150" s="5"/>
      <c r="C150" s="74"/>
      <c r="D150" s="6"/>
      <c r="E150" s="6"/>
      <c r="F150" s="6"/>
      <c r="G150" s="6"/>
      <c r="H150" s="6"/>
      <c r="I150" s="6"/>
    </row>
    <row r="151" spans="1:9" x14ac:dyDescent="0.2">
      <c r="A151" s="8" t="s">
        <v>5</v>
      </c>
      <c r="B151" s="5"/>
      <c r="C151" s="74"/>
      <c r="D151" s="6"/>
      <c r="E151" s="6"/>
      <c r="F151" s="6"/>
      <c r="G151" s="6"/>
      <c r="H151" s="6"/>
      <c r="I151" s="6"/>
    </row>
    <row r="152" spans="1:9" x14ac:dyDescent="0.2">
      <c r="A152" s="8" t="s">
        <v>6</v>
      </c>
      <c r="B152" s="5"/>
      <c r="C152" s="74"/>
      <c r="D152" s="6"/>
      <c r="E152" s="6"/>
      <c r="F152" s="6"/>
      <c r="G152" s="6"/>
      <c r="H152" s="6"/>
      <c r="I152" s="6"/>
    </row>
    <row r="153" spans="1:9" x14ac:dyDescent="0.2">
      <c r="A153" s="8" t="s">
        <v>7</v>
      </c>
      <c r="B153" s="5"/>
      <c r="C153" s="74"/>
      <c r="D153" s="6"/>
      <c r="E153" s="6"/>
      <c r="F153" s="6"/>
      <c r="G153" s="6"/>
      <c r="H153" s="6"/>
      <c r="I153" s="6"/>
    </row>
    <row r="154" spans="1:9" x14ac:dyDescent="0.2">
      <c r="A154" s="8" t="s">
        <v>8</v>
      </c>
      <c r="B154" s="5"/>
      <c r="C154" s="74"/>
      <c r="D154" s="6"/>
      <c r="E154" s="6"/>
      <c r="F154" s="6"/>
      <c r="G154" s="6"/>
      <c r="H154" s="6"/>
      <c r="I154" s="6"/>
    </row>
    <row r="155" spans="1:9" x14ac:dyDescent="0.2">
      <c r="A155" s="8" t="s">
        <v>9</v>
      </c>
      <c r="B155" s="5"/>
      <c r="C155" s="75"/>
      <c r="D155" s="6"/>
      <c r="E155" s="6"/>
      <c r="F155" s="6"/>
      <c r="G155" s="6"/>
      <c r="H155" s="6"/>
      <c r="I155" s="6"/>
    </row>
    <row r="156" spans="1:9" x14ac:dyDescent="0.2">
      <c r="A156" s="312" t="s">
        <v>10</v>
      </c>
      <c r="B156" s="313"/>
      <c r="C156" s="313"/>
      <c r="D156" s="313"/>
      <c r="E156" s="314"/>
      <c r="F156" s="11">
        <f>SUM(F146:F155)</f>
        <v>0</v>
      </c>
      <c r="G156" s="11">
        <f>SUM(G146:G155)</f>
        <v>0</v>
      </c>
      <c r="H156" s="11">
        <f>SUM(H146:H155)</f>
        <v>0</v>
      </c>
      <c r="I156" s="11"/>
    </row>
    <row r="157" spans="1:9" x14ac:dyDescent="0.2">
      <c r="A157" s="8" t="s">
        <v>0</v>
      </c>
      <c r="B157" s="5">
        <f>B146+1</f>
        <v>46120</v>
      </c>
      <c r="C157" s="74"/>
      <c r="D157" s="6"/>
      <c r="E157" s="6"/>
      <c r="F157" s="6"/>
      <c r="G157" s="6"/>
      <c r="H157" s="6"/>
      <c r="I157" s="6"/>
    </row>
    <row r="158" spans="1:9" x14ac:dyDescent="0.2">
      <c r="A158" s="8" t="s">
        <v>1</v>
      </c>
      <c r="B158" s="5"/>
      <c r="C158" s="74"/>
      <c r="D158" s="6"/>
      <c r="E158" s="6"/>
      <c r="F158" s="6"/>
      <c r="G158" s="6"/>
      <c r="H158" s="6"/>
      <c r="I158" s="6"/>
    </row>
    <row r="159" spans="1:9" x14ac:dyDescent="0.2">
      <c r="A159" s="8" t="s">
        <v>2</v>
      </c>
      <c r="B159" s="5"/>
      <c r="C159" s="74"/>
      <c r="D159" s="6"/>
      <c r="E159" s="6"/>
      <c r="F159" s="6"/>
      <c r="G159" s="6"/>
      <c r="H159" s="6"/>
      <c r="I159" s="6"/>
    </row>
    <row r="160" spans="1:9" x14ac:dyDescent="0.2">
      <c r="A160" s="8" t="s">
        <v>3</v>
      </c>
      <c r="B160" s="5"/>
      <c r="C160" s="74"/>
      <c r="D160" s="6"/>
      <c r="E160" s="6"/>
      <c r="F160" s="6"/>
      <c r="G160" s="6"/>
      <c r="H160" s="6"/>
      <c r="I160" s="6"/>
    </row>
    <row r="161" spans="1:9" x14ac:dyDescent="0.2">
      <c r="A161" s="8" t="s">
        <v>4</v>
      </c>
      <c r="B161" s="5"/>
      <c r="C161" s="74"/>
      <c r="D161" s="6"/>
      <c r="E161" s="6"/>
      <c r="F161" s="6"/>
      <c r="G161" s="6"/>
      <c r="H161" s="6"/>
      <c r="I161" s="6"/>
    </row>
    <row r="162" spans="1:9" x14ac:dyDescent="0.2">
      <c r="A162" s="8" t="s">
        <v>5</v>
      </c>
      <c r="B162" s="5"/>
      <c r="C162" s="74"/>
      <c r="D162" s="6"/>
      <c r="E162" s="6"/>
      <c r="F162" s="6"/>
      <c r="G162" s="6"/>
      <c r="H162" s="6"/>
      <c r="I162" s="6"/>
    </row>
    <row r="163" spans="1:9" x14ac:dyDescent="0.2">
      <c r="A163" s="8" t="s">
        <v>6</v>
      </c>
      <c r="B163" s="5"/>
      <c r="C163" s="74"/>
      <c r="D163" s="6"/>
      <c r="E163" s="6"/>
      <c r="F163" s="6"/>
      <c r="G163" s="6"/>
      <c r="H163" s="6"/>
      <c r="I163" s="6"/>
    </row>
    <row r="164" spans="1:9" x14ac:dyDescent="0.2">
      <c r="A164" s="8" t="s">
        <v>7</v>
      </c>
      <c r="B164" s="5"/>
      <c r="C164" s="74"/>
      <c r="D164" s="6"/>
      <c r="E164" s="6"/>
      <c r="F164" s="6"/>
      <c r="G164" s="6"/>
      <c r="H164" s="6"/>
      <c r="I164" s="6"/>
    </row>
    <row r="165" spans="1:9" x14ac:dyDescent="0.2">
      <c r="A165" s="8" t="s">
        <v>8</v>
      </c>
      <c r="B165" s="5"/>
      <c r="C165" s="74"/>
      <c r="D165" s="6"/>
      <c r="E165" s="6"/>
      <c r="F165" s="6"/>
      <c r="G165" s="6"/>
      <c r="H165" s="6"/>
      <c r="I165" s="6"/>
    </row>
    <row r="166" spans="1:9" x14ac:dyDescent="0.2">
      <c r="A166" s="8" t="s">
        <v>9</v>
      </c>
      <c r="B166" s="5"/>
      <c r="C166" s="74"/>
      <c r="D166" s="6"/>
      <c r="E166" s="6"/>
      <c r="F166" s="6"/>
      <c r="G166" s="6"/>
      <c r="H166" s="6"/>
      <c r="I166" s="6"/>
    </row>
    <row r="167" spans="1:9" x14ac:dyDescent="0.2">
      <c r="A167" s="312" t="s">
        <v>10</v>
      </c>
      <c r="B167" s="313"/>
      <c r="C167" s="313"/>
      <c r="D167" s="313"/>
      <c r="E167" s="314"/>
      <c r="F167" s="11">
        <f>SUM(F157:F166)</f>
        <v>0</v>
      </c>
      <c r="G167" s="11">
        <f>SUM(G157:G166)</f>
        <v>0</v>
      </c>
      <c r="H167" s="11">
        <f>SUM(H157:H166)</f>
        <v>0</v>
      </c>
      <c r="I167" s="11"/>
    </row>
    <row r="168" spans="1:9" s="25" customFormat="1" ht="18" x14ac:dyDescent="0.2">
      <c r="A168" s="315" t="s">
        <v>39</v>
      </c>
      <c r="B168" s="316"/>
      <c r="C168" s="316"/>
      <c r="D168" s="316"/>
      <c r="E168" s="317"/>
      <c r="F168" s="22">
        <f>F101+F112+F123+F134+F145+F156+F167+F84</f>
        <v>0</v>
      </c>
      <c r="G168" s="22">
        <f>G101+G112+G123+G134+G145+G156+G167+G84</f>
        <v>0</v>
      </c>
      <c r="H168" s="22">
        <f>H101+H112+H123+H134+H145+H156+H167+H84</f>
        <v>0</v>
      </c>
      <c r="I168" s="22"/>
    </row>
    <row r="169" spans="1:9" ht="21.95" customHeight="1" x14ac:dyDescent="0.2">
      <c r="A169" s="319" t="s">
        <v>14</v>
      </c>
      <c r="B169" s="319"/>
      <c r="C169" s="319"/>
      <c r="D169" s="319"/>
      <c r="E169" s="319"/>
      <c r="F169" s="319"/>
      <c r="G169" s="319"/>
      <c r="H169" s="319"/>
      <c r="I169" s="319"/>
    </row>
    <row r="170" spans="1:9" s="53" customFormat="1" ht="20.100000000000001" customHeight="1" x14ac:dyDescent="0.2">
      <c r="A170" s="323" t="s">
        <v>86</v>
      </c>
      <c r="B170" s="323"/>
      <c r="C170" s="323"/>
      <c r="D170" s="323"/>
      <c r="E170" s="323"/>
      <c r="F170" s="50" t="str">
        <f>F86</f>
        <v>เมษายน</v>
      </c>
      <c r="G170" s="50" t="s">
        <v>87</v>
      </c>
      <c r="H170" s="51">
        <f>H86</f>
        <v>2569</v>
      </c>
      <c r="I170" s="52"/>
    </row>
    <row r="171" spans="1:9" s="3" customFormat="1" ht="20.100000000000001" customHeight="1" x14ac:dyDescent="0.35">
      <c r="A171" s="318" t="s">
        <v>38</v>
      </c>
      <c r="B171" s="318"/>
      <c r="C171" s="318"/>
      <c r="D171" s="2"/>
      <c r="F171" s="4"/>
      <c r="G171" s="4"/>
      <c r="H171" s="4" t="s">
        <v>21</v>
      </c>
      <c r="I171" s="40">
        <f>I87+1</f>
        <v>3</v>
      </c>
    </row>
    <row r="172" spans="1:9" s="3" customFormat="1" ht="20.100000000000001" customHeight="1" x14ac:dyDescent="0.35">
      <c r="A172" s="311" t="s">
        <v>68</v>
      </c>
      <c r="B172" s="311"/>
      <c r="C172" s="311"/>
      <c r="D172" s="2"/>
      <c r="E172" s="39" t="s">
        <v>81</v>
      </c>
      <c r="F172" s="308">
        <f>F88</f>
        <v>46107</v>
      </c>
      <c r="G172" s="308"/>
      <c r="H172" s="39" t="s">
        <v>82</v>
      </c>
      <c r="I172" s="34">
        <f>I88</f>
        <v>46136</v>
      </c>
    </row>
    <row r="173" spans="1:9" x14ac:dyDescent="0.2">
      <c r="A173" s="12" t="s">
        <v>23</v>
      </c>
      <c r="B173" s="13" t="s">
        <v>11</v>
      </c>
      <c r="C173" s="72" t="s">
        <v>26</v>
      </c>
      <c r="D173" s="12" t="s">
        <v>16</v>
      </c>
      <c r="E173" s="12" t="s">
        <v>17</v>
      </c>
      <c r="F173" s="310" t="s">
        <v>46</v>
      </c>
      <c r="G173" s="310"/>
      <c r="H173" s="310"/>
      <c r="I173" s="12" t="s">
        <v>19</v>
      </c>
    </row>
    <row r="174" spans="1:9" x14ac:dyDescent="0.2">
      <c r="A174" s="15"/>
      <c r="B174" s="16"/>
      <c r="C174" s="73"/>
      <c r="D174" s="15"/>
      <c r="E174" s="15"/>
      <c r="F174" s="21" t="s">
        <v>113</v>
      </c>
      <c r="G174" s="21" t="s">
        <v>114</v>
      </c>
      <c r="H174" s="21" t="s">
        <v>20</v>
      </c>
      <c r="I174" s="15"/>
    </row>
    <row r="175" spans="1:9" x14ac:dyDescent="0.2">
      <c r="A175" s="8" t="s">
        <v>0</v>
      </c>
      <c r="B175" s="5">
        <f>B157+1</f>
        <v>46121</v>
      </c>
      <c r="C175" s="74"/>
      <c r="D175" s="6"/>
      <c r="E175" s="6"/>
      <c r="F175" s="6"/>
      <c r="G175" s="6"/>
      <c r="H175" s="6"/>
      <c r="I175" s="6"/>
    </row>
    <row r="176" spans="1:9" x14ac:dyDescent="0.2">
      <c r="A176" s="8" t="s">
        <v>1</v>
      </c>
      <c r="B176" s="5"/>
      <c r="C176" s="74"/>
      <c r="D176" s="6"/>
      <c r="E176" s="6"/>
      <c r="F176" s="6"/>
      <c r="G176" s="6"/>
      <c r="H176" s="6"/>
      <c r="I176" s="6"/>
    </row>
    <row r="177" spans="1:9" x14ac:dyDescent="0.2">
      <c r="A177" s="8" t="s">
        <v>2</v>
      </c>
      <c r="B177" s="5"/>
      <c r="C177" s="74"/>
      <c r="D177" s="6"/>
      <c r="E177" s="6"/>
      <c r="F177" s="6"/>
      <c r="G177" s="6"/>
      <c r="H177" s="6"/>
      <c r="I177" s="6"/>
    </row>
    <row r="178" spans="1:9" x14ac:dyDescent="0.2">
      <c r="A178" s="8" t="s">
        <v>3</v>
      </c>
      <c r="B178" s="5"/>
      <c r="C178" s="74"/>
      <c r="D178" s="6"/>
      <c r="E178" s="6"/>
      <c r="F178" s="6"/>
      <c r="G178" s="6"/>
      <c r="H178" s="6"/>
      <c r="I178" s="6"/>
    </row>
    <row r="179" spans="1:9" x14ac:dyDescent="0.2">
      <c r="A179" s="8" t="s">
        <v>4</v>
      </c>
      <c r="B179" s="5"/>
      <c r="C179" s="74"/>
      <c r="D179" s="6"/>
      <c r="E179" s="6"/>
      <c r="F179" s="6"/>
      <c r="G179" s="6"/>
      <c r="H179" s="6"/>
      <c r="I179" s="6"/>
    </row>
    <row r="180" spans="1:9" x14ac:dyDescent="0.2">
      <c r="A180" s="8" t="s">
        <v>5</v>
      </c>
      <c r="B180" s="5"/>
      <c r="C180" s="74"/>
      <c r="D180" s="6"/>
      <c r="E180" s="6"/>
      <c r="F180" s="6"/>
      <c r="G180" s="6"/>
      <c r="H180" s="6"/>
      <c r="I180" s="6"/>
    </row>
    <row r="181" spans="1:9" x14ac:dyDescent="0.2">
      <c r="A181" s="8" t="s">
        <v>6</v>
      </c>
      <c r="B181" s="5"/>
      <c r="C181" s="74"/>
      <c r="D181" s="6"/>
      <c r="E181" s="6"/>
      <c r="F181" s="6"/>
      <c r="G181" s="6"/>
      <c r="H181" s="6"/>
      <c r="I181" s="6"/>
    </row>
    <row r="182" spans="1:9" x14ac:dyDescent="0.2">
      <c r="A182" s="8" t="s">
        <v>7</v>
      </c>
      <c r="B182" s="5"/>
      <c r="C182" s="74"/>
      <c r="D182" s="6"/>
      <c r="E182" s="6"/>
      <c r="F182" s="6"/>
      <c r="G182" s="6"/>
      <c r="H182" s="6"/>
      <c r="I182" s="6"/>
    </row>
    <row r="183" spans="1:9" x14ac:dyDescent="0.2">
      <c r="A183" s="8" t="s">
        <v>8</v>
      </c>
      <c r="B183" s="5"/>
      <c r="C183" s="74"/>
      <c r="D183" s="6"/>
      <c r="E183" s="6"/>
      <c r="F183" s="6"/>
      <c r="G183" s="6"/>
      <c r="H183" s="6"/>
      <c r="I183" s="6"/>
    </row>
    <row r="184" spans="1:9" x14ac:dyDescent="0.2">
      <c r="A184" s="8" t="s">
        <v>9</v>
      </c>
      <c r="B184" s="5"/>
      <c r="C184" s="74"/>
      <c r="D184" s="6"/>
      <c r="E184" s="6"/>
      <c r="F184" s="6"/>
      <c r="G184" s="6"/>
      <c r="H184" s="6"/>
      <c r="I184" s="6"/>
    </row>
    <row r="185" spans="1:9" x14ac:dyDescent="0.2">
      <c r="A185" s="8" t="s">
        <v>99</v>
      </c>
      <c r="B185" s="5"/>
      <c r="C185" s="74"/>
      <c r="D185" s="6"/>
      <c r="E185" s="6"/>
      <c r="F185" s="6"/>
      <c r="G185" s="6"/>
      <c r="H185" s="6"/>
      <c r="I185" s="6"/>
    </row>
    <row r="186" spans="1:9" x14ac:dyDescent="0.2">
      <c r="A186" s="312" t="s">
        <v>10</v>
      </c>
      <c r="B186" s="313"/>
      <c r="C186" s="313"/>
      <c r="D186" s="313"/>
      <c r="E186" s="314"/>
      <c r="F186" s="11">
        <f>SUM(F175:F185)</f>
        <v>0</v>
      </c>
      <c r="G186" s="11">
        <f>SUM(G175:G185)</f>
        <v>0</v>
      </c>
      <c r="H186" s="11">
        <f>SUM(H175:H185)</f>
        <v>0</v>
      </c>
      <c r="I186" s="11"/>
    </row>
    <row r="187" spans="1:9" x14ac:dyDescent="0.2">
      <c r="A187" s="8" t="s">
        <v>0</v>
      </c>
      <c r="B187" s="5">
        <f>B175+1</f>
        <v>46122</v>
      </c>
      <c r="C187" s="74"/>
      <c r="D187" s="6"/>
      <c r="E187" s="6"/>
      <c r="F187" s="6"/>
      <c r="G187" s="6"/>
      <c r="H187" s="6"/>
      <c r="I187" s="6"/>
    </row>
    <row r="188" spans="1:9" x14ac:dyDescent="0.2">
      <c r="A188" s="8" t="s">
        <v>1</v>
      </c>
      <c r="B188" s="5"/>
      <c r="C188" s="74"/>
      <c r="D188" s="6"/>
      <c r="E188" s="6"/>
      <c r="F188" s="6"/>
      <c r="G188" s="6"/>
      <c r="H188" s="6"/>
      <c r="I188" s="6"/>
    </row>
    <row r="189" spans="1:9" x14ac:dyDescent="0.2">
      <c r="A189" s="8" t="s">
        <v>2</v>
      </c>
      <c r="B189" s="5"/>
      <c r="C189" s="74"/>
      <c r="D189" s="6"/>
      <c r="E189" s="6"/>
      <c r="F189" s="6"/>
      <c r="G189" s="6"/>
      <c r="H189" s="6"/>
      <c r="I189" s="6"/>
    </row>
    <row r="190" spans="1:9" x14ac:dyDescent="0.2">
      <c r="A190" s="8" t="s">
        <v>3</v>
      </c>
      <c r="B190" s="5"/>
      <c r="C190" s="74"/>
      <c r="D190" s="6"/>
      <c r="E190" s="6"/>
      <c r="F190" s="6"/>
      <c r="G190" s="6"/>
      <c r="H190" s="6"/>
      <c r="I190" s="6"/>
    </row>
    <row r="191" spans="1:9" x14ac:dyDescent="0.2">
      <c r="A191" s="8" t="s">
        <v>4</v>
      </c>
      <c r="B191" s="5"/>
      <c r="C191" s="74"/>
      <c r="D191" s="6"/>
      <c r="E191" s="6"/>
      <c r="F191" s="6"/>
      <c r="G191" s="6"/>
      <c r="H191" s="6"/>
      <c r="I191" s="6"/>
    </row>
    <row r="192" spans="1:9" x14ac:dyDescent="0.2">
      <c r="A192" s="8" t="s">
        <v>5</v>
      </c>
      <c r="B192" s="5"/>
      <c r="C192" s="74"/>
      <c r="D192" s="6"/>
      <c r="E192" s="6"/>
      <c r="F192" s="6"/>
      <c r="G192" s="6"/>
      <c r="H192" s="6"/>
      <c r="I192" s="6"/>
    </row>
    <row r="193" spans="1:9" x14ac:dyDescent="0.2">
      <c r="A193" s="8" t="s">
        <v>6</v>
      </c>
      <c r="B193" s="5"/>
      <c r="C193" s="74"/>
      <c r="D193" s="6"/>
      <c r="E193" s="6"/>
      <c r="F193" s="6"/>
      <c r="G193" s="6"/>
      <c r="H193" s="6"/>
      <c r="I193" s="6"/>
    </row>
    <row r="194" spans="1:9" x14ac:dyDescent="0.2">
      <c r="A194" s="8" t="s">
        <v>7</v>
      </c>
      <c r="B194" s="5"/>
      <c r="C194" s="74"/>
      <c r="D194" s="6"/>
      <c r="E194" s="6"/>
      <c r="F194" s="6"/>
      <c r="G194" s="6"/>
      <c r="H194" s="6"/>
      <c r="I194" s="6"/>
    </row>
    <row r="195" spans="1:9" x14ac:dyDescent="0.2">
      <c r="A195" s="8" t="s">
        <v>8</v>
      </c>
      <c r="B195" s="5"/>
      <c r="C195" s="74"/>
      <c r="D195" s="6"/>
      <c r="E195" s="6"/>
      <c r="F195" s="6"/>
      <c r="G195" s="6"/>
      <c r="H195" s="6"/>
      <c r="I195" s="6"/>
    </row>
    <row r="196" spans="1:9" x14ac:dyDescent="0.2">
      <c r="A196" s="8" t="s">
        <v>9</v>
      </c>
      <c r="B196" s="5"/>
      <c r="C196" s="74"/>
      <c r="D196" s="6"/>
      <c r="E196" s="6"/>
      <c r="F196" s="6"/>
      <c r="G196" s="6"/>
      <c r="H196" s="6"/>
      <c r="I196" s="6"/>
    </row>
    <row r="197" spans="1:9" x14ac:dyDescent="0.2">
      <c r="A197" s="312" t="s">
        <v>10</v>
      </c>
      <c r="B197" s="313"/>
      <c r="C197" s="313"/>
      <c r="D197" s="313"/>
      <c r="E197" s="314"/>
      <c r="F197" s="11">
        <f>SUM(F187:F196)</f>
        <v>0</v>
      </c>
      <c r="G197" s="11">
        <f>SUM(G187:G196)</f>
        <v>0</v>
      </c>
      <c r="H197" s="11">
        <f>SUM(H187:H196)</f>
        <v>0</v>
      </c>
      <c r="I197" s="11"/>
    </row>
    <row r="198" spans="1:9" x14ac:dyDescent="0.2">
      <c r="A198" s="8" t="s">
        <v>0</v>
      </c>
      <c r="B198" s="5">
        <f>B187+1</f>
        <v>46123</v>
      </c>
      <c r="C198" s="74"/>
      <c r="D198" s="6"/>
      <c r="E198" s="6"/>
      <c r="F198" s="6"/>
      <c r="G198" s="6"/>
      <c r="H198" s="6"/>
      <c r="I198" s="6"/>
    </row>
    <row r="199" spans="1:9" x14ac:dyDescent="0.2">
      <c r="A199" s="8" t="s">
        <v>1</v>
      </c>
      <c r="B199" s="5"/>
      <c r="C199" s="74"/>
      <c r="D199" s="6"/>
      <c r="E199" s="6"/>
      <c r="F199" s="6"/>
      <c r="G199" s="6"/>
      <c r="H199" s="6"/>
      <c r="I199" s="6"/>
    </row>
    <row r="200" spans="1:9" x14ac:dyDescent="0.2">
      <c r="A200" s="8" t="s">
        <v>2</v>
      </c>
      <c r="B200" s="5"/>
      <c r="C200" s="74"/>
      <c r="D200" s="6"/>
      <c r="E200" s="6"/>
      <c r="F200" s="6"/>
      <c r="G200" s="6"/>
      <c r="H200" s="6"/>
      <c r="I200" s="6"/>
    </row>
    <row r="201" spans="1:9" x14ac:dyDescent="0.2">
      <c r="A201" s="8" t="s">
        <v>3</v>
      </c>
      <c r="B201" s="5"/>
      <c r="C201" s="74"/>
      <c r="D201" s="6"/>
      <c r="E201" s="6"/>
      <c r="F201" s="6"/>
      <c r="G201" s="6"/>
      <c r="H201" s="6"/>
      <c r="I201" s="6"/>
    </row>
    <row r="202" spans="1:9" x14ac:dyDescent="0.2">
      <c r="A202" s="8" t="s">
        <v>4</v>
      </c>
      <c r="B202" s="5"/>
      <c r="C202" s="74"/>
      <c r="D202" s="6"/>
      <c r="E202" s="6"/>
      <c r="F202" s="6"/>
      <c r="G202" s="6"/>
      <c r="H202" s="6"/>
      <c r="I202" s="6"/>
    </row>
    <row r="203" spans="1:9" x14ac:dyDescent="0.2">
      <c r="A203" s="8" t="s">
        <v>5</v>
      </c>
      <c r="B203" s="5"/>
      <c r="C203" s="74"/>
      <c r="D203" s="6"/>
      <c r="E203" s="6"/>
      <c r="F203" s="6"/>
      <c r="G203" s="6"/>
      <c r="H203" s="6"/>
      <c r="I203" s="6"/>
    </row>
    <row r="204" spans="1:9" x14ac:dyDescent="0.2">
      <c r="A204" s="8" t="s">
        <v>6</v>
      </c>
      <c r="B204" s="5"/>
      <c r="C204" s="74"/>
      <c r="D204" s="6"/>
      <c r="E204" s="6"/>
      <c r="F204" s="6"/>
      <c r="G204" s="6"/>
      <c r="H204" s="6"/>
      <c r="I204" s="6"/>
    </row>
    <row r="205" spans="1:9" x14ac:dyDescent="0.2">
      <c r="A205" s="8" t="s">
        <v>7</v>
      </c>
      <c r="B205" s="5"/>
      <c r="C205" s="74"/>
      <c r="D205" s="6"/>
      <c r="E205" s="6"/>
      <c r="F205" s="6"/>
      <c r="G205" s="6"/>
      <c r="H205" s="6"/>
      <c r="I205" s="6"/>
    </row>
    <row r="206" spans="1:9" x14ac:dyDescent="0.2">
      <c r="A206" s="8" t="s">
        <v>8</v>
      </c>
      <c r="B206" s="5"/>
      <c r="C206" s="74"/>
      <c r="D206" s="6"/>
      <c r="E206" s="6"/>
      <c r="F206" s="6"/>
      <c r="G206" s="6"/>
      <c r="H206" s="6"/>
      <c r="I206" s="6"/>
    </row>
    <row r="207" spans="1:9" x14ac:dyDescent="0.2">
      <c r="A207" s="8" t="s">
        <v>9</v>
      </c>
      <c r="B207" s="5"/>
      <c r="C207" s="74"/>
      <c r="D207" s="6"/>
      <c r="E207" s="6"/>
      <c r="F207" s="6"/>
      <c r="G207" s="6"/>
      <c r="H207" s="6"/>
      <c r="I207" s="6"/>
    </row>
    <row r="208" spans="1:9" x14ac:dyDescent="0.2">
      <c r="A208" s="312" t="s">
        <v>10</v>
      </c>
      <c r="B208" s="313"/>
      <c r="C208" s="313"/>
      <c r="D208" s="313"/>
      <c r="E208" s="314"/>
      <c r="F208" s="11">
        <f>SUM(F198:F207)</f>
        <v>0</v>
      </c>
      <c r="G208" s="11">
        <f>SUM(G198:G207)</f>
        <v>0</v>
      </c>
      <c r="H208" s="11">
        <f>SUM(H198:H207)</f>
        <v>0</v>
      </c>
      <c r="I208" s="11"/>
    </row>
    <row r="209" spans="1:9" x14ac:dyDescent="0.2">
      <c r="A209" s="8" t="s">
        <v>0</v>
      </c>
      <c r="B209" s="5">
        <f>B198+1</f>
        <v>46124</v>
      </c>
      <c r="C209" s="75"/>
      <c r="D209" s="6"/>
      <c r="E209" s="6"/>
      <c r="F209" s="6"/>
      <c r="G209" s="6"/>
      <c r="H209" s="6"/>
      <c r="I209" s="6"/>
    </row>
    <row r="210" spans="1:9" x14ac:dyDescent="0.2">
      <c r="A210" s="8" t="s">
        <v>1</v>
      </c>
      <c r="B210" s="5"/>
      <c r="C210" s="75"/>
      <c r="D210" s="6"/>
      <c r="E210" s="6"/>
      <c r="F210" s="6"/>
      <c r="G210" s="6"/>
      <c r="H210" s="6"/>
      <c r="I210" s="6"/>
    </row>
    <row r="211" spans="1:9" x14ac:dyDescent="0.2">
      <c r="A211" s="8" t="s">
        <v>2</v>
      </c>
      <c r="B211" s="5"/>
      <c r="C211" s="75"/>
      <c r="D211" s="6"/>
      <c r="E211" s="6"/>
      <c r="F211" s="6"/>
      <c r="G211" s="6"/>
      <c r="H211" s="6"/>
      <c r="I211" s="6"/>
    </row>
    <row r="212" spans="1:9" x14ac:dyDescent="0.2">
      <c r="A212" s="8" t="s">
        <v>3</v>
      </c>
      <c r="B212" s="5"/>
      <c r="C212" s="75"/>
      <c r="D212" s="6"/>
      <c r="E212" s="6"/>
      <c r="F212" s="6"/>
      <c r="G212" s="6"/>
      <c r="H212" s="6"/>
      <c r="I212" s="6"/>
    </row>
    <row r="213" spans="1:9" x14ac:dyDescent="0.2">
      <c r="A213" s="8" t="s">
        <v>4</v>
      </c>
      <c r="B213" s="5"/>
      <c r="C213" s="75"/>
      <c r="D213" s="6"/>
      <c r="E213" s="6"/>
      <c r="F213" s="6"/>
      <c r="G213" s="6"/>
      <c r="H213" s="6"/>
      <c r="I213" s="6"/>
    </row>
    <row r="214" spans="1:9" x14ac:dyDescent="0.2">
      <c r="A214" s="8" t="s">
        <v>5</v>
      </c>
      <c r="B214" s="5"/>
      <c r="C214" s="75"/>
      <c r="D214" s="6"/>
      <c r="E214" s="6"/>
      <c r="F214" s="6"/>
      <c r="G214" s="6"/>
      <c r="H214" s="6"/>
      <c r="I214" s="6"/>
    </row>
    <row r="215" spans="1:9" x14ac:dyDescent="0.2">
      <c r="A215" s="8" t="s">
        <v>6</v>
      </c>
      <c r="B215" s="5"/>
      <c r="C215" s="75"/>
      <c r="D215" s="6"/>
      <c r="E215" s="6"/>
      <c r="F215" s="6"/>
      <c r="G215" s="6"/>
      <c r="H215" s="6"/>
      <c r="I215" s="6"/>
    </row>
    <row r="216" spans="1:9" x14ac:dyDescent="0.2">
      <c r="A216" s="8" t="s">
        <v>7</v>
      </c>
      <c r="B216" s="5"/>
      <c r="C216" s="74"/>
      <c r="D216" s="6"/>
      <c r="E216" s="6"/>
      <c r="F216" s="6"/>
      <c r="G216" s="6"/>
      <c r="H216" s="6"/>
      <c r="I216" s="6"/>
    </row>
    <row r="217" spans="1:9" x14ac:dyDescent="0.2">
      <c r="A217" s="8" t="s">
        <v>8</v>
      </c>
      <c r="B217" s="5"/>
      <c r="C217" s="74"/>
      <c r="D217" s="6"/>
      <c r="E217" s="6"/>
      <c r="F217" s="6"/>
      <c r="G217" s="6"/>
      <c r="H217" s="6"/>
      <c r="I217" s="6"/>
    </row>
    <row r="218" spans="1:9" x14ac:dyDescent="0.2">
      <c r="A218" s="8" t="s">
        <v>9</v>
      </c>
      <c r="B218" s="5"/>
      <c r="C218" s="74"/>
      <c r="D218" s="6"/>
      <c r="E218" s="6"/>
      <c r="F218" s="6"/>
      <c r="G218" s="6"/>
      <c r="H218" s="6"/>
      <c r="I218" s="6"/>
    </row>
    <row r="219" spans="1:9" x14ac:dyDescent="0.2">
      <c r="A219" s="312" t="s">
        <v>10</v>
      </c>
      <c r="B219" s="313"/>
      <c r="C219" s="313"/>
      <c r="D219" s="313"/>
      <c r="E219" s="314"/>
      <c r="F219" s="11">
        <f>SUM(F209:F218)</f>
        <v>0</v>
      </c>
      <c r="G219" s="11">
        <f>SUM(G209:G218)</f>
        <v>0</v>
      </c>
      <c r="H219" s="11">
        <f>SUM(H209:H218)</f>
        <v>0</v>
      </c>
      <c r="I219" s="11"/>
    </row>
    <row r="220" spans="1:9" x14ac:dyDescent="0.2">
      <c r="A220" s="8" t="s">
        <v>0</v>
      </c>
      <c r="B220" s="5">
        <f>B209+1</f>
        <v>46125</v>
      </c>
      <c r="C220" s="75"/>
      <c r="D220" s="6"/>
      <c r="E220" s="6"/>
      <c r="F220" s="6"/>
      <c r="G220" s="6"/>
      <c r="H220" s="6"/>
      <c r="I220" s="6"/>
    </row>
    <row r="221" spans="1:9" x14ac:dyDescent="0.2">
      <c r="A221" s="8" t="s">
        <v>1</v>
      </c>
      <c r="B221" s="5"/>
      <c r="C221" s="75"/>
      <c r="D221" s="6"/>
      <c r="E221" s="6"/>
      <c r="F221" s="6"/>
      <c r="G221" s="6"/>
      <c r="H221" s="6"/>
      <c r="I221" s="6"/>
    </row>
    <row r="222" spans="1:9" x14ac:dyDescent="0.2">
      <c r="A222" s="8" t="s">
        <v>2</v>
      </c>
      <c r="B222" s="5"/>
      <c r="C222" s="75"/>
      <c r="D222" s="6"/>
      <c r="E222" s="6"/>
      <c r="F222" s="6"/>
      <c r="G222" s="6"/>
      <c r="H222" s="6"/>
      <c r="I222" s="6"/>
    </row>
    <row r="223" spans="1:9" x14ac:dyDescent="0.2">
      <c r="A223" s="8" t="s">
        <v>3</v>
      </c>
      <c r="B223" s="5"/>
      <c r="C223" s="75"/>
      <c r="D223" s="6"/>
      <c r="E223" s="6"/>
      <c r="F223" s="6"/>
      <c r="G223" s="6"/>
      <c r="H223" s="6"/>
      <c r="I223" s="6"/>
    </row>
    <row r="224" spans="1:9" x14ac:dyDescent="0.2">
      <c r="A224" s="8" t="s">
        <v>4</v>
      </c>
      <c r="B224" s="5"/>
      <c r="C224" s="75"/>
      <c r="D224" s="6"/>
      <c r="E224" s="6"/>
      <c r="F224" s="6"/>
      <c r="G224" s="6"/>
      <c r="H224" s="6"/>
      <c r="I224" s="6"/>
    </row>
    <row r="225" spans="1:9" x14ac:dyDescent="0.2">
      <c r="A225" s="8" t="s">
        <v>5</v>
      </c>
      <c r="B225" s="5"/>
      <c r="C225" s="75"/>
      <c r="D225" s="6"/>
      <c r="E225" s="6"/>
      <c r="F225" s="6"/>
      <c r="G225" s="6"/>
      <c r="H225" s="6"/>
      <c r="I225" s="6"/>
    </row>
    <row r="226" spans="1:9" x14ac:dyDescent="0.2">
      <c r="A226" s="8" t="s">
        <v>6</v>
      </c>
      <c r="B226" s="5"/>
      <c r="C226" s="74"/>
      <c r="D226" s="6"/>
      <c r="E226" s="6"/>
      <c r="F226" s="6"/>
      <c r="G226" s="6"/>
      <c r="H226" s="6"/>
      <c r="I226" s="6"/>
    </row>
    <row r="227" spans="1:9" x14ac:dyDescent="0.2">
      <c r="A227" s="8" t="s">
        <v>7</v>
      </c>
      <c r="B227" s="5"/>
      <c r="C227" s="74"/>
      <c r="D227" s="6"/>
      <c r="E227" s="6"/>
      <c r="F227" s="6"/>
      <c r="G227" s="6"/>
      <c r="H227" s="6"/>
      <c r="I227" s="6"/>
    </row>
    <row r="228" spans="1:9" x14ac:dyDescent="0.2">
      <c r="A228" s="8" t="s">
        <v>8</v>
      </c>
      <c r="B228" s="5"/>
      <c r="C228" s="74"/>
      <c r="D228" s="6"/>
      <c r="E228" s="6"/>
      <c r="F228" s="6"/>
      <c r="G228" s="6"/>
      <c r="H228" s="6"/>
      <c r="I228" s="6"/>
    </row>
    <row r="229" spans="1:9" x14ac:dyDescent="0.2">
      <c r="A229" s="8" t="s">
        <v>9</v>
      </c>
      <c r="B229" s="5"/>
      <c r="C229" s="74"/>
      <c r="D229" s="6"/>
      <c r="E229" s="6"/>
      <c r="F229" s="6"/>
      <c r="G229" s="6"/>
      <c r="H229" s="6"/>
      <c r="I229" s="6"/>
    </row>
    <row r="230" spans="1:9" x14ac:dyDescent="0.2">
      <c r="A230" s="312" t="s">
        <v>10</v>
      </c>
      <c r="B230" s="313"/>
      <c r="C230" s="313"/>
      <c r="D230" s="313"/>
      <c r="E230" s="314"/>
      <c r="F230" s="11">
        <f>SUM(F220:F229)</f>
        <v>0</v>
      </c>
      <c r="G230" s="11">
        <f>SUM(G220:G229)</f>
        <v>0</v>
      </c>
      <c r="H230" s="11">
        <f>SUM(H220:H229)</f>
        <v>0</v>
      </c>
      <c r="I230" s="11"/>
    </row>
    <row r="231" spans="1:9" x14ac:dyDescent="0.2">
      <c r="A231" s="8" t="s">
        <v>0</v>
      </c>
      <c r="B231" s="5">
        <f>B220+1</f>
        <v>46126</v>
      </c>
      <c r="C231" s="75"/>
      <c r="D231" s="6"/>
      <c r="E231" s="6"/>
      <c r="F231" s="6"/>
      <c r="G231" s="6"/>
      <c r="H231" s="6"/>
      <c r="I231" s="6"/>
    </row>
    <row r="232" spans="1:9" x14ac:dyDescent="0.2">
      <c r="A232" s="8" t="s">
        <v>1</v>
      </c>
      <c r="B232" s="5"/>
      <c r="C232" s="75"/>
      <c r="D232" s="6"/>
      <c r="E232" s="6"/>
      <c r="F232" s="6"/>
      <c r="G232" s="6"/>
      <c r="H232" s="6"/>
      <c r="I232" s="6"/>
    </row>
    <row r="233" spans="1:9" x14ac:dyDescent="0.2">
      <c r="A233" s="8" t="s">
        <v>2</v>
      </c>
      <c r="B233" s="5"/>
      <c r="C233" s="75"/>
      <c r="D233" s="6"/>
      <c r="E233" s="6"/>
      <c r="F233" s="6"/>
      <c r="G233" s="6"/>
      <c r="H233" s="6"/>
      <c r="I233" s="6"/>
    </row>
    <row r="234" spans="1:9" x14ac:dyDescent="0.2">
      <c r="A234" s="8" t="s">
        <v>3</v>
      </c>
      <c r="B234" s="5"/>
      <c r="C234" s="75"/>
      <c r="D234" s="6"/>
      <c r="E234" s="6"/>
      <c r="F234" s="6"/>
      <c r="G234" s="6"/>
      <c r="H234" s="6"/>
      <c r="I234" s="6"/>
    </row>
    <row r="235" spans="1:9" x14ac:dyDescent="0.2">
      <c r="A235" s="8" t="s">
        <v>4</v>
      </c>
      <c r="B235" s="5"/>
      <c r="C235" s="75"/>
      <c r="D235" s="6"/>
      <c r="E235" s="6"/>
      <c r="F235" s="6"/>
      <c r="G235" s="6"/>
      <c r="H235" s="6"/>
      <c r="I235" s="6"/>
    </row>
    <row r="236" spans="1:9" x14ac:dyDescent="0.2">
      <c r="A236" s="8" t="s">
        <v>5</v>
      </c>
      <c r="B236" s="5"/>
      <c r="C236" s="75"/>
      <c r="D236" s="6"/>
      <c r="E236" s="6"/>
      <c r="F236" s="6"/>
      <c r="G236" s="6"/>
      <c r="H236" s="6"/>
      <c r="I236" s="6"/>
    </row>
    <row r="237" spans="1:9" x14ac:dyDescent="0.2">
      <c r="A237" s="8" t="s">
        <v>6</v>
      </c>
      <c r="B237" s="5"/>
      <c r="C237" s="75"/>
      <c r="D237" s="6"/>
      <c r="E237" s="6"/>
      <c r="F237" s="6"/>
      <c r="G237" s="6"/>
      <c r="H237" s="6"/>
      <c r="I237" s="6"/>
    </row>
    <row r="238" spans="1:9" x14ac:dyDescent="0.2">
      <c r="A238" s="8" t="s">
        <v>7</v>
      </c>
      <c r="B238" s="5"/>
      <c r="C238" s="75"/>
      <c r="D238" s="6"/>
      <c r="E238" s="6"/>
      <c r="F238" s="6"/>
      <c r="G238" s="6"/>
      <c r="H238" s="6"/>
      <c r="I238" s="6"/>
    </row>
    <row r="239" spans="1:9" x14ac:dyDescent="0.2">
      <c r="A239" s="8" t="s">
        <v>8</v>
      </c>
      <c r="B239" s="5"/>
      <c r="C239" s="75"/>
      <c r="D239" s="6"/>
      <c r="E239" s="6"/>
      <c r="F239" s="6"/>
      <c r="G239" s="6"/>
      <c r="H239" s="6"/>
      <c r="I239" s="6"/>
    </row>
    <row r="240" spans="1:9" x14ac:dyDescent="0.2">
      <c r="A240" s="8" t="s">
        <v>9</v>
      </c>
      <c r="B240" s="5"/>
      <c r="C240" s="75"/>
      <c r="D240" s="6"/>
      <c r="E240" s="6"/>
      <c r="F240" s="6"/>
      <c r="G240" s="6"/>
      <c r="H240" s="6"/>
      <c r="I240" s="6"/>
    </row>
    <row r="241" spans="1:9" x14ac:dyDescent="0.2">
      <c r="A241" s="312" t="s">
        <v>10</v>
      </c>
      <c r="B241" s="313"/>
      <c r="C241" s="313"/>
      <c r="D241" s="313"/>
      <c r="E241" s="314"/>
      <c r="F241" s="11">
        <f>SUM(F231:F240)</f>
        <v>0</v>
      </c>
      <c r="G241" s="11">
        <f>SUM(G231:G240)</f>
        <v>0</v>
      </c>
      <c r="H241" s="11">
        <f>SUM(H231:H240)</f>
        <v>0</v>
      </c>
      <c r="I241" s="11"/>
    </row>
    <row r="242" spans="1:9" x14ac:dyDescent="0.2">
      <c r="A242" s="8" t="s">
        <v>0</v>
      </c>
      <c r="B242" s="5">
        <f>B231+1</f>
        <v>46127</v>
      </c>
      <c r="C242" s="74"/>
      <c r="D242" s="6"/>
      <c r="E242" s="6"/>
      <c r="F242" s="6"/>
      <c r="G242" s="6"/>
      <c r="H242" s="6"/>
      <c r="I242" s="6"/>
    </row>
    <row r="243" spans="1:9" x14ac:dyDescent="0.2">
      <c r="A243" s="8" t="s">
        <v>1</v>
      </c>
      <c r="B243" s="5"/>
      <c r="C243" s="74"/>
      <c r="D243" s="6"/>
      <c r="E243" s="6"/>
      <c r="F243" s="6"/>
      <c r="G243" s="6"/>
      <c r="H243" s="6"/>
      <c r="I243" s="6"/>
    </row>
    <row r="244" spans="1:9" x14ac:dyDescent="0.2">
      <c r="A244" s="8" t="s">
        <v>2</v>
      </c>
      <c r="B244" s="5"/>
      <c r="C244" s="74"/>
      <c r="D244" s="6"/>
      <c r="E244" s="6"/>
      <c r="F244" s="6"/>
      <c r="G244" s="6"/>
      <c r="H244" s="6"/>
      <c r="I244" s="6"/>
    </row>
    <row r="245" spans="1:9" x14ac:dyDescent="0.2">
      <c r="A245" s="8" t="s">
        <v>3</v>
      </c>
      <c r="B245" s="5"/>
      <c r="C245" s="74"/>
      <c r="D245" s="6"/>
      <c r="E245" s="6"/>
      <c r="F245" s="6"/>
      <c r="G245" s="6"/>
      <c r="H245" s="6"/>
      <c r="I245" s="6"/>
    </row>
    <row r="246" spans="1:9" x14ac:dyDescent="0.2">
      <c r="A246" s="8" t="s">
        <v>4</v>
      </c>
      <c r="B246" s="5"/>
      <c r="C246" s="74"/>
      <c r="D246" s="6"/>
      <c r="E246" s="6"/>
      <c r="F246" s="6"/>
      <c r="G246" s="6"/>
      <c r="H246" s="6"/>
      <c r="I246" s="6"/>
    </row>
    <row r="247" spans="1:9" x14ac:dyDescent="0.2">
      <c r="A247" s="8" t="s">
        <v>5</v>
      </c>
      <c r="B247" s="5"/>
      <c r="C247" s="74"/>
      <c r="D247" s="6"/>
      <c r="E247" s="6"/>
      <c r="F247" s="6"/>
      <c r="G247" s="6"/>
      <c r="H247" s="6"/>
      <c r="I247" s="6"/>
    </row>
    <row r="248" spans="1:9" x14ac:dyDescent="0.2">
      <c r="A248" s="8" t="s">
        <v>6</v>
      </c>
      <c r="B248" s="5"/>
      <c r="C248" s="74"/>
      <c r="D248" s="6"/>
      <c r="E248" s="6"/>
      <c r="F248" s="6"/>
      <c r="G248" s="6"/>
      <c r="H248" s="6"/>
      <c r="I248" s="6"/>
    </row>
    <row r="249" spans="1:9" x14ac:dyDescent="0.2">
      <c r="A249" s="8" t="s">
        <v>7</v>
      </c>
      <c r="B249" s="5"/>
      <c r="C249" s="74"/>
      <c r="D249" s="6"/>
      <c r="E249" s="6"/>
      <c r="F249" s="6"/>
      <c r="G249" s="6"/>
      <c r="H249" s="6"/>
      <c r="I249" s="6"/>
    </row>
    <row r="250" spans="1:9" x14ac:dyDescent="0.2">
      <c r="A250" s="8" t="s">
        <v>8</v>
      </c>
      <c r="B250" s="5"/>
      <c r="C250" s="74"/>
      <c r="D250" s="6"/>
      <c r="E250" s="6"/>
      <c r="F250" s="6"/>
      <c r="G250" s="6"/>
      <c r="H250" s="6"/>
      <c r="I250" s="6"/>
    </row>
    <row r="251" spans="1:9" x14ac:dyDescent="0.2">
      <c r="A251" s="8" t="s">
        <v>9</v>
      </c>
      <c r="B251" s="5"/>
      <c r="C251" s="74"/>
      <c r="D251" s="6"/>
      <c r="E251" s="6"/>
      <c r="F251" s="6"/>
      <c r="G251" s="6"/>
      <c r="H251" s="6"/>
      <c r="I251" s="6"/>
    </row>
    <row r="252" spans="1:9" x14ac:dyDescent="0.2">
      <c r="A252" s="312" t="s">
        <v>10</v>
      </c>
      <c r="B252" s="313"/>
      <c r="C252" s="313"/>
      <c r="D252" s="313"/>
      <c r="E252" s="314"/>
      <c r="F252" s="11">
        <f>SUM(F242:F251)</f>
        <v>0</v>
      </c>
      <c r="G252" s="11">
        <f>SUM(G242:G251)</f>
        <v>0</v>
      </c>
      <c r="H252" s="11">
        <f>SUM(H242:H251)</f>
        <v>0</v>
      </c>
      <c r="I252" s="11"/>
    </row>
    <row r="253" spans="1:9" s="25" customFormat="1" ht="18" x14ac:dyDescent="0.2">
      <c r="A253" s="315" t="s">
        <v>39</v>
      </c>
      <c r="B253" s="316"/>
      <c r="C253" s="316"/>
      <c r="D253" s="316"/>
      <c r="E253" s="317"/>
      <c r="F253" s="22">
        <f>F186+F197+F208+F219+F230+F241+F252+F168</f>
        <v>0</v>
      </c>
      <c r="G253" s="22">
        <f>G186+G197+G208+G219+G230+G241+G252+G168</f>
        <v>0</v>
      </c>
      <c r="H253" s="22">
        <f>H186+H197+H208+H219+H230+H241+H252+H168</f>
        <v>0</v>
      </c>
      <c r="I253" s="22"/>
    </row>
    <row r="254" spans="1:9" ht="21.95" customHeight="1" x14ac:dyDescent="0.2">
      <c r="A254" s="319" t="s">
        <v>14</v>
      </c>
      <c r="B254" s="319"/>
      <c r="C254" s="319"/>
      <c r="D254" s="319"/>
      <c r="E254" s="319"/>
      <c r="F254" s="319"/>
      <c r="G254" s="319"/>
      <c r="H254" s="319"/>
      <c r="I254" s="319"/>
    </row>
    <row r="255" spans="1:9" s="53" customFormat="1" ht="20.100000000000001" customHeight="1" x14ac:dyDescent="0.2">
      <c r="A255" s="323" t="s">
        <v>86</v>
      </c>
      <c r="B255" s="323"/>
      <c r="C255" s="323"/>
      <c r="D255" s="323"/>
      <c r="E255" s="323"/>
      <c r="F255" s="50" t="str">
        <f>F170</f>
        <v>เมษายน</v>
      </c>
      <c r="G255" s="50" t="s">
        <v>87</v>
      </c>
      <c r="H255" s="51">
        <f>H170</f>
        <v>2569</v>
      </c>
      <c r="I255" s="52"/>
    </row>
    <row r="256" spans="1:9" s="3" customFormat="1" ht="20.100000000000001" customHeight="1" x14ac:dyDescent="0.35">
      <c r="A256" s="318" t="s">
        <v>38</v>
      </c>
      <c r="B256" s="318"/>
      <c r="C256" s="318"/>
      <c r="D256" s="2"/>
      <c r="F256" s="4"/>
      <c r="G256" s="4"/>
      <c r="H256" s="4" t="s">
        <v>21</v>
      </c>
      <c r="I256" s="40">
        <f>I171+1</f>
        <v>4</v>
      </c>
    </row>
    <row r="257" spans="1:9" s="3" customFormat="1" ht="20.100000000000001" customHeight="1" x14ac:dyDescent="0.35">
      <c r="A257" s="311" t="s">
        <v>68</v>
      </c>
      <c r="B257" s="311"/>
      <c r="C257" s="311"/>
      <c r="D257" s="2"/>
      <c r="E257" s="39" t="s">
        <v>81</v>
      </c>
      <c r="F257" s="308">
        <f>F172</f>
        <v>46107</v>
      </c>
      <c r="G257" s="308"/>
      <c r="H257" s="39" t="s">
        <v>82</v>
      </c>
      <c r="I257" s="34">
        <f>I172</f>
        <v>46136</v>
      </c>
    </row>
    <row r="258" spans="1:9" x14ac:dyDescent="0.2">
      <c r="A258" s="12" t="s">
        <v>23</v>
      </c>
      <c r="B258" s="13" t="s">
        <v>11</v>
      </c>
      <c r="C258" s="72" t="s">
        <v>26</v>
      </c>
      <c r="D258" s="12" t="s">
        <v>16</v>
      </c>
      <c r="E258" s="12" t="s">
        <v>17</v>
      </c>
      <c r="F258" s="310" t="s">
        <v>46</v>
      </c>
      <c r="G258" s="310"/>
      <c r="H258" s="310"/>
      <c r="I258" s="12" t="s">
        <v>19</v>
      </c>
    </row>
    <row r="259" spans="1:9" x14ac:dyDescent="0.2">
      <c r="A259" s="15"/>
      <c r="B259" s="16"/>
      <c r="C259" s="73"/>
      <c r="D259" s="15"/>
      <c r="E259" s="15"/>
      <c r="F259" s="21" t="s">
        <v>113</v>
      </c>
      <c r="G259" s="21" t="s">
        <v>114</v>
      </c>
      <c r="H259" s="21" t="s">
        <v>20</v>
      </c>
      <c r="I259" s="15"/>
    </row>
    <row r="260" spans="1:9" x14ac:dyDescent="0.2">
      <c r="A260" s="8" t="s">
        <v>0</v>
      </c>
      <c r="B260" s="5">
        <f>B242+1</f>
        <v>46128</v>
      </c>
      <c r="C260" s="74"/>
      <c r="D260" s="6"/>
      <c r="E260" s="6"/>
      <c r="F260" s="6"/>
      <c r="G260" s="6"/>
      <c r="H260" s="6"/>
      <c r="I260" s="6"/>
    </row>
    <row r="261" spans="1:9" x14ac:dyDescent="0.2">
      <c r="A261" s="8" t="s">
        <v>1</v>
      </c>
      <c r="B261" s="5"/>
      <c r="C261" s="74"/>
      <c r="D261" s="6"/>
      <c r="E261" s="6"/>
      <c r="F261" s="6"/>
      <c r="G261" s="6"/>
      <c r="H261" s="6"/>
      <c r="I261" s="6"/>
    </row>
    <row r="262" spans="1:9" x14ac:dyDescent="0.2">
      <c r="A262" s="8" t="s">
        <v>2</v>
      </c>
      <c r="B262" s="5"/>
      <c r="C262" s="74"/>
      <c r="D262" s="6"/>
      <c r="E262" s="6"/>
      <c r="F262" s="6"/>
      <c r="G262" s="6"/>
      <c r="H262" s="6"/>
      <c r="I262" s="6"/>
    </row>
    <row r="263" spans="1:9" x14ac:dyDescent="0.2">
      <c r="A263" s="8" t="s">
        <v>3</v>
      </c>
      <c r="B263" s="5"/>
      <c r="C263" s="74"/>
      <c r="D263" s="6"/>
      <c r="E263" s="6"/>
      <c r="F263" s="6"/>
      <c r="G263" s="6"/>
      <c r="H263" s="6"/>
      <c r="I263" s="6"/>
    </row>
    <row r="264" spans="1:9" x14ac:dyDescent="0.2">
      <c r="A264" s="8" t="s">
        <v>4</v>
      </c>
      <c r="B264" s="5"/>
      <c r="C264" s="74"/>
      <c r="D264" s="6"/>
      <c r="E264" s="6"/>
      <c r="F264" s="6"/>
      <c r="G264" s="6"/>
      <c r="H264" s="6"/>
      <c r="I264" s="6"/>
    </row>
    <row r="265" spans="1:9" x14ac:dyDescent="0.2">
      <c r="A265" s="8" t="s">
        <v>5</v>
      </c>
      <c r="B265" s="5"/>
      <c r="C265" s="74"/>
      <c r="D265" s="6"/>
      <c r="E265" s="6"/>
      <c r="F265" s="6"/>
      <c r="G265" s="6"/>
      <c r="H265" s="6"/>
      <c r="I265" s="6"/>
    </row>
    <row r="266" spans="1:9" x14ac:dyDescent="0.2">
      <c r="A266" s="8" t="s">
        <v>6</v>
      </c>
      <c r="B266" s="5"/>
      <c r="C266" s="74"/>
      <c r="D266" s="6"/>
      <c r="E266" s="6"/>
      <c r="F266" s="6"/>
      <c r="G266" s="6"/>
      <c r="H266" s="6"/>
      <c r="I266" s="6"/>
    </row>
    <row r="267" spans="1:9" x14ac:dyDescent="0.2">
      <c r="A267" s="8" t="s">
        <v>7</v>
      </c>
      <c r="B267" s="5"/>
      <c r="C267" s="74"/>
      <c r="D267" s="6"/>
      <c r="E267" s="6"/>
      <c r="F267" s="6"/>
      <c r="G267" s="6"/>
      <c r="H267" s="6"/>
      <c r="I267" s="6"/>
    </row>
    <row r="268" spans="1:9" x14ac:dyDescent="0.2">
      <c r="A268" s="8" t="s">
        <v>8</v>
      </c>
      <c r="B268" s="5"/>
      <c r="C268" s="74"/>
      <c r="D268" s="6"/>
      <c r="E268" s="6"/>
      <c r="F268" s="6"/>
      <c r="G268" s="6"/>
      <c r="H268" s="6"/>
      <c r="I268" s="6"/>
    </row>
    <row r="269" spans="1:9" x14ac:dyDescent="0.2">
      <c r="A269" s="8" t="s">
        <v>9</v>
      </c>
      <c r="B269" s="5"/>
      <c r="C269" s="74"/>
      <c r="D269" s="6"/>
      <c r="E269" s="6"/>
      <c r="F269" s="6"/>
      <c r="G269" s="6"/>
      <c r="H269" s="6"/>
      <c r="I269" s="6"/>
    </row>
    <row r="270" spans="1:9" x14ac:dyDescent="0.2">
      <c r="A270" s="312" t="s">
        <v>10</v>
      </c>
      <c r="B270" s="313"/>
      <c r="C270" s="313"/>
      <c r="D270" s="313"/>
      <c r="E270" s="314"/>
      <c r="F270" s="11">
        <f>SUM(F260:F269)</f>
        <v>0</v>
      </c>
      <c r="G270" s="11">
        <f>SUM(G260:G269)</f>
        <v>0</v>
      </c>
      <c r="H270" s="11">
        <f>SUM(H260:H269)</f>
        <v>0</v>
      </c>
      <c r="I270" s="11"/>
    </row>
    <row r="271" spans="1:9" x14ac:dyDescent="0.2">
      <c r="A271" s="8" t="s">
        <v>0</v>
      </c>
      <c r="B271" s="5">
        <f>B260+1</f>
        <v>46129</v>
      </c>
      <c r="C271" s="74"/>
      <c r="D271" s="6"/>
      <c r="E271" s="6"/>
      <c r="F271" s="6"/>
      <c r="G271" s="6"/>
      <c r="H271" s="6"/>
      <c r="I271" s="6"/>
    </row>
    <row r="272" spans="1:9" x14ac:dyDescent="0.2">
      <c r="A272" s="8" t="s">
        <v>1</v>
      </c>
      <c r="B272" s="5"/>
      <c r="C272" s="74"/>
      <c r="D272" s="6"/>
      <c r="E272" s="6"/>
      <c r="F272" s="6"/>
      <c r="G272" s="6"/>
      <c r="H272" s="6"/>
      <c r="I272" s="6"/>
    </row>
    <row r="273" spans="1:9" x14ac:dyDescent="0.2">
      <c r="A273" s="8" t="s">
        <v>2</v>
      </c>
      <c r="B273" s="5"/>
      <c r="C273" s="74"/>
      <c r="D273" s="6"/>
      <c r="E273" s="6"/>
      <c r="F273" s="6"/>
      <c r="G273" s="6"/>
      <c r="H273" s="6"/>
      <c r="I273" s="6"/>
    </row>
    <row r="274" spans="1:9" x14ac:dyDescent="0.2">
      <c r="A274" s="8" t="s">
        <v>3</v>
      </c>
      <c r="B274" s="5"/>
      <c r="C274" s="74"/>
      <c r="D274" s="6"/>
      <c r="E274" s="6"/>
      <c r="F274" s="6"/>
      <c r="G274" s="6"/>
      <c r="H274" s="6"/>
      <c r="I274" s="6"/>
    </row>
    <row r="275" spans="1:9" x14ac:dyDescent="0.2">
      <c r="A275" s="8" t="s">
        <v>4</v>
      </c>
      <c r="B275" s="5"/>
      <c r="C275" s="74"/>
      <c r="D275" s="6"/>
      <c r="E275" s="6"/>
      <c r="F275" s="6"/>
      <c r="G275" s="6"/>
      <c r="H275" s="6"/>
      <c r="I275" s="6"/>
    </row>
    <row r="276" spans="1:9" x14ac:dyDescent="0.2">
      <c r="A276" s="8" t="s">
        <v>5</v>
      </c>
      <c r="B276" s="5"/>
      <c r="C276" s="74"/>
      <c r="D276" s="6"/>
      <c r="E276" s="6"/>
      <c r="F276" s="6"/>
      <c r="G276" s="6"/>
      <c r="H276" s="6"/>
      <c r="I276" s="6"/>
    </row>
    <row r="277" spans="1:9" x14ac:dyDescent="0.2">
      <c r="A277" s="8" t="s">
        <v>6</v>
      </c>
      <c r="B277" s="5"/>
      <c r="C277" s="74"/>
      <c r="D277" s="6"/>
      <c r="E277" s="6"/>
      <c r="F277" s="6"/>
      <c r="G277" s="6"/>
      <c r="H277" s="6"/>
      <c r="I277" s="6"/>
    </row>
    <row r="278" spans="1:9" x14ac:dyDescent="0.2">
      <c r="A278" s="8" t="s">
        <v>7</v>
      </c>
      <c r="B278" s="5"/>
      <c r="C278" s="74"/>
      <c r="D278" s="6"/>
      <c r="E278" s="6"/>
      <c r="F278" s="6"/>
      <c r="G278" s="6"/>
      <c r="H278" s="6"/>
      <c r="I278" s="6"/>
    </row>
    <row r="279" spans="1:9" x14ac:dyDescent="0.2">
      <c r="A279" s="8" t="s">
        <v>8</v>
      </c>
      <c r="B279" s="5"/>
      <c r="C279" s="74"/>
      <c r="D279" s="6"/>
      <c r="E279" s="6"/>
      <c r="F279" s="6"/>
      <c r="G279" s="6"/>
      <c r="H279" s="6"/>
      <c r="I279" s="6"/>
    </row>
    <row r="280" spans="1:9" x14ac:dyDescent="0.2">
      <c r="A280" s="8" t="s">
        <v>9</v>
      </c>
      <c r="B280" s="5"/>
      <c r="C280" s="74"/>
      <c r="D280" s="6"/>
      <c r="E280" s="6"/>
      <c r="F280" s="6"/>
      <c r="G280" s="6"/>
      <c r="H280" s="6"/>
      <c r="I280" s="6"/>
    </row>
    <row r="281" spans="1:9" x14ac:dyDescent="0.2">
      <c r="A281" s="312" t="s">
        <v>10</v>
      </c>
      <c r="B281" s="313"/>
      <c r="C281" s="313"/>
      <c r="D281" s="313"/>
      <c r="E281" s="314"/>
      <c r="F281" s="11">
        <f>SUM(F271:F280)</f>
        <v>0</v>
      </c>
      <c r="G281" s="11">
        <f>SUM(G271:G280)</f>
        <v>0</v>
      </c>
      <c r="H281" s="11">
        <f>SUM(H271:H280)</f>
        <v>0</v>
      </c>
      <c r="I281" s="11"/>
    </row>
    <row r="282" spans="1:9" x14ac:dyDescent="0.2">
      <c r="A282" s="8" t="s">
        <v>0</v>
      </c>
      <c r="B282" s="5">
        <f>B271+1</f>
        <v>46130</v>
      </c>
      <c r="C282" s="74"/>
      <c r="D282" s="6"/>
      <c r="E282" s="6"/>
      <c r="F282" s="6"/>
      <c r="G282" s="6"/>
      <c r="H282" s="6"/>
      <c r="I282" s="6"/>
    </row>
    <row r="283" spans="1:9" x14ac:dyDescent="0.2">
      <c r="A283" s="8" t="s">
        <v>1</v>
      </c>
      <c r="B283" s="5"/>
      <c r="C283" s="74"/>
      <c r="D283" s="6"/>
      <c r="E283" s="6"/>
      <c r="F283" s="6"/>
      <c r="G283" s="6"/>
      <c r="H283" s="6"/>
      <c r="I283" s="6"/>
    </row>
    <row r="284" spans="1:9" x14ac:dyDescent="0.2">
      <c r="A284" s="8" t="s">
        <v>2</v>
      </c>
      <c r="B284" s="5"/>
      <c r="C284" s="74"/>
      <c r="D284" s="6"/>
      <c r="E284" s="6"/>
      <c r="F284" s="6"/>
      <c r="G284" s="6"/>
      <c r="H284" s="6"/>
      <c r="I284" s="6"/>
    </row>
    <row r="285" spans="1:9" x14ac:dyDescent="0.2">
      <c r="A285" s="8" t="s">
        <v>3</v>
      </c>
      <c r="B285" s="5"/>
      <c r="C285" s="74"/>
      <c r="D285" s="6"/>
      <c r="E285" s="6"/>
      <c r="F285" s="6"/>
      <c r="G285" s="6"/>
      <c r="H285" s="6"/>
      <c r="I285" s="6"/>
    </row>
    <row r="286" spans="1:9" x14ac:dyDescent="0.2">
      <c r="A286" s="8" t="s">
        <v>4</v>
      </c>
      <c r="B286" s="5"/>
      <c r="C286" s="74"/>
      <c r="D286" s="6"/>
      <c r="E286" s="6"/>
      <c r="F286" s="6"/>
      <c r="G286" s="6"/>
      <c r="H286" s="6"/>
      <c r="I286" s="6"/>
    </row>
    <row r="287" spans="1:9" x14ac:dyDescent="0.2">
      <c r="A287" s="8" t="s">
        <v>5</v>
      </c>
      <c r="B287" s="5"/>
      <c r="C287" s="74"/>
      <c r="D287" s="6"/>
      <c r="E287" s="6"/>
      <c r="F287" s="6"/>
      <c r="G287" s="6"/>
      <c r="H287" s="6"/>
      <c r="I287" s="6"/>
    </row>
    <row r="288" spans="1:9" x14ac:dyDescent="0.2">
      <c r="A288" s="8" t="s">
        <v>6</v>
      </c>
      <c r="B288" s="5"/>
      <c r="C288" s="74"/>
      <c r="D288" s="6"/>
      <c r="E288" s="6"/>
      <c r="F288" s="6"/>
      <c r="G288" s="6"/>
      <c r="H288" s="6"/>
      <c r="I288" s="6"/>
    </row>
    <row r="289" spans="1:9" x14ac:dyDescent="0.2">
      <c r="A289" s="8" t="s">
        <v>7</v>
      </c>
      <c r="B289" s="5"/>
      <c r="C289" s="74"/>
      <c r="D289" s="6"/>
      <c r="E289" s="6"/>
      <c r="F289" s="6"/>
      <c r="G289" s="6"/>
      <c r="H289" s="6"/>
      <c r="I289" s="6"/>
    </row>
    <row r="290" spans="1:9" x14ac:dyDescent="0.2">
      <c r="A290" s="8" t="s">
        <v>8</v>
      </c>
      <c r="B290" s="5"/>
      <c r="C290" s="74"/>
      <c r="D290" s="6"/>
      <c r="E290" s="6"/>
      <c r="F290" s="6"/>
      <c r="G290" s="6"/>
      <c r="H290" s="6"/>
      <c r="I290" s="6"/>
    </row>
    <row r="291" spans="1:9" x14ac:dyDescent="0.2">
      <c r="A291" s="8" t="s">
        <v>9</v>
      </c>
      <c r="B291" s="5"/>
      <c r="C291" s="74"/>
      <c r="D291" s="6"/>
      <c r="E291" s="6"/>
      <c r="F291" s="6"/>
      <c r="G291" s="6"/>
      <c r="H291" s="6"/>
      <c r="I291" s="6"/>
    </row>
    <row r="292" spans="1:9" x14ac:dyDescent="0.2">
      <c r="A292" s="312" t="s">
        <v>10</v>
      </c>
      <c r="B292" s="313"/>
      <c r="C292" s="313"/>
      <c r="D292" s="313"/>
      <c r="E292" s="314"/>
      <c r="F292" s="11">
        <f>SUM(F282:F291)</f>
        <v>0</v>
      </c>
      <c r="G292" s="11">
        <f>SUM(G282:G291)</f>
        <v>0</v>
      </c>
      <c r="H292" s="11">
        <f>SUM(H282:H291)</f>
        <v>0</v>
      </c>
      <c r="I292" s="11"/>
    </row>
    <row r="293" spans="1:9" x14ac:dyDescent="0.2">
      <c r="A293" s="8" t="s">
        <v>0</v>
      </c>
      <c r="B293" s="5">
        <f>B282+1</f>
        <v>46131</v>
      </c>
      <c r="C293" s="75"/>
      <c r="D293" s="6"/>
      <c r="E293" s="6"/>
      <c r="F293" s="6"/>
      <c r="G293" s="6"/>
      <c r="H293" s="6"/>
      <c r="I293" s="6"/>
    </row>
    <row r="294" spans="1:9" x14ac:dyDescent="0.2">
      <c r="A294" s="8" t="s">
        <v>1</v>
      </c>
      <c r="B294" s="5"/>
      <c r="C294" s="75"/>
      <c r="D294" s="6"/>
      <c r="E294" s="6"/>
      <c r="F294" s="6"/>
      <c r="G294" s="6"/>
      <c r="H294" s="6"/>
      <c r="I294" s="6"/>
    </row>
    <row r="295" spans="1:9" x14ac:dyDescent="0.2">
      <c r="A295" s="8" t="s">
        <v>2</v>
      </c>
      <c r="B295" s="5"/>
      <c r="C295" s="75"/>
      <c r="D295" s="6"/>
      <c r="E295" s="6"/>
      <c r="F295" s="6"/>
      <c r="G295" s="6"/>
      <c r="H295" s="6"/>
      <c r="I295" s="6"/>
    </row>
    <row r="296" spans="1:9" x14ac:dyDescent="0.2">
      <c r="A296" s="8" t="s">
        <v>3</v>
      </c>
      <c r="B296" s="5"/>
      <c r="C296" s="75"/>
      <c r="D296" s="6"/>
      <c r="E296" s="6"/>
      <c r="F296" s="6"/>
      <c r="G296" s="6"/>
      <c r="H296" s="6"/>
      <c r="I296" s="6"/>
    </row>
    <row r="297" spans="1:9" x14ac:dyDescent="0.2">
      <c r="A297" s="8" t="s">
        <v>4</v>
      </c>
      <c r="B297" s="5"/>
      <c r="C297" s="75"/>
      <c r="D297" s="6"/>
      <c r="E297" s="6"/>
      <c r="F297" s="6"/>
      <c r="G297" s="6"/>
      <c r="H297" s="6"/>
      <c r="I297" s="6"/>
    </row>
    <row r="298" spans="1:9" x14ac:dyDescent="0.2">
      <c r="A298" s="8" t="s">
        <v>5</v>
      </c>
      <c r="B298" s="5"/>
      <c r="C298" s="75"/>
      <c r="D298" s="6"/>
      <c r="E298" s="6"/>
      <c r="F298" s="6"/>
      <c r="G298" s="6"/>
      <c r="H298" s="6"/>
      <c r="I298" s="6"/>
    </row>
    <row r="299" spans="1:9" x14ac:dyDescent="0.2">
      <c r="A299" s="8" t="s">
        <v>6</v>
      </c>
      <c r="B299" s="5"/>
      <c r="C299" s="75"/>
      <c r="D299" s="6"/>
      <c r="E299" s="6"/>
      <c r="F299" s="6"/>
      <c r="G299" s="6"/>
      <c r="H299" s="6"/>
      <c r="I299" s="6"/>
    </row>
    <row r="300" spans="1:9" x14ac:dyDescent="0.2">
      <c r="A300" s="8" t="s">
        <v>7</v>
      </c>
      <c r="B300" s="5"/>
      <c r="C300" s="74"/>
      <c r="D300" s="6"/>
      <c r="E300" s="6"/>
      <c r="F300" s="6"/>
      <c r="G300" s="6"/>
      <c r="H300" s="6"/>
      <c r="I300" s="6"/>
    </row>
    <row r="301" spans="1:9" x14ac:dyDescent="0.2">
      <c r="A301" s="8" t="s">
        <v>8</v>
      </c>
      <c r="B301" s="5"/>
      <c r="C301" s="74"/>
      <c r="D301" s="6"/>
      <c r="E301" s="6"/>
      <c r="F301" s="6"/>
      <c r="G301" s="6"/>
      <c r="H301" s="6"/>
      <c r="I301" s="6"/>
    </row>
    <row r="302" spans="1:9" x14ac:dyDescent="0.2">
      <c r="A302" s="8" t="s">
        <v>9</v>
      </c>
      <c r="B302" s="5"/>
      <c r="C302" s="74"/>
      <c r="D302" s="6"/>
      <c r="E302" s="6"/>
      <c r="F302" s="6"/>
      <c r="G302" s="6"/>
      <c r="H302" s="6"/>
      <c r="I302" s="6"/>
    </row>
    <row r="303" spans="1:9" x14ac:dyDescent="0.2">
      <c r="A303" s="312" t="s">
        <v>10</v>
      </c>
      <c r="B303" s="313"/>
      <c r="C303" s="313"/>
      <c r="D303" s="313"/>
      <c r="E303" s="314"/>
      <c r="F303" s="11">
        <f>SUM(F293:F302)</f>
        <v>0</v>
      </c>
      <c r="G303" s="11">
        <f>SUM(G293:G302)</f>
        <v>0</v>
      </c>
      <c r="H303" s="11">
        <f>SUM(H293:H302)</f>
        <v>0</v>
      </c>
      <c r="I303" s="11"/>
    </row>
    <row r="304" spans="1:9" x14ac:dyDescent="0.2">
      <c r="A304" s="8" t="s">
        <v>0</v>
      </c>
      <c r="B304" s="5">
        <f>B293+1</f>
        <v>46132</v>
      </c>
      <c r="C304" s="75"/>
      <c r="D304" s="6"/>
      <c r="E304" s="6"/>
      <c r="F304" s="6"/>
      <c r="G304" s="6"/>
      <c r="H304" s="6"/>
      <c r="I304" s="6"/>
    </row>
    <row r="305" spans="1:9" x14ac:dyDescent="0.2">
      <c r="A305" s="8" t="s">
        <v>1</v>
      </c>
      <c r="B305" s="5"/>
      <c r="C305" s="75"/>
      <c r="D305" s="6"/>
      <c r="E305" s="6"/>
      <c r="F305" s="6"/>
      <c r="G305" s="6"/>
      <c r="H305" s="6"/>
      <c r="I305" s="6"/>
    </row>
    <row r="306" spans="1:9" x14ac:dyDescent="0.2">
      <c r="A306" s="8" t="s">
        <v>2</v>
      </c>
      <c r="B306" s="5"/>
      <c r="C306" s="75"/>
      <c r="D306" s="6"/>
      <c r="E306" s="6"/>
      <c r="F306" s="6"/>
      <c r="G306" s="6"/>
      <c r="H306" s="6"/>
      <c r="I306" s="6"/>
    </row>
    <row r="307" spans="1:9" x14ac:dyDescent="0.2">
      <c r="A307" s="8" t="s">
        <v>3</v>
      </c>
      <c r="B307" s="5"/>
      <c r="C307" s="75"/>
      <c r="D307" s="6"/>
      <c r="E307" s="6"/>
      <c r="F307" s="6"/>
      <c r="G307" s="6"/>
      <c r="H307" s="6"/>
      <c r="I307" s="6"/>
    </row>
    <row r="308" spans="1:9" x14ac:dyDescent="0.2">
      <c r="A308" s="8" t="s">
        <v>4</v>
      </c>
      <c r="B308" s="5"/>
      <c r="C308" s="75"/>
      <c r="D308" s="6"/>
      <c r="E308" s="6"/>
      <c r="F308" s="6"/>
      <c r="G308" s="6"/>
      <c r="H308" s="6"/>
      <c r="I308" s="6"/>
    </row>
    <row r="309" spans="1:9" x14ac:dyDescent="0.2">
      <c r="A309" s="8" t="s">
        <v>5</v>
      </c>
      <c r="B309" s="5"/>
      <c r="C309" s="75"/>
      <c r="D309" s="6"/>
      <c r="E309" s="6"/>
      <c r="F309" s="6"/>
      <c r="G309" s="6"/>
      <c r="H309" s="6"/>
      <c r="I309" s="6"/>
    </row>
    <row r="310" spans="1:9" x14ac:dyDescent="0.2">
      <c r="A310" s="8" t="s">
        <v>6</v>
      </c>
      <c r="B310" s="5"/>
      <c r="C310" s="74"/>
      <c r="D310" s="6"/>
      <c r="E310" s="6"/>
      <c r="F310" s="6"/>
      <c r="G310" s="6"/>
      <c r="H310" s="6"/>
      <c r="I310" s="6"/>
    </row>
    <row r="311" spans="1:9" x14ac:dyDescent="0.2">
      <c r="A311" s="8" t="s">
        <v>7</v>
      </c>
      <c r="B311" s="5"/>
      <c r="C311" s="74"/>
      <c r="D311" s="6"/>
      <c r="E311" s="6"/>
      <c r="F311" s="6"/>
      <c r="G311" s="6"/>
      <c r="H311" s="6"/>
      <c r="I311" s="6"/>
    </row>
    <row r="312" spans="1:9" x14ac:dyDescent="0.2">
      <c r="A312" s="8" t="s">
        <v>8</v>
      </c>
      <c r="B312" s="5"/>
      <c r="C312" s="74"/>
      <c r="D312" s="6"/>
      <c r="E312" s="6"/>
      <c r="F312" s="6"/>
      <c r="G312" s="6"/>
      <c r="H312" s="6"/>
      <c r="I312" s="6"/>
    </row>
    <row r="313" spans="1:9" x14ac:dyDescent="0.2">
      <c r="A313" s="8" t="s">
        <v>9</v>
      </c>
      <c r="B313" s="5"/>
      <c r="C313" s="74"/>
      <c r="D313" s="6"/>
      <c r="E313" s="6"/>
      <c r="F313" s="6"/>
      <c r="G313" s="6"/>
      <c r="H313" s="6"/>
      <c r="I313" s="6"/>
    </row>
    <row r="314" spans="1:9" x14ac:dyDescent="0.2">
      <c r="A314" s="312" t="s">
        <v>10</v>
      </c>
      <c r="B314" s="313"/>
      <c r="C314" s="313"/>
      <c r="D314" s="313"/>
      <c r="E314" s="314"/>
      <c r="F314" s="11">
        <f>SUM(F304:F313)</f>
        <v>0</v>
      </c>
      <c r="G314" s="11">
        <f>SUM(G304:G313)</f>
        <v>0</v>
      </c>
      <c r="H314" s="11">
        <f>SUM(H304:H313)</f>
        <v>0</v>
      </c>
      <c r="I314" s="11"/>
    </row>
    <row r="315" spans="1:9" x14ac:dyDescent="0.2">
      <c r="A315" s="8" t="s">
        <v>0</v>
      </c>
      <c r="B315" s="5">
        <f>B304+1</f>
        <v>46133</v>
      </c>
      <c r="C315" s="75"/>
      <c r="D315" s="6"/>
      <c r="E315" s="6"/>
      <c r="F315" s="6"/>
      <c r="G315" s="6"/>
      <c r="H315" s="6"/>
      <c r="I315" s="6"/>
    </row>
    <row r="316" spans="1:9" x14ac:dyDescent="0.2">
      <c r="A316" s="8" t="s">
        <v>1</v>
      </c>
      <c r="B316" s="5"/>
      <c r="C316" s="75"/>
      <c r="D316" s="6"/>
      <c r="E316" s="6"/>
      <c r="F316" s="6"/>
      <c r="G316" s="6"/>
      <c r="H316" s="6"/>
      <c r="I316" s="6"/>
    </row>
    <row r="317" spans="1:9" x14ac:dyDescent="0.2">
      <c r="A317" s="8" t="s">
        <v>2</v>
      </c>
      <c r="B317" s="5"/>
      <c r="C317" s="75"/>
      <c r="D317" s="6"/>
      <c r="E317" s="6"/>
      <c r="F317" s="6"/>
      <c r="G317" s="6"/>
      <c r="H317" s="6"/>
      <c r="I317" s="6"/>
    </row>
    <row r="318" spans="1:9" x14ac:dyDescent="0.2">
      <c r="A318" s="8" t="s">
        <v>3</v>
      </c>
      <c r="B318" s="5"/>
      <c r="C318" s="75"/>
      <c r="D318" s="6"/>
      <c r="E318" s="6"/>
      <c r="F318" s="6"/>
      <c r="G318" s="6"/>
      <c r="H318" s="6"/>
      <c r="I318" s="6"/>
    </row>
    <row r="319" spans="1:9" x14ac:dyDescent="0.2">
      <c r="A319" s="8" t="s">
        <v>4</v>
      </c>
      <c r="B319" s="5"/>
      <c r="C319" s="75"/>
      <c r="D319" s="6"/>
      <c r="E319" s="6"/>
      <c r="F319" s="6"/>
      <c r="G319" s="6"/>
      <c r="H319" s="6"/>
      <c r="I319" s="6"/>
    </row>
    <row r="320" spans="1:9" x14ac:dyDescent="0.2">
      <c r="A320" s="8" t="s">
        <v>5</v>
      </c>
      <c r="B320" s="5"/>
      <c r="C320" s="75"/>
      <c r="D320" s="6"/>
      <c r="E320" s="6"/>
      <c r="F320" s="6"/>
      <c r="G320" s="6"/>
      <c r="H320" s="6"/>
      <c r="I320" s="6"/>
    </row>
    <row r="321" spans="1:9" x14ac:dyDescent="0.2">
      <c r="A321" s="8" t="s">
        <v>6</v>
      </c>
      <c r="B321" s="5"/>
      <c r="C321" s="75"/>
      <c r="D321" s="6"/>
      <c r="E321" s="6"/>
      <c r="F321" s="6"/>
      <c r="G321" s="6"/>
      <c r="H321" s="6"/>
      <c r="I321" s="6"/>
    </row>
    <row r="322" spans="1:9" x14ac:dyDescent="0.2">
      <c r="A322" s="8" t="s">
        <v>7</v>
      </c>
      <c r="B322" s="5"/>
      <c r="C322" s="75"/>
      <c r="D322" s="6"/>
      <c r="E322" s="6"/>
      <c r="F322" s="6"/>
      <c r="G322" s="6"/>
      <c r="H322" s="6"/>
      <c r="I322" s="6"/>
    </row>
    <row r="323" spans="1:9" x14ac:dyDescent="0.2">
      <c r="A323" s="8" t="s">
        <v>8</v>
      </c>
      <c r="B323" s="5"/>
      <c r="C323" s="75"/>
      <c r="D323" s="6"/>
      <c r="E323" s="6"/>
      <c r="F323" s="6"/>
      <c r="G323" s="6"/>
      <c r="H323" s="6"/>
      <c r="I323" s="6"/>
    </row>
    <row r="324" spans="1:9" x14ac:dyDescent="0.2">
      <c r="A324" s="8" t="s">
        <v>9</v>
      </c>
      <c r="B324" s="5"/>
      <c r="C324" s="75"/>
      <c r="D324" s="6"/>
      <c r="E324" s="6"/>
      <c r="F324" s="6"/>
      <c r="G324" s="6"/>
      <c r="H324" s="6"/>
      <c r="I324" s="6"/>
    </row>
    <row r="325" spans="1:9" x14ac:dyDescent="0.2">
      <c r="A325" s="312" t="s">
        <v>10</v>
      </c>
      <c r="B325" s="313"/>
      <c r="C325" s="313"/>
      <c r="D325" s="313"/>
      <c r="E325" s="314"/>
      <c r="F325" s="11">
        <f>SUM(F315:F324)</f>
        <v>0</v>
      </c>
      <c r="G325" s="11">
        <f>SUM(G315:G324)</f>
        <v>0</v>
      </c>
      <c r="H325" s="11">
        <f>SUM(H315:H324)</f>
        <v>0</v>
      </c>
      <c r="I325" s="11"/>
    </row>
    <row r="326" spans="1:9" x14ac:dyDescent="0.2">
      <c r="A326" s="8" t="s">
        <v>0</v>
      </c>
      <c r="B326" s="5">
        <f>B315+1</f>
        <v>46134</v>
      </c>
      <c r="C326" s="74"/>
      <c r="D326" s="6"/>
      <c r="E326" s="6"/>
      <c r="F326" s="6"/>
      <c r="G326" s="6"/>
      <c r="H326" s="6"/>
      <c r="I326" s="6"/>
    </row>
    <row r="327" spans="1:9" x14ac:dyDescent="0.2">
      <c r="A327" s="8" t="s">
        <v>1</v>
      </c>
      <c r="B327" s="5"/>
      <c r="C327" s="74"/>
      <c r="D327" s="6"/>
      <c r="E327" s="6"/>
      <c r="F327" s="6"/>
      <c r="G327" s="6"/>
      <c r="H327" s="6"/>
      <c r="I327" s="6"/>
    </row>
    <row r="328" spans="1:9" x14ac:dyDescent="0.2">
      <c r="A328" s="8" t="s">
        <v>2</v>
      </c>
      <c r="B328" s="5"/>
      <c r="C328" s="74"/>
      <c r="D328" s="6"/>
      <c r="E328" s="6"/>
      <c r="F328" s="6"/>
      <c r="G328" s="6"/>
      <c r="H328" s="6"/>
      <c r="I328" s="6"/>
    </row>
    <row r="329" spans="1:9" x14ac:dyDescent="0.2">
      <c r="A329" s="8" t="s">
        <v>3</v>
      </c>
      <c r="B329" s="5"/>
      <c r="C329" s="74"/>
      <c r="D329" s="6"/>
      <c r="E329" s="6"/>
      <c r="F329" s="6"/>
      <c r="G329" s="6"/>
      <c r="H329" s="6"/>
      <c r="I329" s="6"/>
    </row>
    <row r="330" spans="1:9" x14ac:dyDescent="0.2">
      <c r="A330" s="8" t="s">
        <v>4</v>
      </c>
      <c r="B330" s="5"/>
      <c r="C330" s="74"/>
      <c r="D330" s="6"/>
      <c r="E330" s="6"/>
      <c r="F330" s="6"/>
      <c r="G330" s="6"/>
      <c r="H330" s="6"/>
      <c r="I330" s="6"/>
    </row>
    <row r="331" spans="1:9" x14ac:dyDescent="0.2">
      <c r="A331" s="8" t="s">
        <v>5</v>
      </c>
      <c r="B331" s="5"/>
      <c r="C331" s="74"/>
      <c r="D331" s="6"/>
      <c r="E331" s="6"/>
      <c r="F331" s="6"/>
      <c r="G331" s="6"/>
      <c r="H331" s="6"/>
      <c r="I331" s="6"/>
    </row>
    <row r="332" spans="1:9" x14ac:dyDescent="0.2">
      <c r="A332" s="8" t="s">
        <v>6</v>
      </c>
      <c r="B332" s="5"/>
      <c r="C332" s="74"/>
      <c r="D332" s="6"/>
      <c r="E332" s="6"/>
      <c r="F332" s="6"/>
      <c r="G332" s="6"/>
      <c r="H332" s="6"/>
      <c r="I332" s="6"/>
    </row>
    <row r="333" spans="1:9" x14ac:dyDescent="0.2">
      <c r="A333" s="8" t="s">
        <v>7</v>
      </c>
      <c r="B333" s="5"/>
      <c r="C333" s="74"/>
      <c r="D333" s="6"/>
      <c r="E333" s="6"/>
      <c r="F333" s="6"/>
      <c r="G333" s="6"/>
      <c r="H333" s="6"/>
      <c r="I333" s="6"/>
    </row>
    <row r="334" spans="1:9" x14ac:dyDescent="0.2">
      <c r="A334" s="8" t="s">
        <v>8</v>
      </c>
      <c r="B334" s="5"/>
      <c r="C334" s="74"/>
      <c r="D334" s="6"/>
      <c r="E334" s="6"/>
      <c r="F334" s="6"/>
      <c r="G334" s="6"/>
      <c r="H334" s="6"/>
      <c r="I334" s="6"/>
    </row>
    <row r="335" spans="1:9" x14ac:dyDescent="0.2">
      <c r="A335" s="8" t="s">
        <v>9</v>
      </c>
      <c r="B335" s="5"/>
      <c r="C335" s="74"/>
      <c r="D335" s="6"/>
      <c r="E335" s="6"/>
      <c r="F335" s="6"/>
      <c r="G335" s="6"/>
      <c r="H335" s="6"/>
      <c r="I335" s="6"/>
    </row>
    <row r="336" spans="1:9" x14ac:dyDescent="0.2">
      <c r="A336" s="312" t="s">
        <v>10</v>
      </c>
      <c r="B336" s="313"/>
      <c r="C336" s="313"/>
      <c r="D336" s="313"/>
      <c r="E336" s="314"/>
      <c r="F336" s="11">
        <f>SUM(F326:F335)</f>
        <v>0</v>
      </c>
      <c r="G336" s="11">
        <f>SUM(G326:G335)</f>
        <v>0</v>
      </c>
      <c r="H336" s="11">
        <f>SUM(H326:H335)</f>
        <v>0</v>
      </c>
      <c r="I336" s="11"/>
    </row>
    <row r="337" spans="1:9" s="25" customFormat="1" ht="18" x14ac:dyDescent="0.2">
      <c r="A337" s="315" t="s">
        <v>39</v>
      </c>
      <c r="B337" s="316"/>
      <c r="C337" s="316"/>
      <c r="D337" s="316"/>
      <c r="E337" s="317"/>
      <c r="F337" s="22">
        <f>F270+F281+F292+F303+F314+F325+F336+F253</f>
        <v>0</v>
      </c>
      <c r="G337" s="22">
        <f>G270+G281+G292+G303+G314+G325+G336+G253</f>
        <v>0</v>
      </c>
      <c r="H337" s="22">
        <f>H270+H281+H292+H303+H314+H325+H336+H253</f>
        <v>0</v>
      </c>
      <c r="I337" s="22"/>
    </row>
    <row r="338" spans="1:9" ht="21.95" customHeight="1" x14ac:dyDescent="0.2">
      <c r="A338" s="319" t="s">
        <v>14</v>
      </c>
      <c r="B338" s="319"/>
      <c r="C338" s="319"/>
      <c r="D338" s="319"/>
      <c r="E338" s="319"/>
      <c r="F338" s="319"/>
      <c r="G338" s="319"/>
      <c r="H338" s="319"/>
      <c r="I338" s="319"/>
    </row>
    <row r="339" spans="1:9" s="53" customFormat="1" ht="20.100000000000001" customHeight="1" x14ac:dyDescent="0.2">
      <c r="A339" s="323" t="s">
        <v>86</v>
      </c>
      <c r="B339" s="323"/>
      <c r="C339" s="323"/>
      <c r="D339" s="323"/>
      <c r="E339" s="323"/>
      <c r="F339" s="50" t="str">
        <f>F255</f>
        <v>เมษายน</v>
      </c>
      <c r="G339" s="50" t="s">
        <v>87</v>
      </c>
      <c r="H339" s="51">
        <f>H255</f>
        <v>2569</v>
      </c>
      <c r="I339" s="52"/>
    </row>
    <row r="340" spans="1:9" s="3" customFormat="1" ht="20.100000000000001" customHeight="1" x14ac:dyDescent="0.35">
      <c r="A340" s="318" t="s">
        <v>38</v>
      </c>
      <c r="B340" s="318"/>
      <c r="C340" s="318"/>
      <c r="D340" s="2"/>
      <c r="F340" s="4"/>
      <c r="G340" s="4"/>
      <c r="H340" s="4" t="s">
        <v>21</v>
      </c>
      <c r="I340" s="40">
        <f>I256+1</f>
        <v>5</v>
      </c>
    </row>
    <row r="341" spans="1:9" s="3" customFormat="1" ht="20.100000000000001" customHeight="1" x14ac:dyDescent="0.35">
      <c r="A341" s="311" t="s">
        <v>68</v>
      </c>
      <c r="B341" s="311"/>
      <c r="C341" s="311"/>
      <c r="D341" s="2"/>
      <c r="E341" s="39" t="s">
        <v>81</v>
      </c>
      <c r="F341" s="308">
        <f>F257</f>
        <v>46107</v>
      </c>
      <c r="G341" s="308"/>
      <c r="H341" s="39" t="s">
        <v>82</v>
      </c>
      <c r="I341" s="34">
        <f>I257</f>
        <v>46136</v>
      </c>
    </row>
    <row r="342" spans="1:9" x14ac:dyDescent="0.2">
      <c r="A342" s="12" t="s">
        <v>23</v>
      </c>
      <c r="B342" s="13" t="s">
        <v>11</v>
      </c>
      <c r="C342" s="72" t="s">
        <v>26</v>
      </c>
      <c r="D342" s="12" t="s">
        <v>16</v>
      </c>
      <c r="E342" s="12" t="s">
        <v>17</v>
      </c>
      <c r="F342" s="310" t="s">
        <v>18</v>
      </c>
      <c r="G342" s="310"/>
      <c r="H342" s="310"/>
      <c r="I342" s="12" t="s">
        <v>19</v>
      </c>
    </row>
    <row r="343" spans="1:9" x14ac:dyDescent="0.2">
      <c r="A343" s="15"/>
      <c r="B343" s="16"/>
      <c r="C343" s="73"/>
      <c r="D343" s="15"/>
      <c r="E343" s="15"/>
      <c r="F343" s="21" t="s">
        <v>113</v>
      </c>
      <c r="G343" s="21" t="s">
        <v>114</v>
      </c>
      <c r="H343" s="21" t="s">
        <v>20</v>
      </c>
      <c r="I343" s="15"/>
    </row>
    <row r="344" spans="1:9" x14ac:dyDescent="0.2">
      <c r="A344" s="8" t="s">
        <v>0</v>
      </c>
      <c r="B344" s="5">
        <f>B326+1</f>
        <v>46135</v>
      </c>
      <c r="C344" s="74"/>
      <c r="D344" s="6"/>
      <c r="E344" s="6"/>
      <c r="F344" s="6"/>
      <c r="G344" s="6"/>
      <c r="H344" s="6"/>
      <c r="I344" s="6"/>
    </row>
    <row r="345" spans="1:9" x14ac:dyDescent="0.2">
      <c r="A345" s="8" t="s">
        <v>1</v>
      </c>
      <c r="B345" s="5"/>
      <c r="C345" s="74"/>
      <c r="D345" s="6"/>
      <c r="E345" s="6"/>
      <c r="F345" s="6"/>
      <c r="G345" s="6"/>
      <c r="H345" s="6"/>
      <c r="I345" s="6"/>
    </row>
    <row r="346" spans="1:9" x14ac:dyDescent="0.2">
      <c r="A346" s="8" t="s">
        <v>2</v>
      </c>
      <c r="B346" s="5"/>
      <c r="C346" s="74"/>
      <c r="D346" s="6"/>
      <c r="E346" s="6"/>
      <c r="F346" s="6"/>
      <c r="G346" s="6"/>
      <c r="H346" s="6"/>
      <c r="I346" s="6"/>
    </row>
    <row r="347" spans="1:9" x14ac:dyDescent="0.2">
      <c r="A347" s="8" t="s">
        <v>3</v>
      </c>
      <c r="B347" s="5"/>
      <c r="C347" s="74"/>
      <c r="D347" s="6"/>
      <c r="E347" s="6"/>
      <c r="F347" s="6"/>
      <c r="G347" s="6"/>
      <c r="H347" s="6"/>
      <c r="I347" s="6"/>
    </row>
    <row r="348" spans="1:9" x14ac:dyDescent="0.2">
      <c r="A348" s="8" t="s">
        <v>4</v>
      </c>
      <c r="B348" s="5"/>
      <c r="C348" s="74"/>
      <c r="D348" s="6"/>
      <c r="E348" s="6"/>
      <c r="F348" s="6"/>
      <c r="G348" s="6"/>
      <c r="H348" s="6"/>
      <c r="I348" s="6"/>
    </row>
    <row r="349" spans="1:9" x14ac:dyDescent="0.2">
      <c r="A349" s="8" t="s">
        <v>5</v>
      </c>
      <c r="B349" s="5"/>
      <c r="C349" s="74"/>
      <c r="D349" s="6"/>
      <c r="E349" s="6"/>
      <c r="F349" s="6"/>
      <c r="G349" s="6"/>
      <c r="H349" s="6"/>
      <c r="I349" s="6"/>
    </row>
    <row r="350" spans="1:9" x14ac:dyDescent="0.2">
      <c r="A350" s="8" t="s">
        <v>6</v>
      </c>
      <c r="B350" s="5"/>
      <c r="C350" s="74"/>
      <c r="D350" s="6"/>
      <c r="E350" s="6"/>
      <c r="F350" s="6"/>
      <c r="G350" s="6"/>
      <c r="H350" s="6"/>
      <c r="I350" s="6"/>
    </row>
    <row r="351" spans="1:9" x14ac:dyDescent="0.2">
      <c r="A351" s="8" t="s">
        <v>7</v>
      </c>
      <c r="B351" s="5"/>
      <c r="C351" s="74"/>
      <c r="D351" s="6"/>
      <c r="E351" s="6"/>
      <c r="F351" s="6"/>
      <c r="G351" s="6"/>
      <c r="H351" s="6"/>
      <c r="I351" s="6"/>
    </row>
    <row r="352" spans="1:9" x14ac:dyDescent="0.2">
      <c r="A352" s="8" t="s">
        <v>8</v>
      </c>
      <c r="B352" s="5"/>
      <c r="C352" s="74"/>
      <c r="D352" s="6"/>
      <c r="E352" s="6"/>
      <c r="F352" s="6"/>
      <c r="G352" s="6"/>
      <c r="H352" s="6"/>
      <c r="I352" s="6"/>
    </row>
    <row r="353" spans="1:9" x14ac:dyDescent="0.2">
      <c r="A353" s="8" t="s">
        <v>9</v>
      </c>
      <c r="B353" s="5"/>
      <c r="C353" s="74"/>
      <c r="D353" s="6"/>
      <c r="E353" s="6"/>
      <c r="F353" s="6"/>
      <c r="G353" s="6"/>
      <c r="H353" s="6"/>
      <c r="I353" s="6"/>
    </row>
    <row r="354" spans="1:9" x14ac:dyDescent="0.2">
      <c r="A354" s="312" t="s">
        <v>10</v>
      </c>
      <c r="B354" s="313"/>
      <c r="C354" s="313"/>
      <c r="D354" s="313"/>
      <c r="E354" s="314"/>
      <c r="F354" s="11">
        <f>SUM(F344:F353)</f>
        <v>0</v>
      </c>
      <c r="G354" s="11">
        <f>SUM(G344:G353)</f>
        <v>0</v>
      </c>
      <c r="H354" s="11">
        <f>SUM(H344:H353)</f>
        <v>0</v>
      </c>
      <c r="I354" s="11"/>
    </row>
    <row r="355" spans="1:9" x14ac:dyDescent="0.2">
      <c r="A355" s="8" t="s">
        <v>0</v>
      </c>
      <c r="B355" s="5">
        <f>B344+1</f>
        <v>46136</v>
      </c>
      <c r="C355" s="74"/>
      <c r="D355" s="6"/>
      <c r="E355" s="6"/>
      <c r="F355" s="6"/>
      <c r="G355" s="6"/>
      <c r="H355" s="6"/>
      <c r="I355" s="6"/>
    </row>
    <row r="356" spans="1:9" x14ac:dyDescent="0.2">
      <c r="A356" s="8" t="s">
        <v>1</v>
      </c>
      <c r="B356" s="5"/>
      <c r="C356" s="74"/>
      <c r="D356" s="6"/>
      <c r="E356" s="6"/>
      <c r="F356" s="6"/>
      <c r="G356" s="6"/>
      <c r="H356" s="6"/>
      <c r="I356" s="6"/>
    </row>
    <row r="357" spans="1:9" x14ac:dyDescent="0.2">
      <c r="A357" s="8" t="s">
        <v>2</v>
      </c>
      <c r="B357" s="5"/>
      <c r="C357" s="74"/>
      <c r="D357" s="6"/>
      <c r="E357" s="6"/>
      <c r="F357" s="6"/>
      <c r="G357" s="6"/>
      <c r="H357" s="6"/>
      <c r="I357" s="6"/>
    </row>
    <row r="358" spans="1:9" x14ac:dyDescent="0.2">
      <c r="A358" s="8" t="s">
        <v>3</v>
      </c>
      <c r="B358" s="5"/>
      <c r="C358" s="74"/>
      <c r="D358" s="6"/>
      <c r="E358" s="6"/>
      <c r="F358" s="6"/>
      <c r="G358" s="6"/>
      <c r="H358" s="6"/>
      <c r="I358" s="6"/>
    </row>
    <row r="359" spans="1:9" x14ac:dyDescent="0.2">
      <c r="A359" s="8" t="s">
        <v>4</v>
      </c>
      <c r="B359" s="5"/>
      <c r="C359" s="74"/>
      <c r="D359" s="6"/>
      <c r="E359" s="6"/>
      <c r="F359" s="6"/>
      <c r="G359" s="6"/>
      <c r="H359" s="6"/>
      <c r="I359" s="6"/>
    </row>
    <row r="360" spans="1:9" x14ac:dyDescent="0.2">
      <c r="A360" s="8" t="s">
        <v>5</v>
      </c>
      <c r="B360" s="5"/>
      <c r="C360" s="74"/>
      <c r="D360" s="6"/>
      <c r="E360" s="6"/>
      <c r="F360" s="6"/>
      <c r="G360" s="6"/>
      <c r="H360" s="6"/>
      <c r="I360" s="6"/>
    </row>
    <row r="361" spans="1:9" x14ac:dyDescent="0.2">
      <c r="A361" s="8" t="s">
        <v>6</v>
      </c>
      <c r="B361" s="5"/>
      <c r="C361" s="74"/>
      <c r="D361" s="6"/>
      <c r="E361" s="6"/>
      <c r="F361" s="6"/>
      <c r="G361" s="6"/>
      <c r="H361" s="6"/>
      <c r="I361" s="6"/>
    </row>
    <row r="362" spans="1:9" x14ac:dyDescent="0.2">
      <c r="A362" s="8" t="s">
        <v>7</v>
      </c>
      <c r="B362" s="5"/>
      <c r="C362" s="74"/>
      <c r="D362" s="6"/>
      <c r="E362" s="6"/>
      <c r="F362" s="6"/>
      <c r="G362" s="6"/>
      <c r="H362" s="6"/>
      <c r="I362" s="6"/>
    </row>
    <row r="363" spans="1:9" x14ac:dyDescent="0.2">
      <c r="A363" s="8" t="s">
        <v>8</v>
      </c>
      <c r="B363" s="5"/>
      <c r="C363" s="74"/>
      <c r="D363" s="6"/>
      <c r="E363" s="6"/>
      <c r="F363" s="6"/>
      <c r="G363" s="6"/>
      <c r="H363" s="6"/>
      <c r="I363" s="6"/>
    </row>
    <row r="364" spans="1:9" x14ac:dyDescent="0.2">
      <c r="A364" s="8" t="s">
        <v>9</v>
      </c>
      <c r="B364" s="5"/>
      <c r="C364" s="74"/>
      <c r="D364" s="6"/>
      <c r="E364" s="6"/>
      <c r="F364" s="6"/>
      <c r="G364" s="6"/>
      <c r="H364" s="6"/>
      <c r="I364" s="6"/>
    </row>
    <row r="365" spans="1:9" x14ac:dyDescent="0.2">
      <c r="A365" s="312" t="s">
        <v>10</v>
      </c>
      <c r="B365" s="313"/>
      <c r="C365" s="313"/>
      <c r="D365" s="313"/>
      <c r="E365" s="314"/>
      <c r="F365" s="11">
        <f>SUM(F355:F364)</f>
        <v>0</v>
      </c>
      <c r="G365" s="11">
        <f>SUM(G355:G364)</f>
        <v>0</v>
      </c>
      <c r="H365" s="11">
        <f>SUM(H355:H364)</f>
        <v>0</v>
      </c>
      <c r="I365" s="11"/>
    </row>
    <row r="366" spans="1:9" x14ac:dyDescent="0.2">
      <c r="A366" s="8" t="s">
        <v>0</v>
      </c>
      <c r="B366" s="5">
        <f>B355+1</f>
        <v>46137</v>
      </c>
      <c r="C366" s="74"/>
      <c r="D366" s="6"/>
      <c r="E366" s="6"/>
      <c r="F366" s="6"/>
      <c r="G366" s="6"/>
      <c r="H366" s="6"/>
      <c r="I366" s="6"/>
    </row>
    <row r="367" spans="1:9" x14ac:dyDescent="0.2">
      <c r="A367" s="8" t="s">
        <v>1</v>
      </c>
      <c r="B367" s="5"/>
      <c r="C367" s="74"/>
      <c r="D367" s="6"/>
      <c r="E367" s="6"/>
      <c r="F367" s="6"/>
      <c r="G367" s="6"/>
      <c r="H367" s="6"/>
      <c r="I367" s="6"/>
    </row>
    <row r="368" spans="1:9" x14ac:dyDescent="0.2">
      <c r="A368" s="8" t="s">
        <v>2</v>
      </c>
      <c r="B368" s="5"/>
      <c r="C368" s="74"/>
      <c r="D368" s="6"/>
      <c r="E368" s="6"/>
      <c r="F368" s="6"/>
      <c r="G368" s="6"/>
      <c r="H368" s="6"/>
      <c r="I368" s="6"/>
    </row>
    <row r="369" spans="1:9" x14ac:dyDescent="0.2">
      <c r="A369" s="8" t="s">
        <v>3</v>
      </c>
      <c r="B369" s="5"/>
      <c r="C369" s="74"/>
      <c r="D369" s="6"/>
      <c r="E369" s="6"/>
      <c r="F369" s="6"/>
      <c r="G369" s="6"/>
      <c r="H369" s="6"/>
      <c r="I369" s="6"/>
    </row>
    <row r="370" spans="1:9" x14ac:dyDescent="0.2">
      <c r="A370" s="8" t="s">
        <v>4</v>
      </c>
      <c r="B370" s="5"/>
      <c r="C370" s="74"/>
      <c r="D370" s="6"/>
      <c r="E370" s="6"/>
      <c r="F370" s="6"/>
      <c r="G370" s="6"/>
      <c r="H370" s="6"/>
      <c r="I370" s="6"/>
    </row>
    <row r="371" spans="1:9" x14ac:dyDescent="0.2">
      <c r="A371" s="8" t="s">
        <v>5</v>
      </c>
      <c r="B371" s="5"/>
      <c r="C371" s="74"/>
      <c r="D371" s="6"/>
      <c r="E371" s="6"/>
      <c r="F371" s="6"/>
      <c r="G371" s="6"/>
      <c r="H371" s="6"/>
      <c r="I371" s="6"/>
    </row>
    <row r="372" spans="1:9" x14ac:dyDescent="0.2">
      <c r="A372" s="8" t="s">
        <v>6</v>
      </c>
      <c r="B372" s="5"/>
      <c r="C372" s="74"/>
      <c r="D372" s="6"/>
      <c r="E372" s="6"/>
      <c r="F372" s="6"/>
      <c r="G372" s="6"/>
      <c r="H372" s="6"/>
      <c r="I372" s="6"/>
    </row>
    <row r="373" spans="1:9" x14ac:dyDescent="0.2">
      <c r="A373" s="8" t="s">
        <v>7</v>
      </c>
      <c r="B373" s="5"/>
      <c r="C373" s="74"/>
      <c r="D373" s="6"/>
      <c r="E373" s="6"/>
      <c r="F373" s="6"/>
      <c r="G373" s="6"/>
      <c r="H373" s="6"/>
      <c r="I373" s="6"/>
    </row>
    <row r="374" spans="1:9" x14ac:dyDescent="0.2">
      <c r="A374" s="8" t="s">
        <v>8</v>
      </c>
      <c r="B374" s="5"/>
      <c r="C374" s="74"/>
      <c r="D374" s="6"/>
      <c r="E374" s="6"/>
      <c r="F374" s="6"/>
      <c r="G374" s="6"/>
      <c r="H374" s="6"/>
      <c r="I374" s="6"/>
    </row>
    <row r="375" spans="1:9" x14ac:dyDescent="0.2">
      <c r="A375" s="8" t="s">
        <v>9</v>
      </c>
      <c r="B375" s="5"/>
      <c r="C375" s="74"/>
      <c r="D375" s="6"/>
      <c r="E375" s="6"/>
      <c r="F375" s="6"/>
      <c r="G375" s="6"/>
      <c r="H375" s="6"/>
      <c r="I375" s="6"/>
    </row>
    <row r="376" spans="1:9" x14ac:dyDescent="0.2">
      <c r="A376" s="312" t="s">
        <v>10</v>
      </c>
      <c r="B376" s="313"/>
      <c r="C376" s="313"/>
      <c r="D376" s="313"/>
      <c r="E376" s="314"/>
      <c r="F376" s="11">
        <f>SUM(F366:F375)</f>
        <v>0</v>
      </c>
      <c r="G376" s="11">
        <f>SUM(G366:G375)</f>
        <v>0</v>
      </c>
      <c r="H376" s="11">
        <f>SUM(H366:H375)</f>
        <v>0</v>
      </c>
      <c r="I376" s="11"/>
    </row>
    <row r="377" spans="1:9" x14ac:dyDescent="0.2">
      <c r="A377" s="8" t="s">
        <v>0</v>
      </c>
      <c r="B377" s="5">
        <f>B366+1</f>
        <v>46138</v>
      </c>
      <c r="C377" s="75"/>
      <c r="D377" s="6"/>
      <c r="E377" s="6"/>
      <c r="F377" s="6"/>
      <c r="G377" s="6"/>
      <c r="H377" s="6"/>
      <c r="I377" s="6"/>
    </row>
    <row r="378" spans="1:9" x14ac:dyDescent="0.2">
      <c r="A378" s="8" t="s">
        <v>1</v>
      </c>
      <c r="B378" s="5"/>
      <c r="C378" s="75"/>
      <c r="D378" s="6"/>
      <c r="E378" s="6"/>
      <c r="F378" s="6"/>
      <c r="G378" s="6"/>
      <c r="H378" s="6"/>
      <c r="I378" s="6"/>
    </row>
    <row r="379" spans="1:9" x14ac:dyDescent="0.2">
      <c r="A379" s="8" t="s">
        <v>2</v>
      </c>
      <c r="B379" s="5"/>
      <c r="C379" s="75"/>
      <c r="D379" s="6"/>
      <c r="E379" s="6"/>
      <c r="F379" s="6"/>
      <c r="G379" s="6"/>
      <c r="H379" s="6"/>
      <c r="I379" s="6"/>
    </row>
    <row r="380" spans="1:9" x14ac:dyDescent="0.2">
      <c r="A380" s="8" t="s">
        <v>3</v>
      </c>
      <c r="B380" s="5"/>
      <c r="C380" s="75"/>
      <c r="D380" s="6"/>
      <c r="E380" s="6"/>
      <c r="F380" s="6"/>
      <c r="G380" s="6"/>
      <c r="H380" s="6"/>
      <c r="I380" s="6"/>
    </row>
    <row r="381" spans="1:9" x14ac:dyDescent="0.2">
      <c r="A381" s="8" t="s">
        <v>4</v>
      </c>
      <c r="B381" s="5"/>
      <c r="C381" s="75"/>
      <c r="D381" s="6"/>
      <c r="E381" s="6"/>
      <c r="F381" s="6"/>
      <c r="G381" s="6"/>
      <c r="H381" s="6"/>
      <c r="I381" s="6"/>
    </row>
    <row r="382" spans="1:9" x14ac:dyDescent="0.2">
      <c r="A382" s="8" t="s">
        <v>5</v>
      </c>
      <c r="B382" s="5"/>
      <c r="C382" s="75"/>
      <c r="D382" s="6"/>
      <c r="E382" s="6"/>
      <c r="F382" s="6"/>
      <c r="G382" s="6"/>
      <c r="H382" s="6"/>
      <c r="I382" s="6"/>
    </row>
    <row r="383" spans="1:9" x14ac:dyDescent="0.2">
      <c r="A383" s="8" t="s">
        <v>6</v>
      </c>
      <c r="B383" s="5"/>
      <c r="C383" s="75"/>
      <c r="D383" s="6"/>
      <c r="E383" s="6"/>
      <c r="F383" s="6"/>
      <c r="G383" s="6"/>
      <c r="H383" s="6"/>
      <c r="I383" s="6"/>
    </row>
    <row r="384" spans="1:9" x14ac:dyDescent="0.2">
      <c r="A384" s="8" t="s">
        <v>7</v>
      </c>
      <c r="B384" s="5"/>
      <c r="C384" s="74"/>
      <c r="D384" s="6"/>
      <c r="E384" s="6"/>
      <c r="F384" s="6"/>
      <c r="G384" s="6"/>
      <c r="H384" s="6"/>
      <c r="I384" s="6"/>
    </row>
    <row r="385" spans="1:9" x14ac:dyDescent="0.2">
      <c r="A385" s="8" t="s">
        <v>8</v>
      </c>
      <c r="B385" s="5"/>
      <c r="C385" s="74"/>
      <c r="D385" s="6"/>
      <c r="E385" s="6"/>
      <c r="F385" s="6"/>
      <c r="G385" s="6"/>
      <c r="H385" s="6"/>
      <c r="I385" s="6"/>
    </row>
    <row r="386" spans="1:9" x14ac:dyDescent="0.2">
      <c r="A386" s="8" t="s">
        <v>9</v>
      </c>
      <c r="B386" s="5"/>
      <c r="C386" s="74"/>
      <c r="D386" s="6"/>
      <c r="E386" s="6"/>
      <c r="F386" s="6"/>
      <c r="G386" s="6"/>
      <c r="H386" s="6"/>
      <c r="I386" s="6"/>
    </row>
    <row r="387" spans="1:9" x14ac:dyDescent="0.2">
      <c r="A387" s="312" t="s">
        <v>10</v>
      </c>
      <c r="B387" s="313"/>
      <c r="C387" s="313"/>
      <c r="D387" s="313"/>
      <c r="E387" s="314"/>
      <c r="F387" s="11">
        <f>SUM(F377:F386)</f>
        <v>0</v>
      </c>
      <c r="G387" s="11">
        <f>SUM(G377:G386)</f>
        <v>0</v>
      </c>
      <c r="H387" s="11">
        <f>SUM(H377:H386)</f>
        <v>0</v>
      </c>
      <c r="I387" s="11"/>
    </row>
    <row r="388" spans="1:9" x14ac:dyDescent="0.2">
      <c r="A388" s="8" t="s">
        <v>0</v>
      </c>
      <c r="B388" s="5">
        <f>B377+1</f>
        <v>46139</v>
      </c>
      <c r="C388" s="75"/>
      <c r="D388" s="6"/>
      <c r="E388" s="6"/>
      <c r="F388" s="6"/>
      <c r="G388" s="6"/>
      <c r="H388" s="6"/>
      <c r="I388" s="6"/>
    </row>
    <row r="389" spans="1:9" x14ac:dyDescent="0.2">
      <c r="A389" s="8" t="s">
        <v>1</v>
      </c>
      <c r="B389" s="5"/>
      <c r="C389" s="75"/>
      <c r="D389" s="6"/>
      <c r="E389" s="6"/>
      <c r="F389" s="6"/>
      <c r="G389" s="6"/>
      <c r="H389" s="6"/>
      <c r="I389" s="6"/>
    </row>
    <row r="390" spans="1:9" x14ac:dyDescent="0.2">
      <c r="A390" s="8" t="s">
        <v>2</v>
      </c>
      <c r="B390" s="5"/>
      <c r="C390" s="75"/>
      <c r="D390" s="6"/>
      <c r="E390" s="6"/>
      <c r="F390" s="6"/>
      <c r="G390" s="6"/>
      <c r="H390" s="6"/>
      <c r="I390" s="6"/>
    </row>
    <row r="391" spans="1:9" x14ac:dyDescent="0.2">
      <c r="A391" s="8" t="s">
        <v>3</v>
      </c>
      <c r="B391" s="5"/>
      <c r="C391" s="75"/>
      <c r="D391" s="6"/>
      <c r="E391" s="6"/>
      <c r="F391" s="6"/>
      <c r="G391" s="6"/>
      <c r="H391" s="6"/>
      <c r="I391" s="6"/>
    </row>
    <row r="392" spans="1:9" x14ac:dyDescent="0.2">
      <c r="A392" s="8" t="s">
        <v>4</v>
      </c>
      <c r="B392" s="5"/>
      <c r="C392" s="75"/>
      <c r="D392" s="6"/>
      <c r="E392" s="6"/>
      <c r="F392" s="6"/>
      <c r="G392" s="6"/>
      <c r="H392" s="6"/>
      <c r="I392" s="6"/>
    </row>
    <row r="393" spans="1:9" x14ac:dyDescent="0.2">
      <c r="A393" s="8" t="s">
        <v>5</v>
      </c>
      <c r="B393" s="5"/>
      <c r="C393" s="75"/>
      <c r="D393" s="6"/>
      <c r="E393" s="6"/>
      <c r="F393" s="6"/>
      <c r="G393" s="6"/>
      <c r="H393" s="6"/>
      <c r="I393" s="6"/>
    </row>
    <row r="394" spans="1:9" x14ac:dyDescent="0.2">
      <c r="A394" s="8" t="s">
        <v>6</v>
      </c>
      <c r="B394" s="5"/>
      <c r="C394" s="74"/>
      <c r="D394" s="6"/>
      <c r="E394" s="6"/>
      <c r="F394" s="6"/>
      <c r="G394" s="6"/>
      <c r="H394" s="6"/>
      <c r="I394" s="6"/>
    </row>
    <row r="395" spans="1:9" x14ac:dyDescent="0.2">
      <c r="A395" s="8" t="s">
        <v>7</v>
      </c>
      <c r="B395" s="5"/>
      <c r="C395" s="74"/>
      <c r="D395" s="6"/>
      <c r="E395" s="6"/>
      <c r="F395" s="6"/>
      <c r="G395" s="6"/>
      <c r="H395" s="6"/>
      <c r="I395" s="6"/>
    </row>
    <row r="396" spans="1:9" x14ac:dyDescent="0.2">
      <c r="A396" s="8" t="s">
        <v>8</v>
      </c>
      <c r="B396" s="5"/>
      <c r="C396" s="74"/>
      <c r="D396" s="6"/>
      <c r="E396" s="6"/>
      <c r="F396" s="6"/>
      <c r="G396" s="6"/>
      <c r="H396" s="6"/>
      <c r="I396" s="6"/>
    </row>
    <row r="397" spans="1:9" x14ac:dyDescent="0.2">
      <c r="A397" s="8" t="s">
        <v>9</v>
      </c>
      <c r="B397" s="5"/>
      <c r="C397" s="74"/>
      <c r="D397" s="6"/>
      <c r="E397" s="6"/>
      <c r="F397" s="6"/>
      <c r="G397" s="6"/>
      <c r="H397" s="6"/>
      <c r="I397" s="6"/>
    </row>
    <row r="398" spans="1:9" x14ac:dyDescent="0.2">
      <c r="A398" s="312" t="s">
        <v>10</v>
      </c>
      <c r="B398" s="313"/>
      <c r="C398" s="313"/>
      <c r="D398" s="313"/>
      <c r="E398" s="314"/>
      <c r="F398" s="11">
        <f>SUM(F388:F397)</f>
        <v>0</v>
      </c>
      <c r="G398" s="11">
        <f>SUM(G388:G397)</f>
        <v>0</v>
      </c>
      <c r="H398" s="11">
        <f>SUM(H388:H397)</f>
        <v>0</v>
      </c>
      <c r="I398" s="11"/>
    </row>
    <row r="399" spans="1:9" x14ac:dyDescent="0.2">
      <c r="A399" s="8" t="s">
        <v>0</v>
      </c>
      <c r="B399" s="5">
        <f>B388+1</f>
        <v>46140</v>
      </c>
      <c r="C399" s="75"/>
      <c r="D399" s="6"/>
      <c r="E399" s="6"/>
      <c r="F399" s="6"/>
      <c r="G399" s="6"/>
      <c r="H399" s="6"/>
      <c r="I399" s="6"/>
    </row>
    <row r="400" spans="1:9" x14ac:dyDescent="0.2">
      <c r="A400" s="8" t="s">
        <v>1</v>
      </c>
      <c r="B400" s="5"/>
      <c r="C400" s="75"/>
      <c r="D400" s="6"/>
      <c r="E400" s="6"/>
      <c r="F400" s="6"/>
      <c r="G400" s="6"/>
      <c r="H400" s="6"/>
      <c r="I400" s="6"/>
    </row>
    <row r="401" spans="1:9" x14ac:dyDescent="0.2">
      <c r="A401" s="8" t="s">
        <v>2</v>
      </c>
      <c r="B401" s="5"/>
      <c r="C401" s="75"/>
      <c r="D401" s="6"/>
      <c r="E401" s="6"/>
      <c r="F401" s="6"/>
      <c r="G401" s="6"/>
      <c r="H401" s="6"/>
      <c r="I401" s="6"/>
    </row>
    <row r="402" spans="1:9" x14ac:dyDescent="0.2">
      <c r="A402" s="8" t="s">
        <v>3</v>
      </c>
      <c r="B402" s="5"/>
      <c r="C402" s="75"/>
      <c r="D402" s="6"/>
      <c r="E402" s="6"/>
      <c r="F402" s="6"/>
      <c r="G402" s="6"/>
      <c r="H402" s="6"/>
      <c r="I402" s="6"/>
    </row>
    <row r="403" spans="1:9" x14ac:dyDescent="0.2">
      <c r="A403" s="8" t="s">
        <v>4</v>
      </c>
      <c r="B403" s="5"/>
      <c r="C403" s="75"/>
      <c r="D403" s="6"/>
      <c r="E403" s="6"/>
      <c r="F403" s="6"/>
      <c r="G403" s="6"/>
      <c r="H403" s="6"/>
      <c r="I403" s="6"/>
    </row>
    <row r="404" spans="1:9" x14ac:dyDescent="0.2">
      <c r="A404" s="8" t="s">
        <v>5</v>
      </c>
      <c r="B404" s="5"/>
      <c r="C404" s="75"/>
      <c r="D404" s="6"/>
      <c r="E404" s="6"/>
      <c r="F404" s="6"/>
      <c r="G404" s="6"/>
      <c r="H404" s="6"/>
      <c r="I404" s="6"/>
    </row>
    <row r="405" spans="1:9" x14ac:dyDescent="0.2">
      <c r="A405" s="8" t="s">
        <v>6</v>
      </c>
      <c r="B405" s="5"/>
      <c r="C405" s="75"/>
      <c r="D405" s="6"/>
      <c r="E405" s="6"/>
      <c r="F405" s="6"/>
      <c r="G405" s="6"/>
      <c r="H405" s="6"/>
      <c r="I405" s="6"/>
    </row>
    <row r="406" spans="1:9" x14ac:dyDescent="0.2">
      <c r="A406" s="8" t="s">
        <v>7</v>
      </c>
      <c r="B406" s="5"/>
      <c r="C406" s="75"/>
      <c r="D406" s="6"/>
      <c r="E406" s="6"/>
      <c r="F406" s="6"/>
      <c r="G406" s="6"/>
      <c r="H406" s="6"/>
      <c r="I406" s="6"/>
    </row>
    <row r="407" spans="1:9" x14ac:dyDescent="0.2">
      <c r="A407" s="8" t="s">
        <v>8</v>
      </c>
      <c r="B407" s="5"/>
      <c r="C407" s="75"/>
      <c r="D407" s="6"/>
      <c r="E407" s="6"/>
      <c r="F407" s="6"/>
      <c r="G407" s="6"/>
      <c r="H407" s="6"/>
      <c r="I407" s="6"/>
    </row>
    <row r="408" spans="1:9" x14ac:dyDescent="0.2">
      <c r="A408" s="8" t="s">
        <v>9</v>
      </c>
      <c r="B408" s="5"/>
      <c r="C408" s="75"/>
      <c r="D408" s="6"/>
      <c r="E408" s="6"/>
      <c r="F408" s="6"/>
      <c r="G408" s="6"/>
      <c r="H408" s="6"/>
      <c r="I408" s="6"/>
    </row>
    <row r="409" spans="1:9" x14ac:dyDescent="0.2">
      <c r="A409" s="312" t="s">
        <v>10</v>
      </c>
      <c r="B409" s="313"/>
      <c r="C409" s="313"/>
      <c r="D409" s="313"/>
      <c r="E409" s="314"/>
      <c r="F409" s="11">
        <f>SUM(F399:F408)</f>
        <v>0</v>
      </c>
      <c r="G409" s="11">
        <f>SUM(G399:G408)</f>
        <v>0</v>
      </c>
      <c r="H409" s="11">
        <f>SUM(H399:H408)</f>
        <v>0</v>
      </c>
      <c r="I409" s="11"/>
    </row>
    <row r="410" spans="1:9" x14ac:dyDescent="0.2">
      <c r="A410" s="8" t="s">
        <v>0</v>
      </c>
      <c r="B410" s="5">
        <f>B399+1</f>
        <v>46141</v>
      </c>
      <c r="C410" s="74"/>
      <c r="D410" s="6"/>
      <c r="E410" s="6"/>
      <c r="F410" s="6"/>
      <c r="G410" s="6"/>
      <c r="H410" s="6"/>
      <c r="I410" s="6"/>
    </row>
    <row r="411" spans="1:9" x14ac:dyDescent="0.2">
      <c r="A411" s="8" t="s">
        <v>1</v>
      </c>
      <c r="B411" s="5"/>
      <c r="C411" s="74"/>
      <c r="D411" s="6"/>
      <c r="E411" s="6"/>
      <c r="F411" s="6"/>
      <c r="G411" s="6"/>
      <c r="H411" s="6"/>
      <c r="I411" s="6"/>
    </row>
    <row r="412" spans="1:9" x14ac:dyDescent="0.2">
      <c r="A412" s="8" t="s">
        <v>2</v>
      </c>
      <c r="B412" s="5"/>
      <c r="C412" s="74"/>
      <c r="D412" s="6"/>
      <c r="E412" s="6"/>
      <c r="F412" s="6"/>
      <c r="G412" s="6"/>
      <c r="H412" s="6"/>
      <c r="I412" s="6"/>
    </row>
    <row r="413" spans="1:9" x14ac:dyDescent="0.2">
      <c r="A413" s="8" t="s">
        <v>3</v>
      </c>
      <c r="B413" s="5"/>
      <c r="C413" s="74"/>
      <c r="D413" s="6"/>
      <c r="E413" s="6"/>
      <c r="F413" s="6"/>
      <c r="G413" s="6"/>
      <c r="H413" s="6"/>
      <c r="I413" s="6"/>
    </row>
    <row r="414" spans="1:9" x14ac:dyDescent="0.2">
      <c r="A414" s="8" t="s">
        <v>4</v>
      </c>
      <c r="B414" s="5"/>
      <c r="C414" s="74"/>
      <c r="D414" s="6"/>
      <c r="E414" s="6"/>
      <c r="F414" s="6"/>
      <c r="G414" s="6"/>
      <c r="H414" s="6"/>
      <c r="I414" s="6"/>
    </row>
    <row r="415" spans="1:9" x14ac:dyDescent="0.2">
      <c r="A415" s="8" t="s">
        <v>5</v>
      </c>
      <c r="B415" s="5"/>
      <c r="C415" s="74"/>
      <c r="D415" s="6"/>
      <c r="E415" s="6"/>
      <c r="F415" s="6"/>
      <c r="G415" s="6"/>
      <c r="H415" s="6"/>
      <c r="I415" s="6"/>
    </row>
    <row r="416" spans="1:9" x14ac:dyDescent="0.2">
      <c r="A416" s="8" t="s">
        <v>6</v>
      </c>
      <c r="B416" s="5"/>
      <c r="C416" s="74"/>
      <c r="D416" s="6"/>
      <c r="E416" s="6"/>
      <c r="F416" s="6"/>
      <c r="G416" s="6"/>
      <c r="H416" s="6"/>
      <c r="I416" s="6"/>
    </row>
    <row r="417" spans="1:9" x14ac:dyDescent="0.2">
      <c r="A417" s="8" t="s">
        <v>7</v>
      </c>
      <c r="B417" s="5"/>
      <c r="C417" s="74"/>
      <c r="D417" s="6"/>
      <c r="E417" s="6"/>
      <c r="F417" s="6"/>
      <c r="G417" s="6"/>
      <c r="H417" s="6"/>
      <c r="I417" s="6"/>
    </row>
    <row r="418" spans="1:9" x14ac:dyDescent="0.2">
      <c r="A418" s="8" t="s">
        <v>8</v>
      </c>
      <c r="B418" s="5"/>
      <c r="C418" s="74"/>
      <c r="D418" s="6"/>
      <c r="E418" s="6"/>
      <c r="F418" s="6"/>
      <c r="G418" s="6"/>
      <c r="H418" s="6"/>
      <c r="I418" s="6"/>
    </row>
    <row r="419" spans="1:9" x14ac:dyDescent="0.2">
      <c r="A419" s="8" t="s">
        <v>9</v>
      </c>
      <c r="B419" s="5"/>
      <c r="C419" s="74"/>
      <c r="D419" s="6"/>
      <c r="E419" s="6"/>
      <c r="F419" s="6"/>
      <c r="G419" s="6"/>
      <c r="H419" s="6"/>
      <c r="I419" s="6"/>
    </row>
    <row r="420" spans="1:9" x14ac:dyDescent="0.2">
      <c r="A420" s="312" t="s">
        <v>10</v>
      </c>
      <c r="B420" s="313"/>
      <c r="C420" s="313"/>
      <c r="D420" s="313"/>
      <c r="E420" s="314"/>
      <c r="F420" s="11">
        <f>SUM(F410:F419)</f>
        <v>0</v>
      </c>
      <c r="G420" s="11">
        <f>SUM(G410:G419)</f>
        <v>0</v>
      </c>
      <c r="H420" s="11">
        <f>SUM(H410:H419)</f>
        <v>0</v>
      </c>
      <c r="I420" s="11"/>
    </row>
    <row r="421" spans="1:9" s="25" customFormat="1" ht="18" x14ac:dyDescent="0.2">
      <c r="A421" s="315" t="s">
        <v>39</v>
      </c>
      <c r="B421" s="316"/>
      <c r="C421" s="316"/>
      <c r="D421" s="316"/>
      <c r="E421" s="317"/>
      <c r="F421" s="22">
        <f>F354+F365+F376+F387+F398+F409+F420+F337</f>
        <v>0</v>
      </c>
      <c r="G421" s="22">
        <f>G354+G365+G376+G387+G398+G409+G420+G337</f>
        <v>0</v>
      </c>
      <c r="H421" s="22">
        <f>H354+H365+H376+H387+H398+H409+H420+H337</f>
        <v>0</v>
      </c>
      <c r="I421" s="22"/>
    </row>
  </sheetData>
  <mergeCells count="70">
    <mergeCell ref="A409:E409"/>
    <mergeCell ref="A420:E420"/>
    <mergeCell ref="A421:E421"/>
    <mergeCell ref="F342:H342"/>
    <mergeCell ref="A354:E354"/>
    <mergeCell ref="A365:E365"/>
    <mergeCell ref="A376:E376"/>
    <mergeCell ref="A387:E387"/>
    <mergeCell ref="A398:E398"/>
    <mergeCell ref="A337:E337"/>
    <mergeCell ref="A338:I338"/>
    <mergeCell ref="A339:E339"/>
    <mergeCell ref="A340:C340"/>
    <mergeCell ref="A341:C341"/>
    <mergeCell ref="F341:G341"/>
    <mergeCell ref="A336:E336"/>
    <mergeCell ref="A255:E255"/>
    <mergeCell ref="A256:C256"/>
    <mergeCell ref="A257:C257"/>
    <mergeCell ref="F257:G257"/>
    <mergeCell ref="F258:H258"/>
    <mergeCell ref="A270:E270"/>
    <mergeCell ref="A281:E281"/>
    <mergeCell ref="A292:E292"/>
    <mergeCell ref="A303:E303"/>
    <mergeCell ref="A314:E314"/>
    <mergeCell ref="A325:E325"/>
    <mergeCell ref="A254:I254"/>
    <mergeCell ref="A172:C172"/>
    <mergeCell ref="F172:G172"/>
    <mergeCell ref="F173:H173"/>
    <mergeCell ref="A186:E186"/>
    <mergeCell ref="A197:E197"/>
    <mergeCell ref="A208:E208"/>
    <mergeCell ref="A219:E219"/>
    <mergeCell ref="A230:E230"/>
    <mergeCell ref="A241:E241"/>
    <mergeCell ref="A252:E252"/>
    <mergeCell ref="A253:E253"/>
    <mergeCell ref="A171:C171"/>
    <mergeCell ref="F89:H89"/>
    <mergeCell ref="A101:E101"/>
    <mergeCell ref="A112:E112"/>
    <mergeCell ref="A123:E123"/>
    <mergeCell ref="A134:E134"/>
    <mergeCell ref="A145:E145"/>
    <mergeCell ref="A156:E156"/>
    <mergeCell ref="A167:E167"/>
    <mergeCell ref="A168:E168"/>
    <mergeCell ref="A169:I169"/>
    <mergeCell ref="A170:E170"/>
    <mergeCell ref="A88:C88"/>
    <mergeCell ref="F88:G88"/>
    <mergeCell ref="A17:E17"/>
    <mergeCell ref="A28:E28"/>
    <mergeCell ref="A39:E39"/>
    <mergeCell ref="A50:E50"/>
    <mergeCell ref="A61:E61"/>
    <mergeCell ref="A72:E72"/>
    <mergeCell ref="A83:E83"/>
    <mergeCell ref="A84:E84"/>
    <mergeCell ref="A85:I85"/>
    <mergeCell ref="A86:E86"/>
    <mergeCell ref="A87:C87"/>
    <mergeCell ref="F5:H5"/>
    <mergeCell ref="A1:I1"/>
    <mergeCell ref="A2:E2"/>
    <mergeCell ref="A3:C3"/>
    <mergeCell ref="A4:C4"/>
    <mergeCell ref="F4:G4"/>
  </mergeCells>
  <pageMargins left="0.59055118110236227" right="0.39370078740157483" top="0.59055118110236227" bottom="0.39370078740157483" header="0.31496062992125984" footer="0.31496062992125984"/>
  <pageSetup paperSize="9" scale="99" fitToHeight="5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zoomScale="110" zoomScaleNormal="110" workbookViewId="0">
      <selection activeCell="E5" sqref="E5"/>
    </sheetView>
  </sheetViews>
  <sheetFormatPr defaultColWidth="9" defaultRowHeight="17.25" x14ac:dyDescent="0.2"/>
  <cols>
    <col min="1" max="1" width="6" style="1" customWidth="1"/>
    <col min="2" max="2" width="14.125" style="7" customWidth="1"/>
    <col min="3" max="3" width="28.375" style="1" customWidth="1"/>
    <col min="4" max="4" width="11.25" style="1" customWidth="1"/>
    <col min="5" max="5" width="23.25" style="1" customWidth="1"/>
    <col min="6" max="6" width="24.75" style="1" customWidth="1"/>
    <col min="7" max="16384" width="9" style="1"/>
  </cols>
  <sheetData>
    <row r="1" spans="1:8" ht="21.95" customHeight="1" x14ac:dyDescent="0.2">
      <c r="A1" s="319" t="s">
        <v>22</v>
      </c>
      <c r="B1" s="319"/>
      <c r="C1" s="319"/>
      <c r="D1" s="319"/>
      <c r="E1" s="319"/>
    </row>
    <row r="2" spans="1:8" s="9" customFormat="1" ht="20.100000000000001" customHeight="1" x14ac:dyDescent="0.2">
      <c r="A2" s="335" t="s">
        <v>1744</v>
      </c>
      <c r="B2" s="335"/>
      <c r="C2" s="335"/>
      <c r="D2" s="335"/>
      <c r="E2" s="335"/>
    </row>
    <row r="3" spans="1:8" s="3" customFormat="1" ht="20.100000000000001" customHeight="1" x14ac:dyDescent="0.35">
      <c r="A3" s="318" t="s">
        <v>128</v>
      </c>
      <c r="B3" s="318"/>
      <c r="C3" s="2"/>
      <c r="D3" s="4" t="s">
        <v>21</v>
      </c>
      <c r="E3" s="1">
        <v>1</v>
      </c>
    </row>
    <row r="4" spans="1:8" s="3" customFormat="1" ht="20.100000000000001" customHeight="1" x14ac:dyDescent="0.35">
      <c r="A4" s="311" t="s">
        <v>129</v>
      </c>
      <c r="B4" s="311"/>
      <c r="C4" s="2"/>
      <c r="D4" s="4" t="s">
        <v>15</v>
      </c>
      <c r="E4" s="144" t="s">
        <v>1745</v>
      </c>
      <c r="F4" s="2"/>
      <c r="G4" s="2"/>
      <c r="H4" s="2"/>
    </row>
    <row r="5" spans="1:8" x14ac:dyDescent="0.2">
      <c r="A5" s="12" t="s">
        <v>23</v>
      </c>
      <c r="B5" s="13" t="s">
        <v>11</v>
      </c>
      <c r="C5" s="12" t="s">
        <v>16</v>
      </c>
      <c r="D5" s="12" t="s">
        <v>18</v>
      </c>
      <c r="E5" s="12" t="s">
        <v>19</v>
      </c>
    </row>
    <row r="6" spans="1:8" x14ac:dyDescent="0.2">
      <c r="A6" s="15"/>
      <c r="B6" s="16"/>
      <c r="C6" s="15"/>
      <c r="D6" s="15" t="s">
        <v>20</v>
      </c>
      <c r="E6" s="15"/>
    </row>
    <row r="7" spans="1:8" x14ac:dyDescent="0.2">
      <c r="A7" s="331">
        <v>1</v>
      </c>
      <c r="B7" s="333">
        <f>'1'!B7</f>
        <v>46107</v>
      </c>
      <c r="C7" s="6" t="s">
        <v>27</v>
      </c>
      <c r="D7" s="331">
        <f>E7+E8</f>
        <v>311.5</v>
      </c>
      <c r="E7" s="26"/>
    </row>
    <row r="8" spans="1:8" x14ac:dyDescent="0.2">
      <c r="A8" s="332"/>
      <c r="B8" s="334"/>
      <c r="C8" s="6" t="s">
        <v>28</v>
      </c>
      <c r="D8" s="332"/>
      <c r="E8" s="6">
        <v>311.5</v>
      </c>
    </row>
    <row r="9" spans="1:8" x14ac:dyDescent="0.2">
      <c r="A9" s="331">
        <v>2</v>
      </c>
      <c r="B9" s="333">
        <f>B7+1</f>
        <v>46108</v>
      </c>
      <c r="C9" s="6" t="s">
        <v>27</v>
      </c>
      <c r="D9" s="331">
        <f>E9+E10</f>
        <v>516</v>
      </c>
      <c r="E9" s="26"/>
    </row>
    <row r="10" spans="1:8" x14ac:dyDescent="0.2">
      <c r="A10" s="332"/>
      <c r="B10" s="334"/>
      <c r="C10" s="6" t="s">
        <v>28</v>
      </c>
      <c r="D10" s="332"/>
      <c r="E10" s="6">
        <v>516</v>
      </c>
    </row>
    <row r="11" spans="1:8" x14ac:dyDescent="0.2">
      <c r="A11" s="331">
        <v>3</v>
      </c>
      <c r="B11" s="333">
        <f>B9+1</f>
        <v>46109</v>
      </c>
      <c r="C11" s="6" t="s">
        <v>27</v>
      </c>
      <c r="D11" s="331">
        <f>E11+E12</f>
        <v>167.25</v>
      </c>
      <c r="E11" s="26"/>
    </row>
    <row r="12" spans="1:8" x14ac:dyDescent="0.2">
      <c r="A12" s="332"/>
      <c r="B12" s="334"/>
      <c r="C12" s="6" t="s">
        <v>28</v>
      </c>
      <c r="D12" s="332"/>
      <c r="E12" s="6">
        <v>167.25</v>
      </c>
    </row>
    <row r="13" spans="1:8" x14ac:dyDescent="0.2">
      <c r="A13" s="331">
        <v>4</v>
      </c>
      <c r="B13" s="333">
        <f>B11+1</f>
        <v>46110</v>
      </c>
      <c r="C13" s="6" t="s">
        <v>27</v>
      </c>
      <c r="D13" s="331">
        <f>E13+E14</f>
        <v>361.25</v>
      </c>
      <c r="E13" s="26"/>
      <c r="F13" s="117"/>
    </row>
    <row r="14" spans="1:8" x14ac:dyDescent="0.2">
      <c r="A14" s="332"/>
      <c r="B14" s="334"/>
      <c r="C14" s="6" t="s">
        <v>28</v>
      </c>
      <c r="D14" s="332"/>
      <c r="E14" s="6">
        <v>361.25</v>
      </c>
      <c r="F14" s="117"/>
    </row>
    <row r="15" spans="1:8" x14ac:dyDescent="0.2">
      <c r="A15" s="331">
        <v>5</v>
      </c>
      <c r="B15" s="333">
        <f>B13+1</f>
        <v>46111</v>
      </c>
      <c r="C15" s="6" t="s">
        <v>27</v>
      </c>
      <c r="D15" s="331">
        <f>E15+E16</f>
        <v>413.75</v>
      </c>
      <c r="E15" s="26"/>
    </row>
    <row r="16" spans="1:8" x14ac:dyDescent="0.2">
      <c r="A16" s="332"/>
      <c r="B16" s="334"/>
      <c r="C16" s="6" t="s">
        <v>28</v>
      </c>
      <c r="D16" s="332"/>
      <c r="E16" s="6">
        <v>413.75</v>
      </c>
    </row>
    <row r="17" spans="1:6" ht="17.25" customHeight="1" x14ac:dyDescent="0.2">
      <c r="A17" s="331">
        <v>6</v>
      </c>
      <c r="B17" s="333">
        <f>B15+1</f>
        <v>46112</v>
      </c>
      <c r="C17" s="6" t="s">
        <v>27</v>
      </c>
      <c r="D17" s="331">
        <f>E17+E18</f>
        <v>422.5</v>
      </c>
      <c r="E17" s="26"/>
      <c r="F17" s="330"/>
    </row>
    <row r="18" spans="1:6" ht="17.25" customHeight="1" x14ac:dyDescent="0.2">
      <c r="A18" s="332"/>
      <c r="B18" s="334"/>
      <c r="C18" s="6" t="s">
        <v>28</v>
      </c>
      <c r="D18" s="332"/>
      <c r="E18" s="6">
        <v>422.5</v>
      </c>
      <c r="F18" s="330"/>
    </row>
    <row r="19" spans="1:6" x14ac:dyDescent="0.2">
      <c r="A19" s="331">
        <v>7</v>
      </c>
      <c r="B19" s="333">
        <f>B17+1</f>
        <v>46113</v>
      </c>
      <c r="C19" s="6" t="s">
        <v>27</v>
      </c>
      <c r="D19" s="331">
        <f>E19+E20</f>
        <v>241</v>
      </c>
      <c r="E19" s="26"/>
    </row>
    <row r="20" spans="1:6" x14ac:dyDescent="0.2">
      <c r="A20" s="332"/>
      <c r="B20" s="334"/>
      <c r="C20" s="6" t="s">
        <v>28</v>
      </c>
      <c r="D20" s="332"/>
      <c r="E20" s="6">
        <v>241</v>
      </c>
    </row>
    <row r="21" spans="1:6" x14ac:dyDescent="0.2">
      <c r="A21" s="331">
        <v>8</v>
      </c>
      <c r="B21" s="333">
        <f>B19+1</f>
        <v>46114</v>
      </c>
      <c r="C21" s="6" t="s">
        <v>27</v>
      </c>
      <c r="D21" s="331">
        <f>E21+E22</f>
        <v>468.25</v>
      </c>
      <c r="E21" s="26"/>
    </row>
    <row r="22" spans="1:6" x14ac:dyDescent="0.2">
      <c r="A22" s="332"/>
      <c r="B22" s="334"/>
      <c r="C22" s="6" t="s">
        <v>28</v>
      </c>
      <c r="D22" s="332"/>
      <c r="E22" s="6">
        <v>468.25</v>
      </c>
    </row>
    <row r="23" spans="1:6" x14ac:dyDescent="0.2">
      <c r="A23" s="331">
        <v>9</v>
      </c>
      <c r="B23" s="333">
        <f>B21+1</f>
        <v>46115</v>
      </c>
      <c r="C23" s="6" t="s">
        <v>27</v>
      </c>
      <c r="D23" s="331">
        <f>E23+E24</f>
        <v>609</v>
      </c>
      <c r="E23" s="26"/>
    </row>
    <row r="24" spans="1:6" x14ac:dyDescent="0.2">
      <c r="A24" s="332"/>
      <c r="B24" s="334"/>
      <c r="C24" s="6" t="s">
        <v>28</v>
      </c>
      <c r="D24" s="332"/>
      <c r="E24" s="6">
        <v>609</v>
      </c>
    </row>
    <row r="25" spans="1:6" x14ac:dyDescent="0.2">
      <c r="A25" s="331">
        <v>10</v>
      </c>
      <c r="B25" s="333">
        <f>B23+1</f>
        <v>46116</v>
      </c>
      <c r="C25" s="6" t="s">
        <v>27</v>
      </c>
      <c r="D25" s="331">
        <f>E25+E26</f>
        <v>217</v>
      </c>
      <c r="E25" s="26"/>
    </row>
    <row r="26" spans="1:6" x14ac:dyDescent="0.2">
      <c r="A26" s="332"/>
      <c r="B26" s="334"/>
      <c r="C26" s="6" t="s">
        <v>28</v>
      </c>
      <c r="D26" s="332"/>
      <c r="E26" s="6">
        <v>217</v>
      </c>
    </row>
    <row r="27" spans="1:6" x14ac:dyDescent="0.2">
      <c r="A27" s="331">
        <v>11</v>
      </c>
      <c r="B27" s="333">
        <f>B25+1</f>
        <v>46117</v>
      </c>
      <c r="C27" s="6" t="s">
        <v>27</v>
      </c>
      <c r="D27" s="331">
        <f>E27+E28</f>
        <v>354.75</v>
      </c>
      <c r="E27" s="26"/>
    </row>
    <row r="28" spans="1:6" x14ac:dyDescent="0.2">
      <c r="A28" s="332"/>
      <c r="B28" s="334"/>
      <c r="C28" s="6" t="s">
        <v>28</v>
      </c>
      <c r="D28" s="332"/>
      <c r="E28" s="6">
        <v>354.75</v>
      </c>
    </row>
    <row r="29" spans="1:6" x14ac:dyDescent="0.2">
      <c r="A29" s="331">
        <v>12</v>
      </c>
      <c r="B29" s="333">
        <f>B27+1</f>
        <v>46118</v>
      </c>
      <c r="C29" s="6" t="s">
        <v>27</v>
      </c>
      <c r="D29" s="331">
        <f>E29+E30</f>
        <v>505.5</v>
      </c>
      <c r="E29" s="26"/>
      <c r="F29" s="110"/>
    </row>
    <row r="30" spans="1:6" x14ac:dyDescent="0.2">
      <c r="A30" s="332"/>
      <c r="B30" s="334"/>
      <c r="C30" s="6" t="s">
        <v>28</v>
      </c>
      <c r="D30" s="332"/>
      <c r="E30" s="6">
        <v>505.5</v>
      </c>
      <c r="F30" s="110"/>
    </row>
    <row r="31" spans="1:6" x14ac:dyDescent="0.2">
      <c r="A31" s="331">
        <v>13</v>
      </c>
      <c r="B31" s="333">
        <f>B29+1</f>
        <v>46119</v>
      </c>
      <c r="C31" s="6" t="s">
        <v>27</v>
      </c>
      <c r="D31" s="331">
        <f>E31+E32</f>
        <v>369.75</v>
      </c>
      <c r="E31" s="26"/>
    </row>
    <row r="32" spans="1:6" x14ac:dyDescent="0.2">
      <c r="A32" s="332"/>
      <c r="B32" s="334"/>
      <c r="C32" s="6" t="s">
        <v>28</v>
      </c>
      <c r="D32" s="332"/>
      <c r="E32" s="6">
        <v>369.75</v>
      </c>
    </row>
    <row r="33" spans="1:5" x14ac:dyDescent="0.2">
      <c r="A33" s="331">
        <v>14</v>
      </c>
      <c r="B33" s="333">
        <f>B31+1</f>
        <v>46120</v>
      </c>
      <c r="C33" s="6" t="s">
        <v>27</v>
      </c>
      <c r="D33" s="331">
        <f>E33+E34</f>
        <v>284</v>
      </c>
      <c r="E33" s="26"/>
    </row>
    <row r="34" spans="1:5" x14ac:dyDescent="0.2">
      <c r="A34" s="332"/>
      <c r="B34" s="334"/>
      <c r="C34" s="6" t="s">
        <v>28</v>
      </c>
      <c r="D34" s="332"/>
      <c r="E34" s="6">
        <v>284</v>
      </c>
    </row>
    <row r="35" spans="1:5" x14ac:dyDescent="0.2">
      <c r="A35" s="331">
        <v>15</v>
      </c>
      <c r="B35" s="333">
        <f>B33+1</f>
        <v>46121</v>
      </c>
      <c r="C35" s="6" t="s">
        <v>27</v>
      </c>
      <c r="D35" s="331">
        <f>E35+E36</f>
        <v>322</v>
      </c>
      <c r="E35" s="26"/>
    </row>
    <row r="36" spans="1:5" x14ac:dyDescent="0.2">
      <c r="A36" s="332"/>
      <c r="B36" s="334"/>
      <c r="C36" s="6" t="s">
        <v>28</v>
      </c>
      <c r="D36" s="332"/>
      <c r="E36" s="6">
        <v>322</v>
      </c>
    </row>
    <row r="37" spans="1:5" x14ac:dyDescent="0.2">
      <c r="A37" s="331">
        <v>16</v>
      </c>
      <c r="B37" s="333">
        <f>B35+1</f>
        <v>46122</v>
      </c>
      <c r="C37" s="6" t="s">
        <v>27</v>
      </c>
      <c r="D37" s="331">
        <f>E37+E38</f>
        <v>318.25</v>
      </c>
      <c r="E37" s="26"/>
    </row>
    <row r="38" spans="1:5" x14ac:dyDescent="0.2">
      <c r="A38" s="332"/>
      <c r="B38" s="334"/>
      <c r="C38" s="6" t="s">
        <v>28</v>
      </c>
      <c r="D38" s="332"/>
      <c r="E38" s="6">
        <v>318.25</v>
      </c>
    </row>
    <row r="39" spans="1:5" x14ac:dyDescent="0.2">
      <c r="A39" s="331">
        <v>17</v>
      </c>
      <c r="B39" s="333">
        <f>B37+1</f>
        <v>46123</v>
      </c>
      <c r="C39" s="6" t="s">
        <v>27</v>
      </c>
      <c r="D39" s="331">
        <f>E39+E40</f>
        <v>251</v>
      </c>
      <c r="E39" s="26"/>
    </row>
    <row r="40" spans="1:5" x14ac:dyDescent="0.2">
      <c r="A40" s="332"/>
      <c r="B40" s="334"/>
      <c r="C40" s="6" t="s">
        <v>28</v>
      </c>
      <c r="D40" s="332"/>
      <c r="E40" s="6">
        <v>251</v>
      </c>
    </row>
    <row r="41" spans="1:5" s="19" customFormat="1" ht="23.25" x14ac:dyDescent="0.2">
      <c r="A41" s="336" t="s">
        <v>10</v>
      </c>
      <c r="B41" s="337"/>
      <c r="C41" s="337"/>
      <c r="D41" s="303">
        <f>SUM(D7:D40)</f>
        <v>6132.75</v>
      </c>
      <c r="E41" s="303">
        <f>SUM(E7:E40)</f>
        <v>6132.75</v>
      </c>
    </row>
    <row r="44" spans="1:5" ht="21.95" customHeight="1" x14ac:dyDescent="0.2">
      <c r="A44" s="319" t="s">
        <v>22</v>
      </c>
      <c r="B44" s="319"/>
      <c r="C44" s="319"/>
      <c r="D44" s="319"/>
      <c r="E44" s="319"/>
    </row>
    <row r="45" spans="1:5" s="9" customFormat="1" ht="20.100000000000001" customHeight="1" x14ac:dyDescent="0.2">
      <c r="A45" s="335" t="str">
        <f>A2</f>
        <v>รายงานการวิ่งรถประจำเดือน เมษายน ปี 69</v>
      </c>
      <c r="B45" s="335"/>
      <c r="C45" s="335"/>
      <c r="D45" s="335"/>
      <c r="E45" s="335"/>
    </row>
    <row r="46" spans="1:5" s="3" customFormat="1" ht="20.100000000000001" customHeight="1" x14ac:dyDescent="0.35">
      <c r="A46" s="318" t="str">
        <f>A3</f>
        <v>รถ…Loader SANY...</v>
      </c>
      <c r="B46" s="318"/>
      <c r="C46" s="2"/>
      <c r="D46" s="4" t="s">
        <v>21</v>
      </c>
      <c r="E46" s="1">
        <f>E3+1</f>
        <v>2</v>
      </c>
    </row>
    <row r="47" spans="1:5" s="3" customFormat="1" ht="20.100000000000001" customHeight="1" x14ac:dyDescent="0.35">
      <c r="A47" s="311" t="str">
        <f>A4</f>
        <v>ทะเบียนรถ -</v>
      </c>
      <c r="B47" s="311"/>
      <c r="C47" s="2"/>
      <c r="D47" s="4" t="s">
        <v>15</v>
      </c>
      <c r="E47" s="1" t="str">
        <f>E4</f>
        <v>26/03/69 - 24/04/69</v>
      </c>
    </row>
    <row r="48" spans="1:5" x14ac:dyDescent="0.2">
      <c r="A48" s="12" t="s">
        <v>23</v>
      </c>
      <c r="B48" s="13" t="s">
        <v>11</v>
      </c>
      <c r="C48" s="12" t="s">
        <v>16</v>
      </c>
      <c r="D48" s="12" t="s">
        <v>18</v>
      </c>
      <c r="E48" s="12" t="s">
        <v>19</v>
      </c>
    </row>
    <row r="49" spans="1:5" x14ac:dyDescent="0.2">
      <c r="A49" s="15"/>
      <c r="B49" s="16"/>
      <c r="C49" s="15"/>
      <c r="D49" s="15" t="s">
        <v>20</v>
      </c>
      <c r="E49" s="15"/>
    </row>
    <row r="50" spans="1:5" x14ac:dyDescent="0.2">
      <c r="A50" s="331">
        <v>18</v>
      </c>
      <c r="B50" s="333">
        <f>B39+1</f>
        <v>46124</v>
      </c>
      <c r="C50" s="6" t="s">
        <v>27</v>
      </c>
      <c r="D50" s="331">
        <f>E50+E51</f>
        <v>0</v>
      </c>
      <c r="E50" s="26"/>
    </row>
    <row r="51" spans="1:5" x14ac:dyDescent="0.2">
      <c r="A51" s="332"/>
      <c r="B51" s="334"/>
      <c r="C51" s="6" t="s">
        <v>28</v>
      </c>
      <c r="D51" s="332"/>
      <c r="E51" s="6"/>
    </row>
    <row r="52" spans="1:5" x14ac:dyDescent="0.2">
      <c r="A52" s="331">
        <v>19</v>
      </c>
      <c r="B52" s="333">
        <f>B50+1</f>
        <v>46125</v>
      </c>
      <c r="C52" s="6" t="s">
        <v>27</v>
      </c>
      <c r="D52" s="331">
        <f>E52+E53</f>
        <v>0</v>
      </c>
      <c r="E52" s="26"/>
    </row>
    <row r="53" spans="1:5" x14ac:dyDescent="0.2">
      <c r="A53" s="332"/>
      <c r="B53" s="334"/>
      <c r="C53" s="6" t="s">
        <v>28</v>
      </c>
      <c r="D53" s="332"/>
      <c r="E53" s="6"/>
    </row>
    <row r="54" spans="1:5" x14ac:dyDescent="0.2">
      <c r="A54" s="331">
        <v>20</v>
      </c>
      <c r="B54" s="333">
        <f>B52+1</f>
        <v>46126</v>
      </c>
      <c r="C54" s="6" t="s">
        <v>27</v>
      </c>
      <c r="D54" s="331">
        <f>E54+E55</f>
        <v>0</v>
      </c>
      <c r="E54" s="26"/>
    </row>
    <row r="55" spans="1:5" x14ac:dyDescent="0.2">
      <c r="A55" s="332"/>
      <c r="B55" s="334"/>
      <c r="C55" s="6" t="s">
        <v>28</v>
      </c>
      <c r="D55" s="332"/>
      <c r="E55" s="6"/>
    </row>
    <row r="56" spans="1:5" x14ac:dyDescent="0.2">
      <c r="A56" s="331">
        <v>21</v>
      </c>
      <c r="B56" s="333">
        <f>B54+1</f>
        <v>46127</v>
      </c>
      <c r="C56" s="6" t="s">
        <v>27</v>
      </c>
      <c r="D56" s="331">
        <f>E56+E57</f>
        <v>0</v>
      </c>
      <c r="E56" s="26"/>
    </row>
    <row r="57" spans="1:5" x14ac:dyDescent="0.2">
      <c r="A57" s="332"/>
      <c r="B57" s="334"/>
      <c r="C57" s="6" t="s">
        <v>28</v>
      </c>
      <c r="D57" s="332"/>
      <c r="E57" s="6"/>
    </row>
    <row r="58" spans="1:5" x14ac:dyDescent="0.2">
      <c r="A58" s="331">
        <v>22</v>
      </c>
      <c r="B58" s="333">
        <f>B56+1</f>
        <v>46128</v>
      </c>
      <c r="C58" s="6" t="s">
        <v>27</v>
      </c>
      <c r="D58" s="331">
        <f>E58+E59</f>
        <v>0</v>
      </c>
      <c r="E58" s="26"/>
    </row>
    <row r="59" spans="1:5" x14ac:dyDescent="0.2">
      <c r="A59" s="332"/>
      <c r="B59" s="334"/>
      <c r="C59" s="6" t="s">
        <v>28</v>
      </c>
      <c r="D59" s="332"/>
      <c r="E59" s="6"/>
    </row>
    <row r="60" spans="1:5" x14ac:dyDescent="0.2">
      <c r="A60" s="331">
        <v>23</v>
      </c>
      <c r="B60" s="333">
        <f>B58+1</f>
        <v>46129</v>
      </c>
      <c r="C60" s="6" t="s">
        <v>27</v>
      </c>
      <c r="D60" s="331">
        <f>E60+E61</f>
        <v>0</v>
      </c>
      <c r="E60" s="26"/>
    </row>
    <row r="61" spans="1:5" x14ac:dyDescent="0.2">
      <c r="A61" s="332"/>
      <c r="B61" s="334"/>
      <c r="C61" s="6" t="s">
        <v>28</v>
      </c>
      <c r="D61" s="332"/>
      <c r="E61" s="6"/>
    </row>
    <row r="62" spans="1:5" x14ac:dyDescent="0.2">
      <c r="A62" s="331">
        <v>24</v>
      </c>
      <c r="B62" s="333">
        <f>B60+1</f>
        <v>46130</v>
      </c>
      <c r="C62" s="6" t="s">
        <v>27</v>
      </c>
      <c r="D62" s="331">
        <f>E62+E63</f>
        <v>10</v>
      </c>
      <c r="E62" s="26"/>
    </row>
    <row r="63" spans="1:5" x14ac:dyDescent="0.2">
      <c r="A63" s="332"/>
      <c r="B63" s="334"/>
      <c r="C63" s="6" t="s">
        <v>28</v>
      </c>
      <c r="D63" s="332"/>
      <c r="E63" s="6">
        <v>10</v>
      </c>
    </row>
    <row r="64" spans="1:5" x14ac:dyDescent="0.2">
      <c r="A64" s="331">
        <v>25</v>
      </c>
      <c r="B64" s="333">
        <f>B62+1</f>
        <v>46131</v>
      </c>
      <c r="C64" s="6" t="s">
        <v>27</v>
      </c>
      <c r="D64" s="331">
        <f>E64+E65</f>
        <v>60</v>
      </c>
      <c r="E64" s="26"/>
    </row>
    <row r="65" spans="1:5" x14ac:dyDescent="0.2">
      <c r="A65" s="332"/>
      <c r="B65" s="334"/>
      <c r="C65" s="6" t="s">
        <v>28</v>
      </c>
      <c r="D65" s="332"/>
      <c r="E65" s="6">
        <v>60</v>
      </c>
    </row>
    <row r="66" spans="1:5" x14ac:dyDescent="0.2">
      <c r="A66" s="331">
        <v>26</v>
      </c>
      <c r="B66" s="333">
        <f>B64+1</f>
        <v>46132</v>
      </c>
      <c r="C66" s="6" t="s">
        <v>27</v>
      </c>
      <c r="D66" s="331">
        <f>E66+E67</f>
        <v>396.5</v>
      </c>
      <c r="E66" s="26"/>
    </row>
    <row r="67" spans="1:5" x14ac:dyDescent="0.2">
      <c r="A67" s="332"/>
      <c r="B67" s="334"/>
      <c r="C67" s="6" t="s">
        <v>28</v>
      </c>
      <c r="D67" s="332"/>
      <c r="E67" s="6">
        <v>396.5</v>
      </c>
    </row>
    <row r="68" spans="1:5" x14ac:dyDescent="0.2">
      <c r="A68" s="331">
        <v>27</v>
      </c>
      <c r="B68" s="333">
        <f>B66+1</f>
        <v>46133</v>
      </c>
      <c r="C68" s="6" t="s">
        <v>27</v>
      </c>
      <c r="D68" s="331">
        <f>E68+E69</f>
        <v>523.5</v>
      </c>
      <c r="E68" s="26"/>
    </row>
    <row r="69" spans="1:5" x14ac:dyDescent="0.2">
      <c r="A69" s="332"/>
      <c r="B69" s="334"/>
      <c r="C69" s="6" t="s">
        <v>28</v>
      </c>
      <c r="D69" s="332"/>
      <c r="E69" s="6">
        <v>523.5</v>
      </c>
    </row>
    <row r="70" spans="1:5" x14ac:dyDescent="0.2">
      <c r="A70" s="331">
        <v>28</v>
      </c>
      <c r="B70" s="333">
        <f>B68+1</f>
        <v>46134</v>
      </c>
      <c r="C70" s="6" t="s">
        <v>27</v>
      </c>
      <c r="D70" s="331">
        <f>E70+E71</f>
        <v>272.25</v>
      </c>
      <c r="E70" s="26"/>
    </row>
    <row r="71" spans="1:5" x14ac:dyDescent="0.2">
      <c r="A71" s="332"/>
      <c r="B71" s="334"/>
      <c r="C71" s="6" t="s">
        <v>28</v>
      </c>
      <c r="D71" s="332"/>
      <c r="E71" s="6">
        <v>272.25</v>
      </c>
    </row>
    <row r="72" spans="1:5" x14ac:dyDescent="0.2">
      <c r="A72" s="331">
        <v>29</v>
      </c>
      <c r="B72" s="333">
        <f>B70+1</f>
        <v>46135</v>
      </c>
      <c r="C72" s="6" t="s">
        <v>27</v>
      </c>
      <c r="D72" s="331">
        <f>E72+E73</f>
        <v>479.5</v>
      </c>
      <c r="E72" s="26"/>
    </row>
    <row r="73" spans="1:5" x14ac:dyDescent="0.2">
      <c r="A73" s="332"/>
      <c r="B73" s="334"/>
      <c r="C73" s="6" t="s">
        <v>28</v>
      </c>
      <c r="D73" s="332"/>
      <c r="E73" s="6">
        <v>479.5</v>
      </c>
    </row>
    <row r="74" spans="1:5" x14ac:dyDescent="0.2">
      <c r="A74" s="331">
        <v>30</v>
      </c>
      <c r="B74" s="333">
        <f>B72+1</f>
        <v>46136</v>
      </c>
      <c r="C74" s="6" t="s">
        <v>27</v>
      </c>
      <c r="D74" s="331">
        <f>E74+E75</f>
        <v>422.7</v>
      </c>
      <c r="E74" s="26">
        <v>1.2</v>
      </c>
    </row>
    <row r="75" spans="1:5" x14ac:dyDescent="0.2">
      <c r="A75" s="332"/>
      <c r="B75" s="334"/>
      <c r="C75" s="6" t="s">
        <v>28</v>
      </c>
      <c r="D75" s="332"/>
      <c r="E75" s="6">
        <v>421.5</v>
      </c>
    </row>
    <row r="76" spans="1:5" x14ac:dyDescent="0.2">
      <c r="A76" s="331">
        <v>31</v>
      </c>
      <c r="B76" s="333">
        <f>B74+1</f>
        <v>46137</v>
      </c>
      <c r="C76" s="6" t="s">
        <v>27</v>
      </c>
      <c r="D76" s="331">
        <f>E76+E77</f>
        <v>0</v>
      </c>
      <c r="E76" s="26"/>
    </row>
    <row r="77" spans="1:5" x14ac:dyDescent="0.2">
      <c r="A77" s="332"/>
      <c r="B77" s="334"/>
      <c r="C77" s="6" t="s">
        <v>28</v>
      </c>
      <c r="D77" s="332"/>
      <c r="E77" s="6"/>
    </row>
    <row r="78" spans="1:5" x14ac:dyDescent="0.2">
      <c r="A78" s="331">
        <v>32</v>
      </c>
      <c r="B78" s="333">
        <f t="shared" ref="B78" si="0">B76+1</f>
        <v>46138</v>
      </c>
      <c r="C78" s="6" t="s">
        <v>27</v>
      </c>
      <c r="D78" s="331">
        <f>E78+E79</f>
        <v>0</v>
      </c>
      <c r="E78" s="26"/>
    </row>
    <row r="79" spans="1:5" x14ac:dyDescent="0.2">
      <c r="A79" s="332"/>
      <c r="B79" s="334"/>
      <c r="C79" s="6" t="s">
        <v>28</v>
      </c>
      <c r="D79" s="332"/>
      <c r="E79" s="6"/>
    </row>
    <row r="80" spans="1:5" x14ac:dyDescent="0.2">
      <c r="A80" s="331">
        <v>33</v>
      </c>
      <c r="B80" s="333">
        <f t="shared" ref="B80" si="1">B78+1</f>
        <v>46139</v>
      </c>
      <c r="C80" s="6" t="s">
        <v>27</v>
      </c>
      <c r="D80" s="331">
        <f>E80+E81</f>
        <v>0</v>
      </c>
      <c r="E80" s="26"/>
    </row>
    <row r="81" spans="1:6" x14ac:dyDescent="0.2">
      <c r="A81" s="332"/>
      <c r="B81" s="334"/>
      <c r="C81" s="6" t="s">
        <v>28</v>
      </c>
      <c r="D81" s="332"/>
      <c r="E81" s="6"/>
    </row>
    <row r="82" spans="1:6" x14ac:dyDescent="0.2">
      <c r="A82" s="331">
        <v>34</v>
      </c>
      <c r="B82" s="333">
        <f t="shared" ref="B82" si="2">B80+1</f>
        <v>46140</v>
      </c>
      <c r="C82" s="6" t="s">
        <v>27</v>
      </c>
      <c r="D82" s="331">
        <f>E82+E83</f>
        <v>0</v>
      </c>
      <c r="E82" s="26"/>
    </row>
    <row r="83" spans="1:6" x14ac:dyDescent="0.2">
      <c r="A83" s="332"/>
      <c r="B83" s="334"/>
      <c r="C83" s="6" t="s">
        <v>28</v>
      </c>
      <c r="D83" s="332"/>
      <c r="E83" s="6"/>
    </row>
    <row r="84" spans="1:6" x14ac:dyDescent="0.2">
      <c r="A84" s="331">
        <v>35</v>
      </c>
      <c r="B84" s="333">
        <f t="shared" ref="B84" si="3">B82+1</f>
        <v>46141</v>
      </c>
      <c r="C84" s="6" t="s">
        <v>27</v>
      </c>
      <c r="D84" s="331">
        <f>E84+E85</f>
        <v>0</v>
      </c>
      <c r="E84" s="26"/>
    </row>
    <row r="85" spans="1:6" x14ac:dyDescent="0.2">
      <c r="A85" s="332"/>
      <c r="B85" s="334"/>
      <c r="C85" s="6" t="s">
        <v>28</v>
      </c>
      <c r="D85" s="332"/>
      <c r="E85" s="6"/>
    </row>
    <row r="86" spans="1:6" x14ac:dyDescent="0.2">
      <c r="A86" s="331">
        <v>36</v>
      </c>
      <c r="B86" s="333">
        <f t="shared" ref="B86" si="4">B84+1</f>
        <v>46142</v>
      </c>
      <c r="C86" s="6" t="s">
        <v>27</v>
      </c>
      <c r="D86" s="331">
        <f>E86+E87</f>
        <v>0</v>
      </c>
      <c r="E86" s="26"/>
    </row>
    <row r="87" spans="1:6" x14ac:dyDescent="0.2">
      <c r="A87" s="332"/>
      <c r="B87" s="334"/>
      <c r="C87" s="6" t="s">
        <v>28</v>
      </c>
      <c r="D87" s="332"/>
      <c r="E87" s="6"/>
    </row>
    <row r="88" spans="1:6" s="19" customFormat="1" ht="26.25" x14ac:dyDescent="0.2">
      <c r="A88" s="336" t="s">
        <v>10</v>
      </c>
      <c r="B88" s="337"/>
      <c r="C88" s="337"/>
      <c r="D88" s="303">
        <f>SUM(D50:D79)</f>
        <v>2164.4499999999998</v>
      </c>
      <c r="E88" s="303">
        <f>E41+SUM(E50:E87)</f>
        <v>8297.2000000000007</v>
      </c>
      <c r="F88" s="304">
        <f>E88-468.25</f>
        <v>7828.9500000000007</v>
      </c>
    </row>
  </sheetData>
  <mergeCells count="119">
    <mergeCell ref="D76:D77"/>
    <mergeCell ref="A88:C88"/>
    <mergeCell ref="D58:D59"/>
    <mergeCell ref="D60:D61"/>
    <mergeCell ref="D62:D63"/>
    <mergeCell ref="D64:D65"/>
    <mergeCell ref="D66:D67"/>
    <mergeCell ref="D68:D69"/>
    <mergeCell ref="D70:D71"/>
    <mergeCell ref="D72:D73"/>
    <mergeCell ref="D78:D79"/>
    <mergeCell ref="B78:B79"/>
    <mergeCell ref="B64:B65"/>
    <mergeCell ref="B66:B67"/>
    <mergeCell ref="B68:B69"/>
    <mergeCell ref="B70:B71"/>
    <mergeCell ref="B72:B73"/>
    <mergeCell ref="D74:D75"/>
    <mergeCell ref="A80:A81"/>
    <mergeCell ref="B80:B81"/>
    <mergeCell ref="D80:D81"/>
    <mergeCell ref="A86:A87"/>
    <mergeCell ref="B86:B87"/>
    <mergeCell ref="D86:D87"/>
    <mergeCell ref="B82:B83"/>
    <mergeCell ref="A1:E1"/>
    <mergeCell ref="A2:E2"/>
    <mergeCell ref="A3:B3"/>
    <mergeCell ref="A4:B4"/>
    <mergeCell ref="A46:B4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A41:C41"/>
    <mergeCell ref="A44:E44"/>
    <mergeCell ref="A45:E45"/>
    <mergeCell ref="D39:D40"/>
    <mergeCell ref="B39:B40"/>
    <mergeCell ref="A11:A12"/>
    <mergeCell ref="A13:A14"/>
    <mergeCell ref="A15:A16"/>
    <mergeCell ref="A7:A8"/>
    <mergeCell ref="A9:A10"/>
    <mergeCell ref="D50:D51"/>
    <mergeCell ref="D52:D53"/>
    <mergeCell ref="D54:D55"/>
    <mergeCell ref="D56:D57"/>
    <mergeCell ref="D29:D30"/>
    <mergeCell ref="D31:D32"/>
    <mergeCell ref="D33:D34"/>
    <mergeCell ref="D35:D36"/>
    <mergeCell ref="D37:D38"/>
    <mergeCell ref="B76:B77"/>
    <mergeCell ref="A76:A77"/>
    <mergeCell ref="B50:B51"/>
    <mergeCell ref="B52:B53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A47:B47"/>
    <mergeCell ref="A50:A51"/>
    <mergeCell ref="A52:A53"/>
    <mergeCell ref="A35:A36"/>
    <mergeCell ref="A37:A38"/>
    <mergeCell ref="A39:A40"/>
    <mergeCell ref="A62:A63"/>
    <mergeCell ref="A64:A65"/>
    <mergeCell ref="A66:A67"/>
    <mergeCell ref="A68:A69"/>
    <mergeCell ref="A54:A55"/>
    <mergeCell ref="A56:A57"/>
    <mergeCell ref="A58:A59"/>
    <mergeCell ref="B74:B75"/>
    <mergeCell ref="A74:A75"/>
    <mergeCell ref="A70:A71"/>
    <mergeCell ref="A72:A73"/>
    <mergeCell ref="F17:F18"/>
    <mergeCell ref="A82:A83"/>
    <mergeCell ref="D82:D83"/>
    <mergeCell ref="A84:A85"/>
    <mergeCell ref="B84:B85"/>
    <mergeCell ref="D84:D85"/>
    <mergeCell ref="B35:B36"/>
    <mergeCell ref="B37:B38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B54:B55"/>
    <mergeCell ref="B56:B57"/>
    <mergeCell ref="B58:B59"/>
    <mergeCell ref="B60:B61"/>
    <mergeCell ref="B62:B63"/>
    <mergeCell ref="A78:A79"/>
    <mergeCell ref="A60:A61"/>
  </mergeCells>
  <phoneticPr fontId="1" type="noConversion"/>
  <pageMargins left="0.70866141732283472" right="0.59055118110236227" top="0.59055118110236227" bottom="0.39370078740157483" header="0.31496062992125984" footer="0.31496062992125984"/>
  <pageSetup paperSize="9" fitToHeight="2" orientation="portrait" verticalDpi="18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zoomScale="110" zoomScaleNormal="110" workbookViewId="0">
      <selection activeCell="H76" sqref="H76"/>
    </sheetView>
  </sheetViews>
  <sheetFormatPr defaultColWidth="9" defaultRowHeight="17.25" x14ac:dyDescent="0.2"/>
  <cols>
    <col min="1" max="1" width="6" style="1" customWidth="1"/>
    <col min="2" max="2" width="14.125" style="7" customWidth="1"/>
    <col min="3" max="3" width="28.375" style="1" customWidth="1"/>
    <col min="4" max="4" width="11.25" style="1" customWidth="1"/>
    <col min="5" max="5" width="23.25" style="1" customWidth="1"/>
    <col min="6" max="16384" width="9" style="1"/>
  </cols>
  <sheetData>
    <row r="1" spans="1:8" ht="21.95" customHeight="1" x14ac:dyDescent="0.2">
      <c r="A1" s="319" t="s">
        <v>22</v>
      </c>
      <c r="B1" s="319"/>
      <c r="C1" s="319"/>
      <c r="D1" s="319"/>
      <c r="E1" s="319"/>
    </row>
    <row r="2" spans="1:8" s="9" customFormat="1" ht="20.100000000000001" customHeight="1" x14ac:dyDescent="0.2">
      <c r="A2" s="335" t="str">
        <f>Loader!A2</f>
        <v>รายงานการวิ่งรถประจำเดือน เมษายน ปี 69</v>
      </c>
      <c r="B2" s="335"/>
      <c r="C2" s="335"/>
      <c r="D2" s="335"/>
      <c r="E2" s="335"/>
    </row>
    <row r="3" spans="1:8" s="3" customFormat="1" ht="20.100000000000001" customHeight="1" x14ac:dyDescent="0.35">
      <c r="A3" s="318" t="s">
        <v>126</v>
      </c>
      <c r="B3" s="318"/>
      <c r="C3" s="2"/>
      <c r="D3" s="4" t="s">
        <v>21</v>
      </c>
      <c r="E3" s="1">
        <v>1</v>
      </c>
    </row>
    <row r="4" spans="1:8" s="3" customFormat="1" ht="20.100000000000001" customHeight="1" x14ac:dyDescent="0.35">
      <c r="A4" s="311" t="s">
        <v>127</v>
      </c>
      <c r="B4" s="311"/>
      <c r="C4" s="2"/>
      <c r="D4" s="4" t="s">
        <v>15</v>
      </c>
      <c r="E4" s="143" t="str">
        <f>Loader!E4</f>
        <v>26/03/69 - 24/04/69</v>
      </c>
      <c r="F4" s="2"/>
      <c r="G4" s="2"/>
      <c r="H4" s="2"/>
    </row>
    <row r="5" spans="1:8" x14ac:dyDescent="0.2">
      <c r="A5" s="12" t="s">
        <v>23</v>
      </c>
      <c r="B5" s="13" t="s">
        <v>11</v>
      </c>
      <c r="C5" s="12" t="s">
        <v>16</v>
      </c>
      <c r="D5" s="12" t="s">
        <v>18</v>
      </c>
      <c r="E5" s="12" t="s">
        <v>19</v>
      </c>
    </row>
    <row r="6" spans="1:8" x14ac:dyDescent="0.2">
      <c r="A6" s="15"/>
      <c r="B6" s="16"/>
      <c r="C6" s="15"/>
      <c r="D6" s="15" t="s">
        <v>20</v>
      </c>
      <c r="E6" s="15"/>
    </row>
    <row r="7" spans="1:8" x14ac:dyDescent="0.2">
      <c r="A7" s="331">
        <v>1</v>
      </c>
      <c r="B7" s="333">
        <f>Loader!B7</f>
        <v>46107</v>
      </c>
      <c r="C7" s="6" t="s">
        <v>71</v>
      </c>
      <c r="D7" s="331">
        <f>E7+E8</f>
        <v>7</v>
      </c>
      <c r="E7" s="26">
        <v>7</v>
      </c>
    </row>
    <row r="8" spans="1:8" x14ac:dyDescent="0.2">
      <c r="A8" s="332"/>
      <c r="B8" s="334"/>
      <c r="C8" s="6" t="s">
        <v>28</v>
      </c>
      <c r="D8" s="332"/>
      <c r="E8" s="6"/>
    </row>
    <row r="9" spans="1:8" x14ac:dyDescent="0.2">
      <c r="A9" s="331">
        <v>2</v>
      </c>
      <c r="B9" s="333">
        <f>B7+1</f>
        <v>46108</v>
      </c>
      <c r="C9" s="6" t="s">
        <v>71</v>
      </c>
      <c r="D9" s="331">
        <f>E9+E10</f>
        <v>10</v>
      </c>
      <c r="E9" s="26">
        <v>10</v>
      </c>
    </row>
    <row r="10" spans="1:8" x14ac:dyDescent="0.2">
      <c r="A10" s="332"/>
      <c r="B10" s="334"/>
      <c r="C10" s="6" t="s">
        <v>28</v>
      </c>
      <c r="D10" s="332"/>
      <c r="E10" s="6"/>
    </row>
    <row r="11" spans="1:8" x14ac:dyDescent="0.2">
      <c r="A11" s="331">
        <v>3</v>
      </c>
      <c r="B11" s="333">
        <f>B9+1</f>
        <v>46109</v>
      </c>
      <c r="C11" s="6" t="s">
        <v>71</v>
      </c>
      <c r="D11" s="331">
        <f>E11+E12</f>
        <v>13</v>
      </c>
      <c r="E11" s="26">
        <v>13</v>
      </c>
    </row>
    <row r="12" spans="1:8" x14ac:dyDescent="0.2">
      <c r="A12" s="332"/>
      <c r="B12" s="334"/>
      <c r="C12" s="6" t="s">
        <v>28</v>
      </c>
      <c r="D12" s="332"/>
      <c r="E12" s="6"/>
    </row>
    <row r="13" spans="1:8" x14ac:dyDescent="0.2">
      <c r="A13" s="331">
        <v>4</v>
      </c>
      <c r="B13" s="333">
        <f>B11+1</f>
        <v>46110</v>
      </c>
      <c r="C13" s="6" t="s">
        <v>71</v>
      </c>
      <c r="D13" s="331">
        <f>E13+E14</f>
        <v>8</v>
      </c>
      <c r="E13" s="26">
        <v>8</v>
      </c>
    </row>
    <row r="14" spans="1:8" x14ac:dyDescent="0.2">
      <c r="A14" s="332"/>
      <c r="B14" s="334"/>
      <c r="C14" s="6" t="s">
        <v>28</v>
      </c>
      <c r="D14" s="332"/>
      <c r="E14" s="6"/>
    </row>
    <row r="15" spans="1:8" x14ac:dyDescent="0.2">
      <c r="A15" s="331">
        <v>5</v>
      </c>
      <c r="B15" s="333">
        <f>B13+1</f>
        <v>46111</v>
      </c>
      <c r="C15" s="6" t="s">
        <v>71</v>
      </c>
      <c r="D15" s="331">
        <f>E15+E16</f>
        <v>11</v>
      </c>
      <c r="E15" s="26">
        <v>11</v>
      </c>
    </row>
    <row r="16" spans="1:8" x14ac:dyDescent="0.2">
      <c r="A16" s="332"/>
      <c r="B16" s="334"/>
      <c r="C16" s="6" t="s">
        <v>28</v>
      </c>
      <c r="D16" s="332"/>
      <c r="E16" s="6"/>
    </row>
    <row r="17" spans="1:6" x14ac:dyDescent="0.2">
      <c r="A17" s="331">
        <v>6</v>
      </c>
      <c r="B17" s="333">
        <f>B15+1</f>
        <v>46112</v>
      </c>
      <c r="C17" s="6" t="s">
        <v>71</v>
      </c>
      <c r="D17" s="331">
        <f>E17+E18</f>
        <v>11</v>
      </c>
      <c r="E17" s="26">
        <v>11</v>
      </c>
    </row>
    <row r="18" spans="1:6" x14ac:dyDescent="0.2">
      <c r="A18" s="332"/>
      <c r="B18" s="334"/>
      <c r="C18" s="6" t="s">
        <v>28</v>
      </c>
      <c r="D18" s="332"/>
      <c r="E18" s="6"/>
    </row>
    <row r="19" spans="1:6" x14ac:dyDescent="0.2">
      <c r="A19" s="331">
        <v>7</v>
      </c>
      <c r="B19" s="333">
        <f>B17+1</f>
        <v>46113</v>
      </c>
      <c r="C19" s="6" t="s">
        <v>71</v>
      </c>
      <c r="D19" s="331">
        <f>E19+E20</f>
        <v>7</v>
      </c>
      <c r="E19" s="26">
        <v>7</v>
      </c>
    </row>
    <row r="20" spans="1:6" x14ac:dyDescent="0.2">
      <c r="A20" s="332"/>
      <c r="B20" s="334"/>
      <c r="C20" s="6" t="s">
        <v>28</v>
      </c>
      <c r="D20" s="332"/>
      <c r="E20" s="6"/>
    </row>
    <row r="21" spans="1:6" x14ac:dyDescent="0.2">
      <c r="A21" s="331">
        <v>8</v>
      </c>
      <c r="B21" s="333">
        <f>B19+1</f>
        <v>46114</v>
      </c>
      <c r="C21" s="6" t="s">
        <v>71</v>
      </c>
      <c r="D21" s="331">
        <f>E21+E22</f>
        <v>11</v>
      </c>
      <c r="E21" s="26">
        <v>11</v>
      </c>
    </row>
    <row r="22" spans="1:6" x14ac:dyDescent="0.2">
      <c r="A22" s="332"/>
      <c r="B22" s="334"/>
      <c r="C22" s="6" t="s">
        <v>28</v>
      </c>
      <c r="D22" s="332"/>
      <c r="E22" s="6"/>
    </row>
    <row r="23" spans="1:6" x14ac:dyDescent="0.2">
      <c r="A23" s="331">
        <v>9</v>
      </c>
      <c r="B23" s="333">
        <f>B21+1</f>
        <v>46115</v>
      </c>
      <c r="C23" s="6" t="s">
        <v>71</v>
      </c>
      <c r="D23" s="331">
        <f>E23+E24</f>
        <v>17</v>
      </c>
      <c r="E23" s="26">
        <v>17</v>
      </c>
    </row>
    <row r="24" spans="1:6" x14ac:dyDescent="0.2">
      <c r="A24" s="332"/>
      <c r="B24" s="334"/>
      <c r="C24" s="6" t="s">
        <v>28</v>
      </c>
      <c r="D24" s="332"/>
      <c r="E24" s="6"/>
    </row>
    <row r="25" spans="1:6" x14ac:dyDescent="0.2">
      <c r="A25" s="331">
        <v>10</v>
      </c>
      <c r="B25" s="333">
        <f>B23+1</f>
        <v>46116</v>
      </c>
      <c r="C25" s="6" t="s">
        <v>71</v>
      </c>
      <c r="D25" s="331">
        <f>E25+E26</f>
        <v>12</v>
      </c>
      <c r="E25" s="26">
        <v>12</v>
      </c>
    </row>
    <row r="26" spans="1:6" x14ac:dyDescent="0.2">
      <c r="A26" s="332"/>
      <c r="B26" s="334"/>
      <c r="C26" s="6" t="s">
        <v>28</v>
      </c>
      <c r="D26" s="332"/>
      <c r="E26" s="6"/>
    </row>
    <row r="27" spans="1:6" x14ac:dyDescent="0.2">
      <c r="A27" s="331">
        <v>11</v>
      </c>
      <c r="B27" s="333">
        <f>B25+1</f>
        <v>46117</v>
      </c>
      <c r="C27" s="6" t="s">
        <v>71</v>
      </c>
      <c r="D27" s="331">
        <f>E27+E28</f>
        <v>10</v>
      </c>
      <c r="E27" s="26">
        <v>10</v>
      </c>
    </row>
    <row r="28" spans="1:6" x14ac:dyDescent="0.2">
      <c r="A28" s="332"/>
      <c r="B28" s="334"/>
      <c r="C28" s="6" t="s">
        <v>28</v>
      </c>
      <c r="D28" s="332"/>
      <c r="E28" s="6"/>
    </row>
    <row r="29" spans="1:6" x14ac:dyDescent="0.2">
      <c r="A29" s="331">
        <v>12</v>
      </c>
      <c r="B29" s="333">
        <f>B27+1</f>
        <v>46118</v>
      </c>
      <c r="C29" s="6" t="s">
        <v>71</v>
      </c>
      <c r="D29" s="331">
        <f>E29+E30</f>
        <v>11</v>
      </c>
      <c r="E29" s="26">
        <v>11</v>
      </c>
      <c r="F29" s="110"/>
    </row>
    <row r="30" spans="1:6" x14ac:dyDescent="0.2">
      <c r="A30" s="332"/>
      <c r="B30" s="334"/>
      <c r="C30" s="6" t="s">
        <v>28</v>
      </c>
      <c r="D30" s="332"/>
      <c r="E30" s="6"/>
      <c r="F30" s="110"/>
    </row>
    <row r="31" spans="1:6" x14ac:dyDescent="0.2">
      <c r="A31" s="331">
        <v>13</v>
      </c>
      <c r="B31" s="333">
        <f>B29+1</f>
        <v>46119</v>
      </c>
      <c r="C31" s="6" t="s">
        <v>71</v>
      </c>
      <c r="D31" s="331">
        <f>E31+E32</f>
        <v>14</v>
      </c>
      <c r="E31" s="26">
        <v>14</v>
      </c>
    </row>
    <row r="32" spans="1:6" x14ac:dyDescent="0.2">
      <c r="A32" s="332"/>
      <c r="B32" s="334"/>
      <c r="C32" s="6" t="s">
        <v>28</v>
      </c>
      <c r="D32" s="332"/>
      <c r="E32" s="6"/>
    </row>
    <row r="33" spans="1:5" x14ac:dyDescent="0.2">
      <c r="A33" s="331">
        <v>14</v>
      </c>
      <c r="B33" s="333">
        <f>B31+1</f>
        <v>46120</v>
      </c>
      <c r="C33" s="6" t="s">
        <v>71</v>
      </c>
      <c r="D33" s="331">
        <f>E33+E34</f>
        <v>10</v>
      </c>
      <c r="E33" s="26">
        <v>10</v>
      </c>
    </row>
    <row r="34" spans="1:5" x14ac:dyDescent="0.2">
      <c r="A34" s="332"/>
      <c r="B34" s="334"/>
      <c r="C34" s="6" t="s">
        <v>28</v>
      </c>
      <c r="D34" s="332"/>
      <c r="E34" s="6"/>
    </row>
    <row r="35" spans="1:5" x14ac:dyDescent="0.2">
      <c r="A35" s="331">
        <v>15</v>
      </c>
      <c r="B35" s="333">
        <f>B33+1</f>
        <v>46121</v>
      </c>
      <c r="C35" s="6" t="s">
        <v>71</v>
      </c>
      <c r="D35" s="331">
        <f>E35+E36</f>
        <v>11</v>
      </c>
      <c r="E35" s="26">
        <v>11</v>
      </c>
    </row>
    <row r="36" spans="1:5" x14ac:dyDescent="0.2">
      <c r="A36" s="332"/>
      <c r="B36" s="334"/>
      <c r="C36" s="6" t="s">
        <v>28</v>
      </c>
      <c r="D36" s="332"/>
      <c r="E36" s="6"/>
    </row>
    <row r="37" spans="1:5" x14ac:dyDescent="0.2">
      <c r="A37" s="331">
        <v>16</v>
      </c>
      <c r="B37" s="333">
        <f>B35+1</f>
        <v>46122</v>
      </c>
      <c r="C37" s="6" t="s">
        <v>71</v>
      </c>
      <c r="D37" s="331">
        <f>E37+E38</f>
        <v>13</v>
      </c>
      <c r="E37" s="26">
        <v>13</v>
      </c>
    </row>
    <row r="38" spans="1:5" x14ac:dyDescent="0.2">
      <c r="A38" s="332"/>
      <c r="B38" s="334"/>
      <c r="C38" s="6" t="s">
        <v>28</v>
      </c>
      <c r="D38" s="332"/>
      <c r="E38" s="6"/>
    </row>
    <row r="39" spans="1:5" x14ac:dyDescent="0.2">
      <c r="A39" s="331">
        <v>17</v>
      </c>
      <c r="B39" s="333">
        <f>B37+1</f>
        <v>46123</v>
      </c>
      <c r="C39" s="6" t="s">
        <v>71</v>
      </c>
      <c r="D39" s="331">
        <f>E39+E40</f>
        <v>10</v>
      </c>
      <c r="E39" s="26">
        <v>10</v>
      </c>
    </row>
    <row r="40" spans="1:5" x14ac:dyDescent="0.2">
      <c r="A40" s="332"/>
      <c r="B40" s="334"/>
      <c r="C40" s="6" t="s">
        <v>28</v>
      </c>
      <c r="D40" s="332"/>
      <c r="E40" s="6"/>
    </row>
    <row r="41" spans="1:5" s="19" customFormat="1" ht="23.25" x14ac:dyDescent="0.2">
      <c r="A41" s="336" t="s">
        <v>10</v>
      </c>
      <c r="B41" s="337"/>
      <c r="C41" s="337"/>
      <c r="D41" s="18">
        <f>SUM(D7:D40)</f>
        <v>186</v>
      </c>
      <c r="E41" s="18">
        <f>SUM(E7:E40)</f>
        <v>186</v>
      </c>
    </row>
    <row r="44" spans="1:5" ht="21.95" customHeight="1" x14ac:dyDescent="0.2">
      <c r="A44" s="319" t="s">
        <v>22</v>
      </c>
      <c r="B44" s="319"/>
      <c r="C44" s="319"/>
      <c r="D44" s="319"/>
      <c r="E44" s="319"/>
    </row>
    <row r="45" spans="1:5" s="9" customFormat="1" ht="20.100000000000001" customHeight="1" x14ac:dyDescent="0.2">
      <c r="A45" s="335" t="str">
        <f>A2</f>
        <v>รายงานการวิ่งรถประจำเดือน เมษายน ปี 69</v>
      </c>
      <c r="B45" s="335"/>
      <c r="C45" s="335"/>
      <c r="D45" s="335"/>
      <c r="E45" s="335"/>
    </row>
    <row r="46" spans="1:5" s="3" customFormat="1" ht="20.100000000000001" customHeight="1" x14ac:dyDescent="0.35">
      <c r="A46" s="318" t="str">
        <f>A3</f>
        <v xml:space="preserve">รถ…รถน้ำ </v>
      </c>
      <c r="B46" s="318"/>
      <c r="C46" s="2"/>
      <c r="D46" s="4" t="s">
        <v>21</v>
      </c>
      <c r="E46" s="1">
        <f>E3+1</f>
        <v>2</v>
      </c>
    </row>
    <row r="47" spans="1:5" s="3" customFormat="1" ht="20.100000000000001" customHeight="1" x14ac:dyDescent="0.35">
      <c r="A47" s="311" t="str">
        <f>A4</f>
        <v>ทะเบียนรถ 54-8957</v>
      </c>
      <c r="B47" s="311"/>
      <c r="C47" s="2"/>
      <c r="D47" s="4" t="s">
        <v>15</v>
      </c>
      <c r="E47" s="1" t="str">
        <f>E4</f>
        <v>26/03/69 - 24/04/69</v>
      </c>
    </row>
    <row r="48" spans="1:5" x14ac:dyDescent="0.2">
      <c r="A48" s="12" t="s">
        <v>23</v>
      </c>
      <c r="B48" s="13" t="s">
        <v>11</v>
      </c>
      <c r="C48" s="12" t="s">
        <v>16</v>
      </c>
      <c r="D48" s="12" t="s">
        <v>18</v>
      </c>
      <c r="E48" s="12" t="s">
        <v>19</v>
      </c>
    </row>
    <row r="49" spans="1:5" x14ac:dyDescent="0.2">
      <c r="A49" s="15"/>
      <c r="B49" s="16"/>
      <c r="C49" s="15"/>
      <c r="D49" s="15" t="s">
        <v>20</v>
      </c>
      <c r="E49" s="15"/>
    </row>
    <row r="50" spans="1:5" x14ac:dyDescent="0.2">
      <c r="A50" s="331">
        <v>18</v>
      </c>
      <c r="B50" s="333">
        <f>B39+1</f>
        <v>46124</v>
      </c>
      <c r="C50" s="6" t="s">
        <v>71</v>
      </c>
      <c r="D50" s="331">
        <f>E50+E51</f>
        <v>0</v>
      </c>
      <c r="E50" s="26"/>
    </row>
    <row r="51" spans="1:5" x14ac:dyDescent="0.2">
      <c r="A51" s="332"/>
      <c r="B51" s="334"/>
      <c r="C51" s="6" t="s">
        <v>28</v>
      </c>
      <c r="D51" s="332"/>
      <c r="E51" s="6"/>
    </row>
    <row r="52" spans="1:5" x14ac:dyDescent="0.2">
      <c r="A52" s="331">
        <v>19</v>
      </c>
      <c r="B52" s="333">
        <f>B50+1</f>
        <v>46125</v>
      </c>
      <c r="C52" s="6" t="s">
        <v>71</v>
      </c>
      <c r="D52" s="331">
        <f>E52+E53</f>
        <v>0</v>
      </c>
      <c r="E52" s="26"/>
    </row>
    <row r="53" spans="1:5" x14ac:dyDescent="0.2">
      <c r="A53" s="332"/>
      <c r="B53" s="334"/>
      <c r="C53" s="6" t="s">
        <v>28</v>
      </c>
      <c r="D53" s="332"/>
      <c r="E53" s="6"/>
    </row>
    <row r="54" spans="1:5" x14ac:dyDescent="0.2">
      <c r="A54" s="331">
        <v>20</v>
      </c>
      <c r="B54" s="333">
        <f>B52+1</f>
        <v>46126</v>
      </c>
      <c r="C54" s="6" t="s">
        <v>71</v>
      </c>
      <c r="D54" s="331">
        <f>E54+E55</f>
        <v>0</v>
      </c>
      <c r="E54" s="26"/>
    </row>
    <row r="55" spans="1:5" x14ac:dyDescent="0.2">
      <c r="A55" s="332"/>
      <c r="B55" s="334"/>
      <c r="C55" s="6" t="s">
        <v>28</v>
      </c>
      <c r="D55" s="332"/>
      <c r="E55" s="6"/>
    </row>
    <row r="56" spans="1:5" x14ac:dyDescent="0.2">
      <c r="A56" s="331">
        <v>21</v>
      </c>
      <c r="B56" s="333">
        <f>B54+1</f>
        <v>46127</v>
      </c>
      <c r="C56" s="6" t="s">
        <v>71</v>
      </c>
      <c r="D56" s="331">
        <f>E56+E57</f>
        <v>0</v>
      </c>
      <c r="E56" s="26"/>
    </row>
    <row r="57" spans="1:5" x14ac:dyDescent="0.2">
      <c r="A57" s="332"/>
      <c r="B57" s="334"/>
      <c r="C57" s="6" t="s">
        <v>28</v>
      </c>
      <c r="D57" s="332"/>
      <c r="E57" s="6"/>
    </row>
    <row r="58" spans="1:5" x14ac:dyDescent="0.2">
      <c r="A58" s="331">
        <v>22</v>
      </c>
      <c r="B58" s="333">
        <f>B56+1</f>
        <v>46128</v>
      </c>
      <c r="C58" s="6" t="s">
        <v>71</v>
      </c>
      <c r="D58" s="331">
        <f>E58+E59</f>
        <v>0</v>
      </c>
      <c r="E58" s="26"/>
    </row>
    <row r="59" spans="1:5" x14ac:dyDescent="0.2">
      <c r="A59" s="332"/>
      <c r="B59" s="334"/>
      <c r="C59" s="6" t="s">
        <v>28</v>
      </c>
      <c r="D59" s="332"/>
      <c r="E59" s="6"/>
    </row>
    <row r="60" spans="1:5" x14ac:dyDescent="0.2">
      <c r="A60" s="331">
        <v>23</v>
      </c>
      <c r="B60" s="333">
        <f>B58+1</f>
        <v>46129</v>
      </c>
      <c r="C60" s="6" t="s">
        <v>71</v>
      </c>
      <c r="D60" s="331">
        <f>E60+E61</f>
        <v>0</v>
      </c>
      <c r="E60" s="26"/>
    </row>
    <row r="61" spans="1:5" x14ac:dyDescent="0.2">
      <c r="A61" s="332"/>
      <c r="B61" s="334"/>
      <c r="C61" s="6" t="s">
        <v>28</v>
      </c>
      <c r="D61" s="332"/>
      <c r="E61" s="6"/>
    </row>
    <row r="62" spans="1:5" x14ac:dyDescent="0.2">
      <c r="A62" s="331">
        <v>24</v>
      </c>
      <c r="B62" s="333">
        <f>B60+1</f>
        <v>46130</v>
      </c>
      <c r="C62" s="6" t="s">
        <v>71</v>
      </c>
      <c r="D62" s="331">
        <f>E62+E63</f>
        <v>7</v>
      </c>
      <c r="E62" s="26">
        <v>7</v>
      </c>
    </row>
    <row r="63" spans="1:5" x14ac:dyDescent="0.2">
      <c r="A63" s="332"/>
      <c r="B63" s="334"/>
      <c r="C63" s="6" t="s">
        <v>28</v>
      </c>
      <c r="D63" s="332"/>
      <c r="E63" s="6"/>
    </row>
    <row r="64" spans="1:5" x14ac:dyDescent="0.2">
      <c r="A64" s="331">
        <v>25</v>
      </c>
      <c r="B64" s="333">
        <f>B62+1</f>
        <v>46131</v>
      </c>
      <c r="C64" s="6" t="s">
        <v>71</v>
      </c>
      <c r="D64" s="331">
        <f>E64+E65</f>
        <v>3</v>
      </c>
      <c r="E64" s="26">
        <v>3</v>
      </c>
    </row>
    <row r="65" spans="1:5" x14ac:dyDescent="0.2">
      <c r="A65" s="332"/>
      <c r="B65" s="334"/>
      <c r="C65" s="6" t="s">
        <v>28</v>
      </c>
      <c r="D65" s="332"/>
      <c r="E65" s="6"/>
    </row>
    <row r="66" spans="1:5" x14ac:dyDescent="0.2">
      <c r="A66" s="331">
        <v>26</v>
      </c>
      <c r="B66" s="333">
        <f>B64+1</f>
        <v>46132</v>
      </c>
      <c r="C66" s="6" t="s">
        <v>71</v>
      </c>
      <c r="D66" s="331">
        <f>E66+E67</f>
        <v>7</v>
      </c>
      <c r="E66" s="26">
        <v>7</v>
      </c>
    </row>
    <row r="67" spans="1:5" x14ac:dyDescent="0.2">
      <c r="A67" s="332"/>
      <c r="B67" s="334"/>
      <c r="C67" s="6" t="s">
        <v>28</v>
      </c>
      <c r="D67" s="332"/>
      <c r="E67" s="6"/>
    </row>
    <row r="68" spans="1:5" x14ac:dyDescent="0.2">
      <c r="A68" s="331">
        <v>27</v>
      </c>
      <c r="B68" s="333">
        <f>B66+1</f>
        <v>46133</v>
      </c>
      <c r="C68" s="6" t="s">
        <v>71</v>
      </c>
      <c r="D68" s="331">
        <f>E68+E69</f>
        <v>14</v>
      </c>
      <c r="E68" s="26">
        <v>14</v>
      </c>
    </row>
    <row r="69" spans="1:5" x14ac:dyDescent="0.2">
      <c r="A69" s="332"/>
      <c r="B69" s="334"/>
      <c r="C69" s="6" t="s">
        <v>28</v>
      </c>
      <c r="D69" s="332"/>
      <c r="E69" s="6"/>
    </row>
    <row r="70" spans="1:5" x14ac:dyDescent="0.2">
      <c r="A70" s="331">
        <v>28</v>
      </c>
      <c r="B70" s="333">
        <f>B68+1</f>
        <v>46134</v>
      </c>
      <c r="C70" s="6" t="s">
        <v>71</v>
      </c>
      <c r="D70" s="331">
        <f>E70+E71</f>
        <v>10</v>
      </c>
      <c r="E70" s="26">
        <v>10</v>
      </c>
    </row>
    <row r="71" spans="1:5" x14ac:dyDescent="0.2">
      <c r="A71" s="332"/>
      <c r="B71" s="334"/>
      <c r="C71" s="6" t="s">
        <v>28</v>
      </c>
      <c r="D71" s="332"/>
      <c r="E71" s="6"/>
    </row>
    <row r="72" spans="1:5" x14ac:dyDescent="0.2">
      <c r="A72" s="331">
        <v>29</v>
      </c>
      <c r="B72" s="333">
        <f>B70+1</f>
        <v>46135</v>
      </c>
      <c r="C72" s="6" t="s">
        <v>71</v>
      </c>
      <c r="D72" s="331">
        <f>E72+E73</f>
        <v>13</v>
      </c>
      <c r="E72" s="26">
        <v>13</v>
      </c>
    </row>
    <row r="73" spans="1:5" x14ac:dyDescent="0.2">
      <c r="A73" s="332"/>
      <c r="B73" s="334"/>
      <c r="C73" s="6" t="s">
        <v>28</v>
      </c>
      <c r="D73" s="332"/>
      <c r="E73" s="6"/>
    </row>
    <row r="74" spans="1:5" x14ac:dyDescent="0.2">
      <c r="A74" s="331">
        <v>30</v>
      </c>
      <c r="B74" s="333">
        <f>B72+1</f>
        <v>46136</v>
      </c>
      <c r="C74" s="6" t="s">
        <v>71</v>
      </c>
      <c r="D74" s="331">
        <f>E74+E75</f>
        <v>7</v>
      </c>
      <c r="E74" s="26">
        <v>7</v>
      </c>
    </row>
    <row r="75" spans="1:5" x14ac:dyDescent="0.2">
      <c r="A75" s="332"/>
      <c r="B75" s="334"/>
      <c r="C75" s="6" t="s">
        <v>28</v>
      </c>
      <c r="D75" s="332"/>
      <c r="E75" s="6"/>
    </row>
    <row r="76" spans="1:5" x14ac:dyDescent="0.2">
      <c r="A76" s="331">
        <v>31</v>
      </c>
      <c r="B76" s="333">
        <f>B74+1</f>
        <v>46137</v>
      </c>
      <c r="C76" s="6" t="s">
        <v>71</v>
      </c>
      <c r="D76" s="331">
        <f>E76+E77</f>
        <v>0</v>
      </c>
      <c r="E76" s="26"/>
    </row>
    <row r="77" spans="1:5" x14ac:dyDescent="0.2">
      <c r="A77" s="332"/>
      <c r="B77" s="334"/>
      <c r="C77" s="6" t="s">
        <v>28</v>
      </c>
      <c r="D77" s="332"/>
      <c r="E77" s="6"/>
    </row>
    <row r="78" spans="1:5" hidden="1" x14ac:dyDescent="0.2">
      <c r="A78" s="331">
        <v>32</v>
      </c>
      <c r="B78" s="333">
        <f>B76+1</f>
        <v>46138</v>
      </c>
      <c r="C78" s="6" t="s">
        <v>71</v>
      </c>
      <c r="D78" s="331">
        <f>E78+E79</f>
        <v>0</v>
      </c>
      <c r="E78" s="26"/>
    </row>
    <row r="79" spans="1:5" hidden="1" x14ac:dyDescent="0.2">
      <c r="A79" s="332"/>
      <c r="B79" s="334"/>
      <c r="C79" s="6" t="s">
        <v>28</v>
      </c>
      <c r="D79" s="332"/>
      <c r="E79" s="6"/>
    </row>
    <row r="80" spans="1:5" hidden="1" x14ac:dyDescent="0.2">
      <c r="A80" s="331">
        <v>33</v>
      </c>
      <c r="B80" s="333"/>
      <c r="C80" s="6" t="s">
        <v>71</v>
      </c>
      <c r="D80" s="331">
        <f>E80+E81</f>
        <v>0</v>
      </c>
      <c r="E80" s="26"/>
    </row>
    <row r="81" spans="1:5" hidden="1" x14ac:dyDescent="0.2">
      <c r="A81" s="332"/>
      <c r="B81" s="334"/>
      <c r="C81" s="6" t="s">
        <v>28</v>
      </c>
      <c r="D81" s="332"/>
      <c r="E81" s="6"/>
    </row>
    <row r="82" spans="1:5" hidden="1" x14ac:dyDescent="0.2">
      <c r="A82" s="331">
        <v>34</v>
      </c>
      <c r="B82" s="333"/>
      <c r="C82" s="6" t="s">
        <v>71</v>
      </c>
      <c r="D82" s="331">
        <f>E82+E83</f>
        <v>0</v>
      </c>
      <c r="E82" s="26"/>
    </row>
    <row r="83" spans="1:5" hidden="1" x14ac:dyDescent="0.2">
      <c r="A83" s="332"/>
      <c r="B83" s="334"/>
      <c r="C83" s="6" t="s">
        <v>28</v>
      </c>
      <c r="D83" s="332"/>
      <c r="E83" s="6"/>
    </row>
    <row r="84" spans="1:5" hidden="1" x14ac:dyDescent="0.2">
      <c r="A84" s="331">
        <v>35</v>
      </c>
      <c r="B84" s="333"/>
      <c r="C84" s="6" t="s">
        <v>71</v>
      </c>
      <c r="D84" s="331">
        <f>E84+E85</f>
        <v>0</v>
      </c>
      <c r="E84" s="26"/>
    </row>
    <row r="85" spans="1:5" hidden="1" x14ac:dyDescent="0.2">
      <c r="A85" s="332"/>
      <c r="B85" s="334"/>
      <c r="C85" s="6" t="s">
        <v>28</v>
      </c>
      <c r="D85" s="332"/>
      <c r="E85" s="6"/>
    </row>
    <row r="86" spans="1:5" hidden="1" x14ac:dyDescent="0.2">
      <c r="A86" s="331">
        <v>36</v>
      </c>
      <c r="B86" s="333"/>
      <c r="C86" s="6" t="s">
        <v>71</v>
      </c>
      <c r="D86" s="331">
        <f>E86+E87</f>
        <v>0</v>
      </c>
      <c r="E86" s="26"/>
    </row>
    <row r="87" spans="1:5" hidden="1" x14ac:dyDescent="0.2">
      <c r="A87" s="332"/>
      <c r="B87" s="334"/>
      <c r="C87" s="6" t="s">
        <v>28</v>
      </c>
      <c r="D87" s="332"/>
      <c r="E87" s="6"/>
    </row>
    <row r="88" spans="1:5" s="19" customFormat="1" ht="23.25" x14ac:dyDescent="0.2">
      <c r="A88" s="336" t="s">
        <v>10</v>
      </c>
      <c r="B88" s="337"/>
      <c r="C88" s="337"/>
      <c r="D88" s="18">
        <f>SUM(D50:D79)</f>
        <v>61</v>
      </c>
      <c r="E88" s="18">
        <f>SUM(E50:E79)+E41</f>
        <v>247</v>
      </c>
    </row>
  </sheetData>
  <mergeCells count="118">
    <mergeCell ref="A88:C88"/>
    <mergeCell ref="A84:A85"/>
    <mergeCell ref="B84:B85"/>
    <mergeCell ref="D84:D85"/>
    <mergeCell ref="A86:A87"/>
    <mergeCell ref="B86:B87"/>
    <mergeCell ref="D86:D87"/>
    <mergeCell ref="A80:A81"/>
    <mergeCell ref="B80:B81"/>
    <mergeCell ref="D80:D81"/>
    <mergeCell ref="A82:A83"/>
    <mergeCell ref="B82:B83"/>
    <mergeCell ref="D82:D83"/>
    <mergeCell ref="A76:A77"/>
    <mergeCell ref="B76:B77"/>
    <mergeCell ref="D76:D77"/>
    <mergeCell ref="A78:A79"/>
    <mergeCell ref="B78:B79"/>
    <mergeCell ref="D78:D79"/>
    <mergeCell ref="A72:A73"/>
    <mergeCell ref="B72:B73"/>
    <mergeCell ref="D72:D73"/>
    <mergeCell ref="A74:A75"/>
    <mergeCell ref="B74:B75"/>
    <mergeCell ref="D74:D75"/>
    <mergeCell ref="A68:A69"/>
    <mergeCell ref="B68:B69"/>
    <mergeCell ref="D68:D69"/>
    <mergeCell ref="A70:A71"/>
    <mergeCell ref="B70:B71"/>
    <mergeCell ref="D70:D71"/>
    <mergeCell ref="A64:A65"/>
    <mergeCell ref="B64:B65"/>
    <mergeCell ref="D64:D65"/>
    <mergeCell ref="A66:A67"/>
    <mergeCell ref="B66:B67"/>
    <mergeCell ref="D66:D67"/>
    <mergeCell ref="A60:A61"/>
    <mergeCell ref="B60:B61"/>
    <mergeCell ref="D60:D61"/>
    <mergeCell ref="A62:A63"/>
    <mergeCell ref="B62:B63"/>
    <mergeCell ref="D62:D63"/>
    <mergeCell ref="A56:A57"/>
    <mergeCell ref="B56:B57"/>
    <mergeCell ref="D56:D57"/>
    <mergeCell ref="A58:A59"/>
    <mergeCell ref="B58:B59"/>
    <mergeCell ref="D58:D59"/>
    <mergeCell ref="A52:A53"/>
    <mergeCell ref="B52:B53"/>
    <mergeCell ref="D52:D53"/>
    <mergeCell ref="A54:A55"/>
    <mergeCell ref="B54:B55"/>
    <mergeCell ref="D54:D55"/>
    <mergeCell ref="A41:C41"/>
    <mergeCell ref="A44:E44"/>
    <mergeCell ref="A45:E45"/>
    <mergeCell ref="A46:B46"/>
    <mergeCell ref="A47:B47"/>
    <mergeCell ref="A50:A51"/>
    <mergeCell ref="B50:B51"/>
    <mergeCell ref="D50:D51"/>
    <mergeCell ref="A37:A38"/>
    <mergeCell ref="B37:B38"/>
    <mergeCell ref="D37:D38"/>
    <mergeCell ref="A39:A40"/>
    <mergeCell ref="B39:B40"/>
    <mergeCell ref="D39:D40"/>
    <mergeCell ref="A33:A34"/>
    <mergeCell ref="B33:B34"/>
    <mergeCell ref="D33:D34"/>
    <mergeCell ref="A35:A36"/>
    <mergeCell ref="B35:B36"/>
    <mergeCell ref="D35:D36"/>
    <mergeCell ref="A31:A32"/>
    <mergeCell ref="B31:B32"/>
    <mergeCell ref="D31:D32"/>
    <mergeCell ref="A25:A26"/>
    <mergeCell ref="B25:B26"/>
    <mergeCell ref="D25:D26"/>
    <mergeCell ref="A27:A28"/>
    <mergeCell ref="B27:B28"/>
    <mergeCell ref="D27:D28"/>
    <mergeCell ref="B23:B24"/>
    <mergeCell ref="D23:D24"/>
    <mergeCell ref="A17:A18"/>
    <mergeCell ref="B17:B18"/>
    <mergeCell ref="D17:D18"/>
    <mergeCell ref="A19:A20"/>
    <mergeCell ref="B19:B20"/>
    <mergeCell ref="D19:D20"/>
    <mergeCell ref="A29:A30"/>
    <mergeCell ref="B29:B30"/>
    <mergeCell ref="D29:D30"/>
    <mergeCell ref="A21:A22"/>
    <mergeCell ref="B21:B22"/>
    <mergeCell ref="D21:D22"/>
    <mergeCell ref="A23:A24"/>
    <mergeCell ref="A1:E1"/>
    <mergeCell ref="A2:E2"/>
    <mergeCell ref="A3:B3"/>
    <mergeCell ref="A4:B4"/>
    <mergeCell ref="A7:A8"/>
    <mergeCell ref="B7:B8"/>
    <mergeCell ref="D7:D8"/>
    <mergeCell ref="A13:A14"/>
    <mergeCell ref="B13:B14"/>
    <mergeCell ref="D13:D14"/>
    <mergeCell ref="A15:A16"/>
    <mergeCell ref="B15:B16"/>
    <mergeCell ref="D15:D16"/>
    <mergeCell ref="A9:A10"/>
    <mergeCell ref="B9:B10"/>
    <mergeCell ref="D9:D10"/>
    <mergeCell ref="A11:A12"/>
    <mergeCell ref="B11:B12"/>
    <mergeCell ref="D11:D1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zoomScale="110" zoomScaleNormal="110" workbookViewId="0">
      <selection activeCell="D101" sqref="D101"/>
    </sheetView>
  </sheetViews>
  <sheetFormatPr defaultColWidth="9" defaultRowHeight="17.25" x14ac:dyDescent="0.2"/>
  <cols>
    <col min="1" max="1" width="6" style="1" customWidth="1"/>
    <col min="2" max="2" width="14.125" style="7" customWidth="1"/>
    <col min="3" max="3" width="28.375" style="1" customWidth="1"/>
    <col min="4" max="4" width="11.25" style="1" customWidth="1"/>
    <col min="5" max="5" width="23.25" style="1" customWidth="1"/>
    <col min="6" max="16384" width="9" style="1"/>
  </cols>
  <sheetData>
    <row r="1" spans="1:8" ht="21.95" customHeight="1" x14ac:dyDescent="0.2">
      <c r="A1" s="319" t="s">
        <v>22</v>
      </c>
      <c r="B1" s="319"/>
      <c r="C1" s="319"/>
      <c r="D1" s="319"/>
      <c r="E1" s="319"/>
    </row>
    <row r="2" spans="1:8" s="9" customFormat="1" ht="20.100000000000001" customHeight="1" x14ac:dyDescent="0.2">
      <c r="A2" s="335" t="str">
        <f>Loader!A2</f>
        <v>รายงานการวิ่งรถประจำเดือน เมษายน ปี 69</v>
      </c>
      <c r="B2" s="335"/>
      <c r="C2" s="335"/>
      <c r="D2" s="335"/>
      <c r="E2" s="335"/>
    </row>
    <row r="3" spans="1:8" s="3" customFormat="1" ht="20.100000000000001" customHeight="1" x14ac:dyDescent="0.35">
      <c r="A3" s="318" t="s">
        <v>150</v>
      </c>
      <c r="B3" s="318"/>
      <c r="C3" s="2"/>
      <c r="D3" s="4" t="s">
        <v>21</v>
      </c>
      <c r="E3" s="1">
        <v>1</v>
      </c>
    </row>
    <row r="4" spans="1:8" s="3" customFormat="1" ht="20.100000000000001" customHeight="1" x14ac:dyDescent="0.35">
      <c r="A4" s="311" t="s">
        <v>151</v>
      </c>
      <c r="B4" s="311"/>
      <c r="C4" s="2"/>
      <c r="D4" s="4" t="s">
        <v>15</v>
      </c>
      <c r="E4" s="143" t="str">
        <f>Loader!E4</f>
        <v>26/03/69 - 24/04/69</v>
      </c>
      <c r="F4" s="2"/>
      <c r="G4" s="2"/>
      <c r="H4" s="2"/>
    </row>
    <row r="5" spans="1:8" x14ac:dyDescent="0.2">
      <c r="A5" s="12" t="s">
        <v>23</v>
      </c>
      <c r="B5" s="13" t="s">
        <v>11</v>
      </c>
      <c r="C5" s="12" t="s">
        <v>16</v>
      </c>
      <c r="D5" s="12" t="s">
        <v>18</v>
      </c>
      <c r="E5" s="12" t="s">
        <v>19</v>
      </c>
    </row>
    <row r="6" spans="1:8" x14ac:dyDescent="0.2">
      <c r="A6" s="15"/>
      <c r="B6" s="16"/>
      <c r="C6" s="15"/>
      <c r="D6" s="15" t="s">
        <v>20</v>
      </c>
      <c r="E6" s="15"/>
    </row>
    <row r="7" spans="1:8" x14ac:dyDescent="0.2">
      <c r="A7" s="331">
        <v>1</v>
      </c>
      <c r="B7" s="333">
        <f>Loader!B7</f>
        <v>46107</v>
      </c>
      <c r="C7" s="182" t="s">
        <v>153</v>
      </c>
      <c r="D7" s="331">
        <f>E7+E8</f>
        <v>3</v>
      </c>
      <c r="E7" s="26">
        <v>3</v>
      </c>
    </row>
    <row r="8" spans="1:8" x14ac:dyDescent="0.2">
      <c r="A8" s="332"/>
      <c r="B8" s="334"/>
      <c r="C8" s="8" t="s">
        <v>155</v>
      </c>
      <c r="D8" s="332"/>
      <c r="E8" s="6"/>
    </row>
    <row r="9" spans="1:8" x14ac:dyDescent="0.2">
      <c r="A9" s="331">
        <v>2</v>
      </c>
      <c r="B9" s="333">
        <f>B7+1</f>
        <v>46108</v>
      </c>
      <c r="C9" s="182" t="s">
        <v>153</v>
      </c>
      <c r="D9" s="331">
        <f>E9+E10</f>
        <v>3</v>
      </c>
      <c r="E9" s="26">
        <v>3</v>
      </c>
    </row>
    <row r="10" spans="1:8" x14ac:dyDescent="0.2">
      <c r="A10" s="332"/>
      <c r="B10" s="334"/>
      <c r="C10" s="8" t="s">
        <v>155</v>
      </c>
      <c r="D10" s="332"/>
      <c r="E10" s="6"/>
    </row>
    <row r="11" spans="1:8" x14ac:dyDescent="0.2">
      <c r="A11" s="331">
        <v>3</v>
      </c>
      <c r="B11" s="333">
        <f>B9+1</f>
        <v>46109</v>
      </c>
      <c r="C11" s="182" t="s">
        <v>153</v>
      </c>
      <c r="D11" s="331">
        <f>E11+E12</f>
        <v>3</v>
      </c>
      <c r="E11" s="26">
        <v>3</v>
      </c>
    </row>
    <row r="12" spans="1:8" x14ac:dyDescent="0.2">
      <c r="A12" s="332"/>
      <c r="B12" s="334"/>
      <c r="C12" s="8" t="s">
        <v>155</v>
      </c>
      <c r="D12" s="332"/>
      <c r="E12" s="6"/>
    </row>
    <row r="13" spans="1:8" x14ac:dyDescent="0.2">
      <c r="A13" s="331">
        <v>4</v>
      </c>
      <c r="B13" s="333">
        <f>B11+1</f>
        <v>46110</v>
      </c>
      <c r="C13" s="182" t="s">
        <v>153</v>
      </c>
      <c r="D13" s="331">
        <f>E13+E14</f>
        <v>2</v>
      </c>
      <c r="E13" s="26">
        <v>2</v>
      </c>
    </row>
    <row r="14" spans="1:8" x14ac:dyDescent="0.2">
      <c r="A14" s="332"/>
      <c r="B14" s="334"/>
      <c r="C14" s="8" t="s">
        <v>155</v>
      </c>
      <c r="D14" s="332"/>
      <c r="E14" s="6"/>
    </row>
    <row r="15" spans="1:8" x14ac:dyDescent="0.2">
      <c r="A15" s="331">
        <v>5</v>
      </c>
      <c r="B15" s="333">
        <f>B13+1</f>
        <v>46111</v>
      </c>
      <c r="C15" s="182" t="s">
        <v>153</v>
      </c>
      <c r="D15" s="331">
        <f>E15+E16</f>
        <v>2</v>
      </c>
      <c r="E15" s="26">
        <v>2</v>
      </c>
    </row>
    <row r="16" spans="1:8" x14ac:dyDescent="0.2">
      <c r="A16" s="332"/>
      <c r="B16" s="334"/>
      <c r="C16" s="8" t="s">
        <v>155</v>
      </c>
      <c r="D16" s="332"/>
      <c r="E16" s="6"/>
    </row>
    <row r="17" spans="1:6" x14ac:dyDescent="0.2">
      <c r="A17" s="331">
        <v>6</v>
      </c>
      <c r="B17" s="333">
        <f>B15+1</f>
        <v>46112</v>
      </c>
      <c r="C17" s="182" t="s">
        <v>153</v>
      </c>
      <c r="D17" s="331">
        <f>E17+E18</f>
        <v>3</v>
      </c>
      <c r="E17" s="26">
        <v>3</v>
      </c>
    </row>
    <row r="18" spans="1:6" x14ac:dyDescent="0.2">
      <c r="A18" s="332"/>
      <c r="B18" s="334"/>
      <c r="C18" s="8" t="s">
        <v>155</v>
      </c>
      <c r="D18" s="332"/>
      <c r="E18" s="6"/>
    </row>
    <row r="19" spans="1:6" x14ac:dyDescent="0.2">
      <c r="A19" s="331">
        <v>7</v>
      </c>
      <c r="B19" s="333">
        <f>B17+1</f>
        <v>46113</v>
      </c>
      <c r="C19" s="182" t="s">
        <v>153</v>
      </c>
      <c r="D19" s="331">
        <f>E19+E20</f>
        <v>2</v>
      </c>
      <c r="E19" s="26">
        <v>2</v>
      </c>
    </row>
    <row r="20" spans="1:6" x14ac:dyDescent="0.2">
      <c r="A20" s="332"/>
      <c r="B20" s="334"/>
      <c r="C20" s="8" t="s">
        <v>155</v>
      </c>
      <c r="D20" s="332"/>
      <c r="E20" s="6"/>
    </row>
    <row r="21" spans="1:6" x14ac:dyDescent="0.2">
      <c r="A21" s="331">
        <v>8</v>
      </c>
      <c r="B21" s="333">
        <f>B19+1</f>
        <v>46114</v>
      </c>
      <c r="C21" s="182" t="s">
        <v>153</v>
      </c>
      <c r="D21" s="331">
        <f>E21+E22</f>
        <v>3</v>
      </c>
      <c r="E21" s="26">
        <v>3</v>
      </c>
    </row>
    <row r="22" spans="1:6" x14ac:dyDescent="0.2">
      <c r="A22" s="332"/>
      <c r="B22" s="334"/>
      <c r="C22" s="8" t="s">
        <v>155</v>
      </c>
      <c r="D22" s="332"/>
      <c r="E22" s="6"/>
    </row>
    <row r="23" spans="1:6" x14ac:dyDescent="0.2">
      <c r="A23" s="331">
        <v>9</v>
      </c>
      <c r="B23" s="333">
        <f>B21+1</f>
        <v>46115</v>
      </c>
      <c r="C23" s="182" t="s">
        <v>153</v>
      </c>
      <c r="D23" s="331">
        <f>E23+E24</f>
        <v>0</v>
      </c>
      <c r="E23" s="26"/>
    </row>
    <row r="24" spans="1:6" x14ac:dyDescent="0.2">
      <c r="A24" s="332"/>
      <c r="B24" s="334"/>
      <c r="C24" s="8" t="s">
        <v>155</v>
      </c>
      <c r="D24" s="332"/>
      <c r="E24" s="6"/>
    </row>
    <row r="25" spans="1:6" x14ac:dyDescent="0.2">
      <c r="A25" s="331">
        <v>10</v>
      </c>
      <c r="B25" s="333">
        <f>B23+1</f>
        <v>46116</v>
      </c>
      <c r="C25" s="182" t="s">
        <v>153</v>
      </c>
      <c r="D25" s="331">
        <f>E25+E26</f>
        <v>0</v>
      </c>
      <c r="E25" s="26"/>
    </row>
    <row r="26" spans="1:6" x14ac:dyDescent="0.2">
      <c r="A26" s="332"/>
      <c r="B26" s="334"/>
      <c r="C26" s="8" t="s">
        <v>155</v>
      </c>
      <c r="D26" s="332"/>
      <c r="E26" s="6"/>
    </row>
    <row r="27" spans="1:6" x14ac:dyDescent="0.2">
      <c r="A27" s="331">
        <v>11</v>
      </c>
      <c r="B27" s="333">
        <f>B25+1</f>
        <v>46117</v>
      </c>
      <c r="C27" s="182" t="s">
        <v>153</v>
      </c>
      <c r="D27" s="331">
        <f>E27+E28</f>
        <v>0</v>
      </c>
      <c r="E27" s="26"/>
    </row>
    <row r="28" spans="1:6" x14ac:dyDescent="0.2">
      <c r="A28" s="332"/>
      <c r="B28" s="334"/>
      <c r="C28" s="8" t="s">
        <v>155</v>
      </c>
      <c r="D28" s="332"/>
      <c r="E28" s="6"/>
    </row>
    <row r="29" spans="1:6" x14ac:dyDescent="0.2">
      <c r="A29" s="331">
        <v>12</v>
      </c>
      <c r="B29" s="333">
        <f>B27+1</f>
        <v>46118</v>
      </c>
      <c r="C29" s="182" t="s">
        <v>153</v>
      </c>
      <c r="D29" s="331">
        <f>E29+E30</f>
        <v>0</v>
      </c>
      <c r="E29" s="26"/>
      <c r="F29" s="110"/>
    </row>
    <row r="30" spans="1:6" x14ac:dyDescent="0.2">
      <c r="A30" s="332"/>
      <c r="B30" s="334"/>
      <c r="C30" s="8" t="s">
        <v>155</v>
      </c>
      <c r="D30" s="332"/>
      <c r="E30" s="6"/>
      <c r="F30" s="110"/>
    </row>
    <row r="31" spans="1:6" x14ac:dyDescent="0.2">
      <c r="A31" s="331">
        <v>13</v>
      </c>
      <c r="B31" s="333">
        <f>B29+1</f>
        <v>46119</v>
      </c>
      <c r="C31" s="182" t="s">
        <v>153</v>
      </c>
      <c r="D31" s="331">
        <f>E31+E32</f>
        <v>0</v>
      </c>
      <c r="E31" s="26"/>
    </row>
    <row r="32" spans="1:6" x14ac:dyDescent="0.2">
      <c r="A32" s="332"/>
      <c r="B32" s="334"/>
      <c r="C32" s="8" t="s">
        <v>155</v>
      </c>
      <c r="D32" s="332"/>
      <c r="E32" s="6"/>
    </row>
    <row r="33" spans="1:5" x14ac:dyDescent="0.2">
      <c r="A33" s="331">
        <v>14</v>
      </c>
      <c r="B33" s="333">
        <f>B31+1</f>
        <v>46120</v>
      </c>
      <c r="C33" s="182" t="s">
        <v>153</v>
      </c>
      <c r="D33" s="331">
        <f>E33+E34</f>
        <v>2</v>
      </c>
      <c r="E33" s="26">
        <v>2</v>
      </c>
    </row>
    <row r="34" spans="1:5" x14ac:dyDescent="0.2">
      <c r="A34" s="332"/>
      <c r="B34" s="334"/>
      <c r="C34" s="8" t="s">
        <v>155</v>
      </c>
      <c r="D34" s="332"/>
      <c r="E34" s="6"/>
    </row>
    <row r="35" spans="1:5" x14ac:dyDescent="0.2">
      <c r="A35" s="331">
        <v>15</v>
      </c>
      <c r="B35" s="333">
        <f>B33+1</f>
        <v>46121</v>
      </c>
      <c r="C35" s="182" t="s">
        <v>153</v>
      </c>
      <c r="D35" s="331">
        <f>E35+E36</f>
        <v>1</v>
      </c>
      <c r="E35" s="26">
        <v>1</v>
      </c>
    </row>
    <row r="36" spans="1:5" x14ac:dyDescent="0.2">
      <c r="A36" s="332"/>
      <c r="B36" s="334"/>
      <c r="C36" s="8" t="s">
        <v>155</v>
      </c>
      <c r="D36" s="332"/>
      <c r="E36" s="6"/>
    </row>
    <row r="37" spans="1:5" x14ac:dyDescent="0.2">
      <c r="A37" s="331">
        <v>16</v>
      </c>
      <c r="B37" s="333">
        <f>B35+1</f>
        <v>46122</v>
      </c>
      <c r="C37" s="182" t="s">
        <v>153</v>
      </c>
      <c r="D37" s="331">
        <f>E37+E38</f>
        <v>2</v>
      </c>
      <c r="E37" s="26">
        <v>2</v>
      </c>
    </row>
    <row r="38" spans="1:5" x14ac:dyDescent="0.2">
      <c r="A38" s="332"/>
      <c r="B38" s="334"/>
      <c r="C38" s="8" t="s">
        <v>155</v>
      </c>
      <c r="D38" s="332"/>
      <c r="E38" s="6"/>
    </row>
    <row r="39" spans="1:5" x14ac:dyDescent="0.2">
      <c r="A39" s="331">
        <v>17</v>
      </c>
      <c r="B39" s="333">
        <f>B37+1</f>
        <v>46123</v>
      </c>
      <c r="C39" s="182" t="s">
        <v>153</v>
      </c>
      <c r="D39" s="331">
        <f>E39+E40</f>
        <v>3</v>
      </c>
      <c r="E39" s="26">
        <v>3</v>
      </c>
    </row>
    <row r="40" spans="1:5" x14ac:dyDescent="0.2">
      <c r="A40" s="332"/>
      <c r="B40" s="334"/>
      <c r="C40" s="8" t="s">
        <v>155</v>
      </c>
      <c r="D40" s="332"/>
      <c r="E40" s="6"/>
    </row>
    <row r="41" spans="1:5" s="19" customFormat="1" ht="23.25" x14ac:dyDescent="0.2">
      <c r="A41" s="336" t="s">
        <v>10</v>
      </c>
      <c r="B41" s="337"/>
      <c r="C41" s="337"/>
      <c r="D41" s="18">
        <f>SUM(D7:D40)</f>
        <v>29</v>
      </c>
      <c r="E41" s="18">
        <f>SUM(E7:E40)</f>
        <v>29</v>
      </c>
    </row>
    <row r="44" spans="1:5" ht="21.95" customHeight="1" x14ac:dyDescent="0.2">
      <c r="A44" s="319" t="s">
        <v>22</v>
      </c>
      <c r="B44" s="319"/>
      <c r="C44" s="319"/>
      <c r="D44" s="319"/>
      <c r="E44" s="319"/>
    </row>
    <row r="45" spans="1:5" s="9" customFormat="1" ht="20.100000000000001" customHeight="1" x14ac:dyDescent="0.2">
      <c r="A45" s="335" t="str">
        <f>A2</f>
        <v>รายงานการวิ่งรถประจำเดือน เมษายน ปี 69</v>
      </c>
      <c r="B45" s="335"/>
      <c r="C45" s="335"/>
      <c r="D45" s="335"/>
      <c r="E45" s="335"/>
    </row>
    <row r="46" spans="1:5" s="3" customFormat="1" ht="20.100000000000001" customHeight="1" x14ac:dyDescent="0.35">
      <c r="A46" s="318" t="str">
        <f>A3</f>
        <v xml:space="preserve">รถ…รถเทรลเลอรร์หัวลาก </v>
      </c>
      <c r="B46" s="318"/>
      <c r="C46" s="2"/>
      <c r="D46" s="4" t="s">
        <v>21</v>
      </c>
      <c r="E46" s="1">
        <f>E3+1</f>
        <v>2</v>
      </c>
    </row>
    <row r="47" spans="1:5" s="3" customFormat="1" ht="20.100000000000001" customHeight="1" x14ac:dyDescent="0.35">
      <c r="A47" s="311" t="str">
        <f>A4</f>
        <v xml:space="preserve">ทะเบียนรถ </v>
      </c>
      <c r="B47" s="311"/>
      <c r="C47" s="2"/>
      <c r="D47" s="4" t="s">
        <v>15</v>
      </c>
      <c r="E47" s="1" t="str">
        <f>E4</f>
        <v>26/03/69 - 24/04/69</v>
      </c>
    </row>
    <row r="48" spans="1:5" x14ac:dyDescent="0.2">
      <c r="A48" s="12" t="s">
        <v>23</v>
      </c>
      <c r="B48" s="13" t="s">
        <v>11</v>
      </c>
      <c r="C48" s="12" t="s">
        <v>16</v>
      </c>
      <c r="D48" s="12" t="s">
        <v>18</v>
      </c>
      <c r="E48" s="12" t="s">
        <v>19</v>
      </c>
    </row>
    <row r="49" spans="1:5" x14ac:dyDescent="0.2">
      <c r="A49" s="15"/>
      <c r="B49" s="16"/>
      <c r="C49" s="15"/>
      <c r="D49" s="15" t="s">
        <v>20</v>
      </c>
      <c r="E49" s="15"/>
    </row>
    <row r="50" spans="1:5" x14ac:dyDescent="0.2">
      <c r="A50" s="331">
        <v>18</v>
      </c>
      <c r="B50" s="333">
        <f>B39+1</f>
        <v>46124</v>
      </c>
      <c r="C50" s="182" t="s">
        <v>153</v>
      </c>
      <c r="D50" s="331">
        <f>E50+E51</f>
        <v>0</v>
      </c>
      <c r="E50" s="26"/>
    </row>
    <row r="51" spans="1:5" x14ac:dyDescent="0.2">
      <c r="A51" s="332"/>
      <c r="B51" s="334"/>
      <c r="C51" s="8" t="s">
        <v>155</v>
      </c>
      <c r="D51" s="332"/>
      <c r="E51" s="6"/>
    </row>
    <row r="52" spans="1:5" x14ac:dyDescent="0.2">
      <c r="A52" s="331">
        <v>19</v>
      </c>
      <c r="B52" s="333">
        <f>B50+1</f>
        <v>46125</v>
      </c>
      <c r="C52" s="182" t="s">
        <v>153</v>
      </c>
      <c r="D52" s="331">
        <f>E52+E53</f>
        <v>0</v>
      </c>
      <c r="E52" s="26"/>
    </row>
    <row r="53" spans="1:5" x14ac:dyDescent="0.2">
      <c r="A53" s="332"/>
      <c r="B53" s="334"/>
      <c r="C53" s="8" t="s">
        <v>155</v>
      </c>
      <c r="D53" s="332"/>
      <c r="E53" s="6"/>
    </row>
    <row r="54" spans="1:5" x14ac:dyDescent="0.2">
      <c r="A54" s="331">
        <v>20</v>
      </c>
      <c r="B54" s="333">
        <f>B52+1</f>
        <v>46126</v>
      </c>
      <c r="C54" s="182" t="s">
        <v>153</v>
      </c>
      <c r="D54" s="331">
        <f>E54+E55</f>
        <v>0</v>
      </c>
      <c r="E54" s="26"/>
    </row>
    <row r="55" spans="1:5" x14ac:dyDescent="0.2">
      <c r="A55" s="332"/>
      <c r="B55" s="334"/>
      <c r="C55" s="8" t="s">
        <v>155</v>
      </c>
      <c r="D55" s="332"/>
      <c r="E55" s="6"/>
    </row>
    <row r="56" spans="1:5" x14ac:dyDescent="0.2">
      <c r="A56" s="331">
        <v>21</v>
      </c>
      <c r="B56" s="333">
        <f>B54+1</f>
        <v>46127</v>
      </c>
      <c r="C56" s="182" t="s">
        <v>153</v>
      </c>
      <c r="D56" s="331">
        <f>E56+E57</f>
        <v>0</v>
      </c>
      <c r="E56" s="26"/>
    </row>
    <row r="57" spans="1:5" x14ac:dyDescent="0.2">
      <c r="A57" s="332"/>
      <c r="B57" s="334"/>
      <c r="C57" s="8" t="s">
        <v>155</v>
      </c>
      <c r="D57" s="332"/>
      <c r="E57" s="6"/>
    </row>
    <row r="58" spans="1:5" x14ac:dyDescent="0.2">
      <c r="A58" s="331">
        <v>22</v>
      </c>
      <c r="B58" s="333">
        <f>B56+1</f>
        <v>46128</v>
      </c>
      <c r="C58" s="182" t="s">
        <v>153</v>
      </c>
      <c r="D58" s="331">
        <f>E58+E59</f>
        <v>4</v>
      </c>
      <c r="E58" s="26">
        <v>4</v>
      </c>
    </row>
    <row r="59" spans="1:5" x14ac:dyDescent="0.2">
      <c r="A59" s="332"/>
      <c r="B59" s="334"/>
      <c r="C59" s="8" t="s">
        <v>155</v>
      </c>
      <c r="D59" s="332"/>
      <c r="E59" s="6"/>
    </row>
    <row r="60" spans="1:5" x14ac:dyDescent="0.2">
      <c r="A60" s="331">
        <v>23</v>
      </c>
      <c r="B60" s="333">
        <f>B58+1</f>
        <v>46129</v>
      </c>
      <c r="C60" s="182" t="s">
        <v>153</v>
      </c>
      <c r="D60" s="331">
        <f>E60+E61</f>
        <v>4</v>
      </c>
      <c r="E60" s="26">
        <v>4</v>
      </c>
    </row>
    <row r="61" spans="1:5" x14ac:dyDescent="0.2">
      <c r="A61" s="332"/>
      <c r="B61" s="334"/>
      <c r="C61" s="8" t="s">
        <v>155</v>
      </c>
      <c r="D61" s="332"/>
      <c r="E61" s="6"/>
    </row>
    <row r="62" spans="1:5" x14ac:dyDescent="0.2">
      <c r="A62" s="331">
        <v>24</v>
      </c>
      <c r="B62" s="333">
        <f>B60+1</f>
        <v>46130</v>
      </c>
      <c r="C62" s="182" t="s">
        <v>153</v>
      </c>
      <c r="D62" s="331">
        <f>E62+E63</f>
        <v>4</v>
      </c>
      <c r="E62" s="26">
        <v>4</v>
      </c>
    </row>
    <row r="63" spans="1:5" x14ac:dyDescent="0.2">
      <c r="A63" s="332"/>
      <c r="B63" s="334"/>
      <c r="C63" s="8" t="s">
        <v>155</v>
      </c>
      <c r="D63" s="332"/>
      <c r="E63" s="6"/>
    </row>
    <row r="64" spans="1:5" x14ac:dyDescent="0.2">
      <c r="A64" s="331">
        <v>25</v>
      </c>
      <c r="B64" s="333">
        <f>B62+1</f>
        <v>46131</v>
      </c>
      <c r="C64" s="182" t="s">
        <v>153</v>
      </c>
      <c r="D64" s="331">
        <f>E64+E65</f>
        <v>0</v>
      </c>
      <c r="E64" s="26"/>
    </row>
    <row r="65" spans="1:5" x14ac:dyDescent="0.2">
      <c r="A65" s="332"/>
      <c r="B65" s="334"/>
      <c r="C65" s="8" t="s">
        <v>155</v>
      </c>
      <c r="D65" s="332"/>
      <c r="E65" s="6"/>
    </row>
    <row r="66" spans="1:5" x14ac:dyDescent="0.2">
      <c r="A66" s="331">
        <v>26</v>
      </c>
      <c r="B66" s="333">
        <f>B64+1</f>
        <v>46132</v>
      </c>
      <c r="C66" s="182" t="s">
        <v>153</v>
      </c>
      <c r="D66" s="331">
        <f>E66+E67</f>
        <v>3</v>
      </c>
      <c r="E66" s="26">
        <v>3</v>
      </c>
    </row>
    <row r="67" spans="1:5" x14ac:dyDescent="0.2">
      <c r="A67" s="332"/>
      <c r="B67" s="334"/>
      <c r="C67" s="8" t="s">
        <v>155</v>
      </c>
      <c r="D67" s="332"/>
      <c r="E67" s="6"/>
    </row>
    <row r="68" spans="1:5" x14ac:dyDescent="0.2">
      <c r="A68" s="331">
        <v>27</v>
      </c>
      <c r="B68" s="333">
        <f>B66+1</f>
        <v>46133</v>
      </c>
      <c r="C68" s="182" t="s">
        <v>153</v>
      </c>
      <c r="D68" s="331">
        <f>E68+E69</f>
        <v>3</v>
      </c>
      <c r="E68" s="26">
        <v>3</v>
      </c>
    </row>
    <row r="69" spans="1:5" x14ac:dyDescent="0.2">
      <c r="A69" s="332"/>
      <c r="B69" s="334"/>
      <c r="C69" s="8" t="s">
        <v>155</v>
      </c>
      <c r="D69" s="332"/>
      <c r="E69" s="6"/>
    </row>
    <row r="70" spans="1:5" x14ac:dyDescent="0.2">
      <c r="A70" s="331">
        <v>28</v>
      </c>
      <c r="B70" s="333">
        <f>B68+1</f>
        <v>46134</v>
      </c>
      <c r="C70" s="182" t="s">
        <v>153</v>
      </c>
      <c r="D70" s="331">
        <f>E70+E71</f>
        <v>3</v>
      </c>
      <c r="E70" s="26">
        <v>3</v>
      </c>
    </row>
    <row r="71" spans="1:5" x14ac:dyDescent="0.2">
      <c r="A71" s="332"/>
      <c r="B71" s="334"/>
      <c r="C71" s="8" t="s">
        <v>155</v>
      </c>
      <c r="D71" s="332"/>
      <c r="E71" s="6"/>
    </row>
    <row r="72" spans="1:5" x14ac:dyDescent="0.2">
      <c r="A72" s="331">
        <v>29</v>
      </c>
      <c r="B72" s="333">
        <f>B70+1</f>
        <v>46135</v>
      </c>
      <c r="C72" s="182" t="s">
        <v>153</v>
      </c>
      <c r="D72" s="331">
        <f>E72+E73</f>
        <v>4</v>
      </c>
      <c r="E72" s="26">
        <v>4</v>
      </c>
    </row>
    <row r="73" spans="1:5" x14ac:dyDescent="0.2">
      <c r="A73" s="332"/>
      <c r="B73" s="334"/>
      <c r="C73" s="8" t="s">
        <v>155</v>
      </c>
      <c r="D73" s="332"/>
      <c r="E73" s="6"/>
    </row>
    <row r="74" spans="1:5" x14ac:dyDescent="0.2">
      <c r="A74" s="331">
        <v>30</v>
      </c>
      <c r="B74" s="333">
        <f>B72+1</f>
        <v>46136</v>
      </c>
      <c r="C74" s="182" t="s">
        <v>153</v>
      </c>
      <c r="D74" s="331">
        <f>E74+E75</f>
        <v>4</v>
      </c>
      <c r="E74" s="26">
        <v>4</v>
      </c>
    </row>
    <row r="75" spans="1:5" x14ac:dyDescent="0.2">
      <c r="A75" s="332"/>
      <c r="B75" s="334"/>
      <c r="C75" s="8" t="s">
        <v>155</v>
      </c>
      <c r="D75" s="332"/>
      <c r="E75" s="6"/>
    </row>
    <row r="76" spans="1:5" hidden="1" x14ac:dyDescent="0.2">
      <c r="A76" s="331">
        <v>31</v>
      </c>
      <c r="B76" s="333">
        <f>B74+1</f>
        <v>46137</v>
      </c>
      <c r="C76" s="182" t="s">
        <v>153</v>
      </c>
      <c r="D76" s="331">
        <f>E76+E77</f>
        <v>0</v>
      </c>
      <c r="E76" s="26"/>
    </row>
    <row r="77" spans="1:5" hidden="1" x14ac:dyDescent="0.2">
      <c r="A77" s="332"/>
      <c r="B77" s="334"/>
      <c r="C77" s="8" t="s">
        <v>155</v>
      </c>
      <c r="D77" s="332"/>
      <c r="E77" s="6"/>
    </row>
    <row r="78" spans="1:5" hidden="1" x14ac:dyDescent="0.2">
      <c r="A78" s="331">
        <v>32</v>
      </c>
      <c r="B78" s="333">
        <f>B76+1</f>
        <v>46138</v>
      </c>
      <c r="C78" s="182" t="s">
        <v>153</v>
      </c>
      <c r="D78" s="331">
        <f>E78+E79</f>
        <v>0</v>
      </c>
      <c r="E78" s="26"/>
    </row>
    <row r="79" spans="1:5" hidden="1" x14ac:dyDescent="0.2">
      <c r="A79" s="332"/>
      <c r="B79" s="334"/>
      <c r="C79" s="8" t="s">
        <v>155</v>
      </c>
      <c r="D79" s="332"/>
      <c r="E79" s="6"/>
    </row>
    <row r="80" spans="1:5" hidden="1" x14ac:dyDescent="0.2">
      <c r="A80" s="331">
        <v>33</v>
      </c>
      <c r="B80" s="333"/>
      <c r="C80" s="182" t="s">
        <v>153</v>
      </c>
      <c r="D80" s="331">
        <f>E80+E81</f>
        <v>0</v>
      </c>
      <c r="E80" s="26"/>
    </row>
    <row r="81" spans="1:5" hidden="1" x14ac:dyDescent="0.2">
      <c r="A81" s="332"/>
      <c r="B81" s="334"/>
      <c r="C81" s="8" t="s">
        <v>155</v>
      </c>
      <c r="D81" s="332"/>
      <c r="E81" s="6"/>
    </row>
    <row r="82" spans="1:5" hidden="1" x14ac:dyDescent="0.2">
      <c r="A82" s="331">
        <v>34</v>
      </c>
      <c r="B82" s="333"/>
      <c r="C82" s="182" t="s">
        <v>153</v>
      </c>
      <c r="D82" s="331">
        <f>E82+E83</f>
        <v>0</v>
      </c>
      <c r="E82" s="26"/>
    </row>
    <row r="83" spans="1:5" hidden="1" x14ac:dyDescent="0.2">
      <c r="A83" s="332"/>
      <c r="B83" s="334"/>
      <c r="C83" s="8" t="s">
        <v>155</v>
      </c>
      <c r="D83" s="332"/>
      <c r="E83" s="6"/>
    </row>
    <row r="84" spans="1:5" hidden="1" x14ac:dyDescent="0.2">
      <c r="A84" s="331">
        <v>35</v>
      </c>
      <c r="B84" s="333"/>
      <c r="C84" s="182" t="s">
        <v>153</v>
      </c>
      <c r="D84" s="331">
        <f>E84+E85</f>
        <v>0</v>
      </c>
      <c r="E84" s="26"/>
    </row>
    <row r="85" spans="1:5" hidden="1" x14ac:dyDescent="0.2">
      <c r="A85" s="332"/>
      <c r="B85" s="334"/>
      <c r="C85" s="8" t="s">
        <v>155</v>
      </c>
      <c r="D85" s="332"/>
      <c r="E85" s="6"/>
    </row>
    <row r="86" spans="1:5" hidden="1" x14ac:dyDescent="0.2">
      <c r="A86" s="331">
        <v>36</v>
      </c>
      <c r="B86" s="333"/>
      <c r="C86" s="182" t="s">
        <v>153</v>
      </c>
      <c r="D86" s="331">
        <f>E86+E87</f>
        <v>0</v>
      </c>
      <c r="E86" s="26"/>
    </row>
    <row r="87" spans="1:5" hidden="1" x14ac:dyDescent="0.2">
      <c r="A87" s="332"/>
      <c r="B87" s="334"/>
      <c r="C87" s="8" t="s">
        <v>155</v>
      </c>
      <c r="D87" s="332"/>
      <c r="E87" s="6"/>
    </row>
    <row r="88" spans="1:5" s="19" customFormat="1" ht="23.25" x14ac:dyDescent="0.2">
      <c r="A88" s="336" t="s">
        <v>10</v>
      </c>
      <c r="B88" s="337"/>
      <c r="C88" s="337"/>
      <c r="D88" s="18">
        <f>SUM(D50:D79)</f>
        <v>29</v>
      </c>
      <c r="E88" s="18">
        <f>SUM(E50:E79)+E41</f>
        <v>58</v>
      </c>
    </row>
  </sheetData>
  <mergeCells count="118">
    <mergeCell ref="A88:C88"/>
    <mergeCell ref="A84:A85"/>
    <mergeCell ref="B84:B85"/>
    <mergeCell ref="D84:D85"/>
    <mergeCell ref="A86:A87"/>
    <mergeCell ref="B86:B87"/>
    <mergeCell ref="D86:D87"/>
    <mergeCell ref="A80:A81"/>
    <mergeCell ref="B80:B81"/>
    <mergeCell ref="D80:D81"/>
    <mergeCell ref="A82:A83"/>
    <mergeCell ref="B82:B83"/>
    <mergeCell ref="D82:D83"/>
    <mergeCell ref="A76:A77"/>
    <mergeCell ref="B76:B77"/>
    <mergeCell ref="D76:D77"/>
    <mergeCell ref="A78:A79"/>
    <mergeCell ref="B78:B79"/>
    <mergeCell ref="D78:D79"/>
    <mergeCell ref="A72:A73"/>
    <mergeCell ref="B72:B73"/>
    <mergeCell ref="D72:D73"/>
    <mergeCell ref="A74:A75"/>
    <mergeCell ref="B74:B75"/>
    <mergeCell ref="D74:D75"/>
    <mergeCell ref="A68:A69"/>
    <mergeCell ref="B68:B69"/>
    <mergeCell ref="D68:D69"/>
    <mergeCell ref="A70:A71"/>
    <mergeCell ref="B70:B71"/>
    <mergeCell ref="D70:D71"/>
    <mergeCell ref="A64:A65"/>
    <mergeCell ref="B64:B65"/>
    <mergeCell ref="D64:D65"/>
    <mergeCell ref="A66:A67"/>
    <mergeCell ref="B66:B67"/>
    <mergeCell ref="D66:D67"/>
    <mergeCell ref="A60:A61"/>
    <mergeCell ref="B60:B61"/>
    <mergeCell ref="D60:D61"/>
    <mergeCell ref="A62:A63"/>
    <mergeCell ref="B62:B63"/>
    <mergeCell ref="D62:D63"/>
    <mergeCell ref="A56:A57"/>
    <mergeCell ref="B56:B57"/>
    <mergeCell ref="D56:D57"/>
    <mergeCell ref="A58:A59"/>
    <mergeCell ref="B58:B59"/>
    <mergeCell ref="D58:D59"/>
    <mergeCell ref="A52:A53"/>
    <mergeCell ref="B52:B53"/>
    <mergeCell ref="D52:D53"/>
    <mergeCell ref="A54:A55"/>
    <mergeCell ref="B54:B55"/>
    <mergeCell ref="D54:D55"/>
    <mergeCell ref="A41:C41"/>
    <mergeCell ref="A44:E44"/>
    <mergeCell ref="A45:E45"/>
    <mergeCell ref="A46:B46"/>
    <mergeCell ref="A47:B47"/>
    <mergeCell ref="A50:A51"/>
    <mergeCell ref="B50:B51"/>
    <mergeCell ref="D50:D51"/>
    <mergeCell ref="A37:A38"/>
    <mergeCell ref="B37:B38"/>
    <mergeCell ref="D37:D38"/>
    <mergeCell ref="A39:A40"/>
    <mergeCell ref="B39:B40"/>
    <mergeCell ref="D39:D40"/>
    <mergeCell ref="A33:A34"/>
    <mergeCell ref="B33:B34"/>
    <mergeCell ref="D33:D34"/>
    <mergeCell ref="A35:A36"/>
    <mergeCell ref="B35:B36"/>
    <mergeCell ref="D35:D36"/>
    <mergeCell ref="A29:A30"/>
    <mergeCell ref="B29:B30"/>
    <mergeCell ref="D29:D30"/>
    <mergeCell ref="A31:A32"/>
    <mergeCell ref="B31:B32"/>
    <mergeCell ref="D31:D32"/>
    <mergeCell ref="A25:A26"/>
    <mergeCell ref="B25:B26"/>
    <mergeCell ref="D25:D26"/>
    <mergeCell ref="A27:A28"/>
    <mergeCell ref="B27:B28"/>
    <mergeCell ref="D27:D28"/>
    <mergeCell ref="A21:A22"/>
    <mergeCell ref="B21:B22"/>
    <mergeCell ref="D21:D22"/>
    <mergeCell ref="A23:A24"/>
    <mergeCell ref="B23:B24"/>
    <mergeCell ref="D23:D24"/>
    <mergeCell ref="A17:A18"/>
    <mergeCell ref="B17:B18"/>
    <mergeCell ref="D17:D18"/>
    <mergeCell ref="A19:A20"/>
    <mergeCell ref="B19:B20"/>
    <mergeCell ref="D19:D20"/>
    <mergeCell ref="A15:A16"/>
    <mergeCell ref="B15:B16"/>
    <mergeCell ref="D15:D16"/>
    <mergeCell ref="A9:A10"/>
    <mergeCell ref="B9:B10"/>
    <mergeCell ref="D9:D10"/>
    <mergeCell ref="A11:A12"/>
    <mergeCell ref="B11:B12"/>
    <mergeCell ref="D11:D12"/>
    <mergeCell ref="A1:E1"/>
    <mergeCell ref="A2:E2"/>
    <mergeCell ref="A3:B3"/>
    <mergeCell ref="A4:B4"/>
    <mergeCell ref="A7:A8"/>
    <mergeCell ref="B7:B8"/>
    <mergeCell ref="D7:D8"/>
    <mergeCell ref="A13:A14"/>
    <mergeCell ref="B13:B14"/>
    <mergeCell ref="D13:D1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zoomScale="110" zoomScaleNormal="110" workbookViewId="0">
      <selection activeCell="E33" sqref="E33"/>
    </sheetView>
  </sheetViews>
  <sheetFormatPr defaultColWidth="9" defaultRowHeight="17.25" x14ac:dyDescent="0.2"/>
  <cols>
    <col min="1" max="1" width="6" style="1" customWidth="1"/>
    <col min="2" max="2" width="14.125" style="7" customWidth="1"/>
    <col min="3" max="3" width="28.375" style="1" customWidth="1"/>
    <col min="4" max="4" width="11.25" style="1" customWidth="1"/>
    <col min="5" max="5" width="23.25" style="1" customWidth="1"/>
    <col min="6" max="16384" width="9" style="1"/>
  </cols>
  <sheetData>
    <row r="1" spans="1:8" ht="21.95" customHeight="1" x14ac:dyDescent="0.2">
      <c r="A1" s="319" t="s">
        <v>22</v>
      </c>
      <c r="B1" s="319"/>
      <c r="C1" s="319"/>
      <c r="D1" s="319"/>
      <c r="E1" s="319"/>
    </row>
    <row r="2" spans="1:8" s="9" customFormat="1" ht="20.100000000000001" customHeight="1" x14ac:dyDescent="0.2">
      <c r="A2" s="335" t="str">
        <f>เทรลเลอร์1!A2</f>
        <v>รายงานการวิ่งรถประจำเดือน เมษายน ปี 69</v>
      </c>
      <c r="B2" s="335"/>
      <c r="C2" s="335"/>
      <c r="D2" s="335"/>
      <c r="E2" s="335"/>
    </row>
    <row r="3" spans="1:8" s="3" customFormat="1" ht="20.100000000000001" customHeight="1" x14ac:dyDescent="0.35">
      <c r="A3" s="318" t="s">
        <v>150</v>
      </c>
      <c r="B3" s="318"/>
      <c r="C3" s="2"/>
      <c r="D3" s="4" t="s">
        <v>21</v>
      </c>
      <c r="E3" s="1">
        <v>1</v>
      </c>
    </row>
    <row r="4" spans="1:8" s="3" customFormat="1" ht="20.100000000000001" customHeight="1" x14ac:dyDescent="0.35">
      <c r="A4" s="311" t="s">
        <v>151</v>
      </c>
      <c r="B4" s="311"/>
      <c r="C4" s="2"/>
      <c r="D4" s="4" t="s">
        <v>15</v>
      </c>
      <c r="E4" s="143" t="str">
        <f>Loader!E4</f>
        <v>26/03/69 - 24/04/69</v>
      </c>
      <c r="F4" s="2"/>
      <c r="G4" s="2"/>
      <c r="H4" s="2"/>
    </row>
    <row r="5" spans="1:8" x14ac:dyDescent="0.2">
      <c r="A5" s="12" t="s">
        <v>23</v>
      </c>
      <c r="B5" s="13" t="s">
        <v>11</v>
      </c>
      <c r="C5" s="12" t="s">
        <v>16</v>
      </c>
      <c r="D5" s="12" t="s">
        <v>18</v>
      </c>
      <c r="E5" s="12" t="s">
        <v>19</v>
      </c>
    </row>
    <row r="6" spans="1:8" x14ac:dyDescent="0.2">
      <c r="A6" s="15"/>
      <c r="B6" s="16"/>
      <c r="C6" s="15"/>
      <c r="D6" s="15" t="s">
        <v>20</v>
      </c>
      <c r="E6" s="15"/>
    </row>
    <row r="7" spans="1:8" x14ac:dyDescent="0.2">
      <c r="A7" s="331">
        <v>1</v>
      </c>
      <c r="B7" s="333">
        <f>Loader!B7</f>
        <v>46107</v>
      </c>
      <c r="C7" s="182" t="s">
        <v>153</v>
      </c>
      <c r="D7" s="331">
        <f>E7+E8</f>
        <v>0</v>
      </c>
      <c r="E7" s="26"/>
    </row>
    <row r="8" spans="1:8" x14ac:dyDescent="0.2">
      <c r="A8" s="332"/>
      <c r="B8" s="334"/>
      <c r="C8" s="8" t="s">
        <v>155</v>
      </c>
      <c r="D8" s="332"/>
      <c r="E8" s="6"/>
    </row>
    <row r="9" spans="1:8" x14ac:dyDescent="0.2">
      <c r="A9" s="331">
        <v>2</v>
      </c>
      <c r="B9" s="333">
        <f>B7+1</f>
        <v>46108</v>
      </c>
      <c r="C9" s="182" t="s">
        <v>153</v>
      </c>
      <c r="D9" s="331">
        <f>E9+E10</f>
        <v>0</v>
      </c>
      <c r="E9" s="26"/>
    </row>
    <row r="10" spans="1:8" x14ac:dyDescent="0.2">
      <c r="A10" s="332"/>
      <c r="B10" s="334"/>
      <c r="C10" s="8" t="s">
        <v>155</v>
      </c>
      <c r="D10" s="332"/>
      <c r="E10" s="6"/>
    </row>
    <row r="11" spans="1:8" x14ac:dyDescent="0.2">
      <c r="A11" s="331">
        <v>3</v>
      </c>
      <c r="B11" s="333">
        <f>B9+1</f>
        <v>46109</v>
      </c>
      <c r="C11" s="182" t="s">
        <v>153</v>
      </c>
      <c r="D11" s="331">
        <f>E11+E12</f>
        <v>0</v>
      </c>
      <c r="E11" s="26"/>
    </row>
    <row r="12" spans="1:8" x14ac:dyDescent="0.2">
      <c r="A12" s="332"/>
      <c r="B12" s="334"/>
      <c r="C12" s="8" t="s">
        <v>155</v>
      </c>
      <c r="D12" s="332"/>
      <c r="E12" s="6"/>
    </row>
    <row r="13" spans="1:8" x14ac:dyDescent="0.2">
      <c r="A13" s="331">
        <v>4</v>
      </c>
      <c r="B13" s="333">
        <f>B11+1</f>
        <v>46110</v>
      </c>
      <c r="C13" s="182" t="s">
        <v>153</v>
      </c>
      <c r="D13" s="331">
        <f>E13+E14</f>
        <v>0</v>
      </c>
      <c r="E13" s="26"/>
    </row>
    <row r="14" spans="1:8" x14ac:dyDescent="0.2">
      <c r="A14" s="332"/>
      <c r="B14" s="334"/>
      <c r="C14" s="8" t="s">
        <v>155</v>
      </c>
      <c r="D14" s="332"/>
      <c r="E14" s="6"/>
    </row>
    <row r="15" spans="1:8" x14ac:dyDescent="0.2">
      <c r="A15" s="331">
        <v>5</v>
      </c>
      <c r="B15" s="333">
        <f>B13+1</f>
        <v>46111</v>
      </c>
      <c r="C15" s="182" t="s">
        <v>153</v>
      </c>
      <c r="D15" s="331">
        <f>E15+E16</f>
        <v>0</v>
      </c>
      <c r="E15" s="26"/>
    </row>
    <row r="16" spans="1:8" x14ac:dyDescent="0.2">
      <c r="A16" s="332"/>
      <c r="B16" s="334"/>
      <c r="C16" s="8" t="s">
        <v>155</v>
      </c>
      <c r="D16" s="332"/>
      <c r="E16" s="6"/>
    </row>
    <row r="17" spans="1:6" x14ac:dyDescent="0.2">
      <c r="A17" s="331">
        <v>6</v>
      </c>
      <c r="B17" s="333">
        <f>B15+1</f>
        <v>46112</v>
      </c>
      <c r="C17" s="182" t="s">
        <v>153</v>
      </c>
      <c r="D17" s="331">
        <f>E17+E18</f>
        <v>0</v>
      </c>
      <c r="E17" s="26"/>
    </row>
    <row r="18" spans="1:6" x14ac:dyDescent="0.2">
      <c r="A18" s="332"/>
      <c r="B18" s="334"/>
      <c r="C18" s="8" t="s">
        <v>155</v>
      </c>
      <c r="D18" s="332"/>
      <c r="E18" s="6"/>
    </row>
    <row r="19" spans="1:6" x14ac:dyDescent="0.2">
      <c r="A19" s="331">
        <v>7</v>
      </c>
      <c r="B19" s="333">
        <f>B17+1</f>
        <v>46113</v>
      </c>
      <c r="C19" s="182" t="s">
        <v>153</v>
      </c>
      <c r="D19" s="331">
        <f>E19+E20</f>
        <v>0</v>
      </c>
      <c r="E19" s="26"/>
    </row>
    <row r="20" spans="1:6" x14ac:dyDescent="0.2">
      <c r="A20" s="332"/>
      <c r="B20" s="334"/>
      <c r="C20" s="8" t="s">
        <v>155</v>
      </c>
      <c r="D20" s="332"/>
      <c r="E20" s="6"/>
    </row>
    <row r="21" spans="1:6" x14ac:dyDescent="0.2">
      <c r="A21" s="331">
        <v>8</v>
      </c>
      <c r="B21" s="333">
        <f>B19+1</f>
        <v>46114</v>
      </c>
      <c r="C21" s="182" t="s">
        <v>153</v>
      </c>
      <c r="D21" s="331">
        <f>E21+E22</f>
        <v>0</v>
      </c>
      <c r="E21" s="26"/>
    </row>
    <row r="22" spans="1:6" x14ac:dyDescent="0.2">
      <c r="A22" s="332"/>
      <c r="B22" s="334"/>
      <c r="C22" s="8" t="s">
        <v>155</v>
      </c>
      <c r="D22" s="332"/>
      <c r="E22" s="6"/>
    </row>
    <row r="23" spans="1:6" x14ac:dyDescent="0.2">
      <c r="A23" s="331">
        <v>9</v>
      </c>
      <c r="B23" s="333">
        <f>B21+1</f>
        <v>46115</v>
      </c>
      <c r="C23" s="182" t="s">
        <v>153</v>
      </c>
      <c r="D23" s="331">
        <f>E23+E24</f>
        <v>3</v>
      </c>
      <c r="E23" s="26">
        <v>3</v>
      </c>
    </row>
    <row r="24" spans="1:6" x14ac:dyDescent="0.2">
      <c r="A24" s="332"/>
      <c r="B24" s="334"/>
      <c r="C24" s="8" t="s">
        <v>155</v>
      </c>
      <c r="D24" s="332"/>
      <c r="E24" s="6"/>
    </row>
    <row r="25" spans="1:6" x14ac:dyDescent="0.2">
      <c r="A25" s="331">
        <v>10</v>
      </c>
      <c r="B25" s="333">
        <f>B23+1</f>
        <v>46116</v>
      </c>
      <c r="C25" s="182" t="s">
        <v>153</v>
      </c>
      <c r="D25" s="331">
        <f>E25+E26</f>
        <v>3</v>
      </c>
      <c r="E25" s="26">
        <v>3</v>
      </c>
    </row>
    <row r="26" spans="1:6" x14ac:dyDescent="0.2">
      <c r="A26" s="332"/>
      <c r="B26" s="334"/>
      <c r="C26" s="8" t="s">
        <v>155</v>
      </c>
      <c r="D26" s="332"/>
      <c r="E26" s="6"/>
    </row>
    <row r="27" spans="1:6" x14ac:dyDescent="0.2">
      <c r="A27" s="331">
        <v>11</v>
      </c>
      <c r="B27" s="333">
        <f>B25+1</f>
        <v>46117</v>
      </c>
      <c r="C27" s="182" t="s">
        <v>153</v>
      </c>
      <c r="D27" s="331">
        <f>E27+E28</f>
        <v>3</v>
      </c>
      <c r="E27" s="26">
        <v>3</v>
      </c>
    </row>
    <row r="28" spans="1:6" x14ac:dyDescent="0.2">
      <c r="A28" s="332"/>
      <c r="B28" s="334"/>
      <c r="C28" s="8" t="s">
        <v>155</v>
      </c>
      <c r="D28" s="332"/>
      <c r="E28" s="6"/>
    </row>
    <row r="29" spans="1:6" x14ac:dyDescent="0.2">
      <c r="A29" s="331">
        <v>12</v>
      </c>
      <c r="B29" s="333">
        <f>B27+1</f>
        <v>46118</v>
      </c>
      <c r="C29" s="182" t="s">
        <v>153</v>
      </c>
      <c r="D29" s="331">
        <f>E29+E30</f>
        <v>2</v>
      </c>
      <c r="E29" s="26">
        <v>2</v>
      </c>
      <c r="F29" s="110"/>
    </row>
    <row r="30" spans="1:6" x14ac:dyDescent="0.2">
      <c r="A30" s="332"/>
      <c r="B30" s="334"/>
      <c r="C30" s="8" t="s">
        <v>155</v>
      </c>
      <c r="D30" s="332"/>
      <c r="E30" s="6"/>
      <c r="F30" s="110"/>
    </row>
    <row r="31" spans="1:6" x14ac:dyDescent="0.2">
      <c r="A31" s="331">
        <v>13</v>
      </c>
      <c r="B31" s="333">
        <f>B29+1</f>
        <v>46119</v>
      </c>
      <c r="C31" s="182" t="s">
        <v>153</v>
      </c>
      <c r="D31" s="331">
        <f>E31+E32</f>
        <v>2</v>
      </c>
      <c r="E31" s="26">
        <v>2</v>
      </c>
    </row>
    <row r="32" spans="1:6" x14ac:dyDescent="0.2">
      <c r="A32" s="332"/>
      <c r="B32" s="334"/>
      <c r="C32" s="8" t="s">
        <v>155</v>
      </c>
      <c r="D32" s="332"/>
      <c r="E32" s="6"/>
    </row>
    <row r="33" spans="1:5" x14ac:dyDescent="0.2">
      <c r="A33" s="331">
        <v>14</v>
      </c>
      <c r="B33" s="333">
        <f>B31+1</f>
        <v>46120</v>
      </c>
      <c r="C33" s="182" t="s">
        <v>153</v>
      </c>
      <c r="D33" s="331">
        <f>E33+E34</f>
        <v>0</v>
      </c>
      <c r="E33" s="26"/>
    </row>
    <row r="34" spans="1:5" x14ac:dyDescent="0.2">
      <c r="A34" s="332"/>
      <c r="B34" s="334"/>
      <c r="C34" s="8" t="s">
        <v>155</v>
      </c>
      <c r="D34" s="332"/>
      <c r="E34" s="6"/>
    </row>
    <row r="35" spans="1:5" x14ac:dyDescent="0.2">
      <c r="A35" s="331">
        <v>15</v>
      </c>
      <c r="B35" s="333">
        <f>B33+1</f>
        <v>46121</v>
      </c>
      <c r="C35" s="182" t="s">
        <v>153</v>
      </c>
      <c r="D35" s="331">
        <f>E35+E36</f>
        <v>0</v>
      </c>
      <c r="E35" s="26"/>
    </row>
    <row r="36" spans="1:5" x14ac:dyDescent="0.2">
      <c r="A36" s="332"/>
      <c r="B36" s="334"/>
      <c r="C36" s="8" t="s">
        <v>155</v>
      </c>
      <c r="D36" s="332"/>
      <c r="E36" s="6"/>
    </row>
    <row r="37" spans="1:5" x14ac:dyDescent="0.2">
      <c r="A37" s="331">
        <v>16</v>
      </c>
      <c r="B37" s="333">
        <f>B35+1</f>
        <v>46122</v>
      </c>
      <c r="C37" s="182" t="s">
        <v>153</v>
      </c>
      <c r="D37" s="331">
        <f>E37+E38</f>
        <v>0</v>
      </c>
      <c r="E37" s="26"/>
    </row>
    <row r="38" spans="1:5" x14ac:dyDescent="0.2">
      <c r="A38" s="332"/>
      <c r="B38" s="334"/>
      <c r="C38" s="8" t="s">
        <v>155</v>
      </c>
      <c r="D38" s="332"/>
      <c r="E38" s="6"/>
    </row>
    <row r="39" spans="1:5" x14ac:dyDescent="0.2">
      <c r="A39" s="331">
        <v>17</v>
      </c>
      <c r="B39" s="333">
        <f>B37+1</f>
        <v>46123</v>
      </c>
      <c r="C39" s="182" t="s">
        <v>153</v>
      </c>
      <c r="D39" s="331">
        <f>E39+E40</f>
        <v>0</v>
      </c>
      <c r="E39" s="26"/>
    </row>
    <row r="40" spans="1:5" x14ac:dyDescent="0.2">
      <c r="A40" s="332"/>
      <c r="B40" s="334"/>
      <c r="C40" s="8" t="s">
        <v>155</v>
      </c>
      <c r="D40" s="332"/>
      <c r="E40" s="6"/>
    </row>
    <row r="41" spans="1:5" s="19" customFormat="1" ht="23.25" x14ac:dyDescent="0.2">
      <c r="A41" s="336" t="s">
        <v>10</v>
      </c>
      <c r="B41" s="337"/>
      <c r="C41" s="337"/>
      <c r="D41" s="18">
        <f>SUM(D7:D40)</f>
        <v>13</v>
      </c>
      <c r="E41" s="18">
        <f>SUM(E7:E40)</f>
        <v>13</v>
      </c>
    </row>
    <row r="44" spans="1:5" ht="21.95" customHeight="1" x14ac:dyDescent="0.2">
      <c r="A44" s="319" t="s">
        <v>22</v>
      </c>
      <c r="B44" s="319"/>
      <c r="C44" s="319"/>
      <c r="D44" s="319"/>
      <c r="E44" s="319"/>
    </row>
    <row r="45" spans="1:5" s="9" customFormat="1" ht="20.100000000000001" customHeight="1" x14ac:dyDescent="0.2">
      <c r="A45" s="335" t="str">
        <f>A2</f>
        <v>รายงานการวิ่งรถประจำเดือน เมษายน ปี 69</v>
      </c>
      <c r="B45" s="335"/>
      <c r="C45" s="335"/>
      <c r="D45" s="335"/>
      <c r="E45" s="335"/>
    </row>
    <row r="46" spans="1:5" s="3" customFormat="1" ht="20.100000000000001" customHeight="1" x14ac:dyDescent="0.35">
      <c r="A46" s="318" t="str">
        <f>A3</f>
        <v xml:space="preserve">รถ…รถเทรลเลอรร์หัวลาก </v>
      </c>
      <c r="B46" s="318"/>
      <c r="C46" s="2"/>
      <c r="D46" s="4" t="s">
        <v>21</v>
      </c>
      <c r="E46" s="1">
        <f>E3+1</f>
        <v>2</v>
      </c>
    </row>
    <row r="47" spans="1:5" s="3" customFormat="1" ht="20.100000000000001" customHeight="1" x14ac:dyDescent="0.35">
      <c r="A47" s="311" t="str">
        <f>A4</f>
        <v xml:space="preserve">ทะเบียนรถ </v>
      </c>
      <c r="B47" s="311"/>
      <c r="C47" s="2"/>
      <c r="D47" s="4" t="s">
        <v>15</v>
      </c>
      <c r="E47" s="1" t="str">
        <f>E4</f>
        <v>26/03/69 - 24/04/69</v>
      </c>
    </row>
    <row r="48" spans="1:5" x14ac:dyDescent="0.2">
      <c r="A48" s="12" t="s">
        <v>23</v>
      </c>
      <c r="B48" s="13" t="s">
        <v>11</v>
      </c>
      <c r="C48" s="12" t="s">
        <v>16</v>
      </c>
      <c r="D48" s="12" t="s">
        <v>18</v>
      </c>
      <c r="E48" s="12" t="s">
        <v>19</v>
      </c>
    </row>
    <row r="49" spans="1:5" x14ac:dyDescent="0.2">
      <c r="A49" s="15"/>
      <c r="B49" s="16"/>
      <c r="C49" s="15"/>
      <c r="D49" s="15" t="s">
        <v>20</v>
      </c>
      <c r="E49" s="15"/>
    </row>
    <row r="50" spans="1:5" x14ac:dyDescent="0.2">
      <c r="A50" s="331">
        <v>18</v>
      </c>
      <c r="B50" s="333">
        <f>B39+1</f>
        <v>46124</v>
      </c>
      <c r="C50" s="182" t="s">
        <v>153</v>
      </c>
      <c r="D50" s="331">
        <f>E50+E51</f>
        <v>0</v>
      </c>
      <c r="E50" s="26"/>
    </row>
    <row r="51" spans="1:5" x14ac:dyDescent="0.2">
      <c r="A51" s="332"/>
      <c r="B51" s="334"/>
      <c r="C51" s="8" t="s">
        <v>155</v>
      </c>
      <c r="D51" s="332"/>
      <c r="E51" s="6"/>
    </row>
    <row r="52" spans="1:5" x14ac:dyDescent="0.2">
      <c r="A52" s="331">
        <v>19</v>
      </c>
      <c r="B52" s="333">
        <f>B50+1</f>
        <v>46125</v>
      </c>
      <c r="C52" s="182" t="s">
        <v>153</v>
      </c>
      <c r="D52" s="331">
        <f>E52+E53</f>
        <v>0</v>
      </c>
      <c r="E52" s="26"/>
    </row>
    <row r="53" spans="1:5" x14ac:dyDescent="0.2">
      <c r="A53" s="332"/>
      <c r="B53" s="334"/>
      <c r="C53" s="8" t="s">
        <v>155</v>
      </c>
      <c r="D53" s="332"/>
      <c r="E53" s="6"/>
    </row>
    <row r="54" spans="1:5" x14ac:dyDescent="0.2">
      <c r="A54" s="331">
        <v>20</v>
      </c>
      <c r="B54" s="333">
        <f>B52+1</f>
        <v>46126</v>
      </c>
      <c r="C54" s="182" t="s">
        <v>153</v>
      </c>
      <c r="D54" s="331">
        <f>E54+E55</f>
        <v>0</v>
      </c>
      <c r="E54" s="26"/>
    </row>
    <row r="55" spans="1:5" x14ac:dyDescent="0.2">
      <c r="A55" s="332"/>
      <c r="B55" s="334"/>
      <c r="C55" s="8" t="s">
        <v>155</v>
      </c>
      <c r="D55" s="332"/>
      <c r="E55" s="6"/>
    </row>
    <row r="56" spans="1:5" x14ac:dyDescent="0.2">
      <c r="A56" s="331">
        <v>21</v>
      </c>
      <c r="B56" s="333">
        <f>B54+1</f>
        <v>46127</v>
      </c>
      <c r="C56" s="182" t="s">
        <v>153</v>
      </c>
      <c r="D56" s="331">
        <f>E56+E57</f>
        <v>0</v>
      </c>
      <c r="E56" s="26"/>
    </row>
    <row r="57" spans="1:5" x14ac:dyDescent="0.2">
      <c r="A57" s="332"/>
      <c r="B57" s="334"/>
      <c r="C57" s="8" t="s">
        <v>155</v>
      </c>
      <c r="D57" s="332"/>
      <c r="E57" s="6"/>
    </row>
    <row r="58" spans="1:5" x14ac:dyDescent="0.2">
      <c r="A58" s="331">
        <v>22</v>
      </c>
      <c r="B58" s="333">
        <f>B56+1</f>
        <v>46128</v>
      </c>
      <c r="C58" s="182" t="s">
        <v>153</v>
      </c>
      <c r="D58" s="331">
        <f>E58+E59</f>
        <v>0</v>
      </c>
      <c r="E58" s="26"/>
    </row>
    <row r="59" spans="1:5" x14ac:dyDescent="0.2">
      <c r="A59" s="332"/>
      <c r="B59" s="334"/>
      <c r="C59" s="8" t="s">
        <v>155</v>
      </c>
      <c r="D59" s="332"/>
      <c r="E59" s="6"/>
    </row>
    <row r="60" spans="1:5" x14ac:dyDescent="0.2">
      <c r="A60" s="331">
        <v>23</v>
      </c>
      <c r="B60" s="333">
        <f>B58+1</f>
        <v>46129</v>
      </c>
      <c r="C60" s="182" t="s">
        <v>153</v>
      </c>
      <c r="D60" s="331">
        <f>E60+E61</f>
        <v>0</v>
      </c>
      <c r="E60" s="26"/>
    </row>
    <row r="61" spans="1:5" x14ac:dyDescent="0.2">
      <c r="A61" s="332"/>
      <c r="B61" s="334"/>
      <c r="C61" s="8" t="s">
        <v>155</v>
      </c>
      <c r="D61" s="332"/>
      <c r="E61" s="6"/>
    </row>
    <row r="62" spans="1:5" x14ac:dyDescent="0.2">
      <c r="A62" s="331">
        <v>24</v>
      </c>
      <c r="B62" s="333">
        <f>B60+1</f>
        <v>46130</v>
      </c>
      <c r="C62" s="182" t="s">
        <v>153</v>
      </c>
      <c r="D62" s="331">
        <f>E62+E63</f>
        <v>0</v>
      </c>
      <c r="E62" s="26"/>
    </row>
    <row r="63" spans="1:5" x14ac:dyDescent="0.2">
      <c r="A63" s="332"/>
      <c r="B63" s="334"/>
      <c r="C63" s="8" t="s">
        <v>155</v>
      </c>
      <c r="D63" s="332"/>
      <c r="E63" s="6"/>
    </row>
    <row r="64" spans="1:5" x14ac:dyDescent="0.2">
      <c r="A64" s="331">
        <v>25</v>
      </c>
      <c r="B64" s="333">
        <f>B62+1</f>
        <v>46131</v>
      </c>
      <c r="C64" s="182" t="s">
        <v>153</v>
      </c>
      <c r="D64" s="331">
        <f>E64+E65</f>
        <v>0</v>
      </c>
      <c r="E64" s="26"/>
    </row>
    <row r="65" spans="1:5" x14ac:dyDescent="0.2">
      <c r="A65" s="332"/>
      <c r="B65" s="334"/>
      <c r="C65" s="8" t="s">
        <v>155</v>
      </c>
      <c r="D65" s="332"/>
      <c r="E65" s="6"/>
    </row>
    <row r="66" spans="1:5" x14ac:dyDescent="0.2">
      <c r="A66" s="331">
        <v>26</v>
      </c>
      <c r="B66" s="333">
        <f>B64+1</f>
        <v>46132</v>
      </c>
      <c r="C66" s="182" t="s">
        <v>153</v>
      </c>
      <c r="D66" s="331">
        <f>E66+E67</f>
        <v>0</v>
      </c>
      <c r="E66" s="26"/>
    </row>
    <row r="67" spans="1:5" x14ac:dyDescent="0.2">
      <c r="A67" s="332"/>
      <c r="B67" s="334"/>
      <c r="C67" s="8" t="s">
        <v>155</v>
      </c>
      <c r="D67" s="332"/>
      <c r="E67" s="6"/>
    </row>
    <row r="68" spans="1:5" x14ac:dyDescent="0.2">
      <c r="A68" s="331">
        <v>27</v>
      </c>
      <c r="B68" s="333">
        <f>B66+1</f>
        <v>46133</v>
      </c>
      <c r="C68" s="182" t="s">
        <v>153</v>
      </c>
      <c r="D68" s="331">
        <f>E68+E69</f>
        <v>0</v>
      </c>
      <c r="E68" s="26"/>
    </row>
    <row r="69" spans="1:5" x14ac:dyDescent="0.2">
      <c r="A69" s="332"/>
      <c r="B69" s="334"/>
      <c r="C69" s="8" t="s">
        <v>155</v>
      </c>
      <c r="D69" s="332"/>
      <c r="E69" s="6"/>
    </row>
    <row r="70" spans="1:5" x14ac:dyDescent="0.2">
      <c r="A70" s="331">
        <v>28</v>
      </c>
      <c r="B70" s="333">
        <f>B68+1</f>
        <v>46134</v>
      </c>
      <c r="C70" s="182" t="s">
        <v>153</v>
      </c>
      <c r="D70" s="331">
        <f>E70+E71</f>
        <v>0</v>
      </c>
      <c r="E70" s="26"/>
    </row>
    <row r="71" spans="1:5" x14ac:dyDescent="0.2">
      <c r="A71" s="332"/>
      <c r="B71" s="334"/>
      <c r="C71" s="8" t="s">
        <v>155</v>
      </c>
      <c r="D71" s="332"/>
      <c r="E71" s="6"/>
    </row>
    <row r="72" spans="1:5" x14ac:dyDescent="0.2">
      <c r="A72" s="331">
        <v>29</v>
      </c>
      <c r="B72" s="333">
        <f>B70+1</f>
        <v>46135</v>
      </c>
      <c r="C72" s="182" t="s">
        <v>153</v>
      </c>
      <c r="D72" s="331">
        <f>E72+E73</f>
        <v>0</v>
      </c>
      <c r="E72" s="26"/>
    </row>
    <row r="73" spans="1:5" x14ac:dyDescent="0.2">
      <c r="A73" s="332"/>
      <c r="B73" s="334"/>
      <c r="C73" s="8" t="s">
        <v>155</v>
      </c>
      <c r="D73" s="332"/>
      <c r="E73" s="6"/>
    </row>
    <row r="74" spans="1:5" x14ac:dyDescent="0.2">
      <c r="A74" s="331">
        <v>30</v>
      </c>
      <c r="B74" s="333">
        <f>B72+1</f>
        <v>46136</v>
      </c>
      <c r="C74" s="182" t="s">
        <v>153</v>
      </c>
      <c r="D74" s="331">
        <f>E74+E75</f>
        <v>0</v>
      </c>
      <c r="E74" s="26"/>
    </row>
    <row r="75" spans="1:5" x14ac:dyDescent="0.2">
      <c r="A75" s="332"/>
      <c r="B75" s="334"/>
      <c r="C75" s="8" t="s">
        <v>155</v>
      </c>
      <c r="D75" s="332"/>
      <c r="E75" s="6"/>
    </row>
    <row r="76" spans="1:5" x14ac:dyDescent="0.2">
      <c r="A76" s="331">
        <v>31</v>
      </c>
      <c r="B76" s="333">
        <f>B74+1</f>
        <v>46137</v>
      </c>
      <c r="C76" s="182" t="s">
        <v>153</v>
      </c>
      <c r="D76" s="331">
        <f>E76+E77</f>
        <v>0</v>
      </c>
      <c r="E76" s="26"/>
    </row>
    <row r="77" spans="1:5" x14ac:dyDescent="0.2">
      <c r="A77" s="332"/>
      <c r="B77" s="334"/>
      <c r="C77" s="8" t="s">
        <v>155</v>
      </c>
      <c r="D77" s="332"/>
      <c r="E77" s="6"/>
    </row>
    <row r="78" spans="1:5" x14ac:dyDescent="0.2">
      <c r="A78" s="331">
        <v>32</v>
      </c>
      <c r="B78" s="333">
        <f>B76+1</f>
        <v>46138</v>
      </c>
      <c r="C78" s="182" t="s">
        <v>153</v>
      </c>
      <c r="D78" s="331">
        <f>E78+E79</f>
        <v>0</v>
      </c>
      <c r="E78" s="26"/>
    </row>
    <row r="79" spans="1:5" x14ac:dyDescent="0.2">
      <c r="A79" s="332"/>
      <c r="B79" s="334"/>
      <c r="C79" s="8" t="s">
        <v>155</v>
      </c>
      <c r="D79" s="332"/>
      <c r="E79" s="6"/>
    </row>
    <row r="80" spans="1:5" x14ac:dyDescent="0.2">
      <c r="A80" s="331">
        <v>33</v>
      </c>
      <c r="B80" s="333"/>
      <c r="C80" s="182" t="s">
        <v>153</v>
      </c>
      <c r="D80" s="331">
        <f>E80+E81</f>
        <v>0</v>
      </c>
      <c r="E80" s="26"/>
    </row>
    <row r="81" spans="1:5" x14ac:dyDescent="0.2">
      <c r="A81" s="332"/>
      <c r="B81" s="334"/>
      <c r="C81" s="8" t="s">
        <v>155</v>
      </c>
      <c r="D81" s="332"/>
      <c r="E81" s="6"/>
    </row>
    <row r="82" spans="1:5" x14ac:dyDescent="0.2">
      <c r="A82" s="331">
        <v>34</v>
      </c>
      <c r="B82" s="333"/>
      <c r="C82" s="182" t="s">
        <v>153</v>
      </c>
      <c r="D82" s="331">
        <f>E82+E83</f>
        <v>0</v>
      </c>
      <c r="E82" s="26"/>
    </row>
    <row r="83" spans="1:5" x14ac:dyDescent="0.2">
      <c r="A83" s="332"/>
      <c r="B83" s="334"/>
      <c r="C83" s="8" t="s">
        <v>155</v>
      </c>
      <c r="D83" s="332"/>
      <c r="E83" s="6"/>
    </row>
    <row r="84" spans="1:5" x14ac:dyDescent="0.2">
      <c r="A84" s="331">
        <v>35</v>
      </c>
      <c r="B84" s="333"/>
      <c r="C84" s="182" t="s">
        <v>153</v>
      </c>
      <c r="D84" s="331">
        <f>E84+E85</f>
        <v>0</v>
      </c>
      <c r="E84" s="26"/>
    </row>
    <row r="85" spans="1:5" x14ac:dyDescent="0.2">
      <c r="A85" s="332"/>
      <c r="B85" s="334"/>
      <c r="C85" s="8" t="s">
        <v>155</v>
      </c>
      <c r="D85" s="332"/>
      <c r="E85" s="6"/>
    </row>
    <row r="86" spans="1:5" x14ac:dyDescent="0.2">
      <c r="A86" s="331">
        <v>36</v>
      </c>
      <c r="B86" s="333"/>
      <c r="C86" s="182" t="s">
        <v>153</v>
      </c>
      <c r="D86" s="331">
        <f>E86+E87</f>
        <v>0</v>
      </c>
      <c r="E86" s="26"/>
    </row>
    <row r="87" spans="1:5" x14ac:dyDescent="0.2">
      <c r="A87" s="332"/>
      <c r="B87" s="334"/>
      <c r="C87" s="8" t="s">
        <v>155</v>
      </c>
      <c r="D87" s="332"/>
      <c r="E87" s="6"/>
    </row>
    <row r="88" spans="1:5" s="19" customFormat="1" ht="23.25" x14ac:dyDescent="0.2">
      <c r="A88" s="336" t="s">
        <v>10</v>
      </c>
      <c r="B88" s="337"/>
      <c r="C88" s="337"/>
      <c r="D88" s="18">
        <f>SUM(D50:D79)</f>
        <v>0</v>
      </c>
      <c r="E88" s="18">
        <f>SUM(E50:E79)+E41</f>
        <v>13</v>
      </c>
    </row>
  </sheetData>
  <mergeCells count="118">
    <mergeCell ref="A88:C88"/>
    <mergeCell ref="A84:A85"/>
    <mergeCell ref="B84:B85"/>
    <mergeCell ref="D84:D85"/>
    <mergeCell ref="A86:A87"/>
    <mergeCell ref="B86:B87"/>
    <mergeCell ref="D86:D87"/>
    <mergeCell ref="A80:A81"/>
    <mergeCell ref="B80:B81"/>
    <mergeCell ref="D80:D81"/>
    <mergeCell ref="A82:A83"/>
    <mergeCell ref="B82:B83"/>
    <mergeCell ref="D82:D83"/>
    <mergeCell ref="A76:A77"/>
    <mergeCell ref="B76:B77"/>
    <mergeCell ref="D76:D77"/>
    <mergeCell ref="A78:A79"/>
    <mergeCell ref="B78:B79"/>
    <mergeCell ref="D78:D79"/>
    <mergeCell ref="A72:A73"/>
    <mergeCell ref="B72:B73"/>
    <mergeCell ref="D72:D73"/>
    <mergeCell ref="A74:A75"/>
    <mergeCell ref="B74:B75"/>
    <mergeCell ref="D74:D75"/>
    <mergeCell ref="A68:A69"/>
    <mergeCell ref="B68:B69"/>
    <mergeCell ref="D68:D69"/>
    <mergeCell ref="A70:A71"/>
    <mergeCell ref="B70:B71"/>
    <mergeCell ref="D70:D71"/>
    <mergeCell ref="A64:A65"/>
    <mergeCell ref="B64:B65"/>
    <mergeCell ref="D64:D65"/>
    <mergeCell ref="A66:A67"/>
    <mergeCell ref="B66:B67"/>
    <mergeCell ref="D66:D67"/>
    <mergeCell ref="A60:A61"/>
    <mergeCell ref="B60:B61"/>
    <mergeCell ref="D60:D61"/>
    <mergeCell ref="A62:A63"/>
    <mergeCell ref="B62:B63"/>
    <mergeCell ref="D62:D63"/>
    <mergeCell ref="A56:A57"/>
    <mergeCell ref="B56:B57"/>
    <mergeCell ref="D56:D57"/>
    <mergeCell ref="A58:A59"/>
    <mergeCell ref="B58:B59"/>
    <mergeCell ref="D58:D59"/>
    <mergeCell ref="A52:A53"/>
    <mergeCell ref="B52:B53"/>
    <mergeCell ref="D52:D53"/>
    <mergeCell ref="A54:A55"/>
    <mergeCell ref="B54:B55"/>
    <mergeCell ref="D54:D55"/>
    <mergeCell ref="A41:C41"/>
    <mergeCell ref="A44:E44"/>
    <mergeCell ref="A45:E45"/>
    <mergeCell ref="A46:B46"/>
    <mergeCell ref="A47:B47"/>
    <mergeCell ref="A50:A51"/>
    <mergeCell ref="B50:B51"/>
    <mergeCell ref="D50:D51"/>
    <mergeCell ref="A37:A38"/>
    <mergeCell ref="B37:B38"/>
    <mergeCell ref="D37:D38"/>
    <mergeCell ref="A39:A40"/>
    <mergeCell ref="B39:B40"/>
    <mergeCell ref="D39:D40"/>
    <mergeCell ref="A33:A34"/>
    <mergeCell ref="B33:B34"/>
    <mergeCell ref="D33:D34"/>
    <mergeCell ref="A35:A36"/>
    <mergeCell ref="B35:B36"/>
    <mergeCell ref="D35:D36"/>
    <mergeCell ref="A29:A30"/>
    <mergeCell ref="B29:B30"/>
    <mergeCell ref="D29:D30"/>
    <mergeCell ref="A31:A32"/>
    <mergeCell ref="B31:B32"/>
    <mergeCell ref="D31:D32"/>
    <mergeCell ref="A25:A26"/>
    <mergeCell ref="B25:B26"/>
    <mergeCell ref="D25:D26"/>
    <mergeCell ref="A27:A28"/>
    <mergeCell ref="B27:B28"/>
    <mergeCell ref="D27:D28"/>
    <mergeCell ref="A21:A22"/>
    <mergeCell ref="B21:B22"/>
    <mergeCell ref="D21:D22"/>
    <mergeCell ref="A23:A24"/>
    <mergeCell ref="B23:B24"/>
    <mergeCell ref="D23:D24"/>
    <mergeCell ref="A17:A18"/>
    <mergeCell ref="B17:B18"/>
    <mergeCell ref="D17:D18"/>
    <mergeCell ref="A19:A20"/>
    <mergeCell ref="B19:B20"/>
    <mergeCell ref="D19:D20"/>
    <mergeCell ref="A15:A16"/>
    <mergeCell ref="B15:B16"/>
    <mergeCell ref="D15:D16"/>
    <mergeCell ref="A9:A10"/>
    <mergeCell ref="B9:B10"/>
    <mergeCell ref="D9:D10"/>
    <mergeCell ref="A11:A12"/>
    <mergeCell ref="B11:B12"/>
    <mergeCell ref="D11:D12"/>
    <mergeCell ref="A1:E1"/>
    <mergeCell ref="A2:E2"/>
    <mergeCell ref="A3:B3"/>
    <mergeCell ref="A4:B4"/>
    <mergeCell ref="A7:A8"/>
    <mergeCell ref="B7:B8"/>
    <mergeCell ref="D7:D8"/>
    <mergeCell ref="A13:A14"/>
    <mergeCell ref="B13:B14"/>
    <mergeCell ref="D13:D1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zoomScale="110" zoomScaleNormal="110" workbookViewId="0">
      <selection activeCell="M70" sqref="M70:N70"/>
    </sheetView>
  </sheetViews>
  <sheetFormatPr defaultColWidth="9" defaultRowHeight="17.25" x14ac:dyDescent="0.2"/>
  <cols>
    <col min="1" max="1" width="6" style="1" customWidth="1"/>
    <col min="2" max="2" width="14.125" style="7" customWidth="1"/>
    <col min="3" max="3" width="28.375" style="1" customWidth="1"/>
    <col min="4" max="4" width="11.25" style="1" customWidth="1"/>
    <col min="5" max="5" width="23.25" style="1" customWidth="1"/>
    <col min="6" max="16384" width="9" style="1"/>
  </cols>
  <sheetData>
    <row r="1" spans="1:8" ht="21.95" customHeight="1" x14ac:dyDescent="0.2">
      <c r="A1" s="319" t="s">
        <v>22</v>
      </c>
      <c r="B1" s="319"/>
      <c r="C1" s="319"/>
      <c r="D1" s="319"/>
      <c r="E1" s="319"/>
    </row>
    <row r="2" spans="1:8" s="9" customFormat="1" ht="20.100000000000001" customHeight="1" x14ac:dyDescent="0.2">
      <c r="A2" s="335" t="str">
        <f>เทรลเลอร์1!A2</f>
        <v>รายงานการวิ่งรถประจำเดือน เมษายน ปี 69</v>
      </c>
      <c r="B2" s="335"/>
      <c r="C2" s="335"/>
      <c r="D2" s="335"/>
      <c r="E2" s="335"/>
    </row>
    <row r="3" spans="1:8" s="3" customFormat="1" ht="20.100000000000001" customHeight="1" x14ac:dyDescent="0.35">
      <c r="A3" s="318" t="s">
        <v>150</v>
      </c>
      <c r="B3" s="318"/>
      <c r="C3" s="2"/>
      <c r="D3" s="4" t="s">
        <v>21</v>
      </c>
      <c r="E3" s="1">
        <v>1</v>
      </c>
    </row>
    <row r="4" spans="1:8" s="3" customFormat="1" ht="20.100000000000001" customHeight="1" x14ac:dyDescent="0.35">
      <c r="A4" s="311" t="s">
        <v>151</v>
      </c>
      <c r="B4" s="311"/>
      <c r="C4" s="2"/>
      <c r="D4" s="4" t="s">
        <v>15</v>
      </c>
      <c r="E4" s="143" t="str">
        <f>Loader!E4</f>
        <v>26/03/69 - 24/04/69</v>
      </c>
      <c r="F4" s="2"/>
      <c r="G4" s="2"/>
      <c r="H4" s="2"/>
    </row>
    <row r="5" spans="1:8" x14ac:dyDescent="0.2">
      <c r="A5" s="12" t="s">
        <v>23</v>
      </c>
      <c r="B5" s="13" t="s">
        <v>11</v>
      </c>
      <c r="C5" s="12" t="s">
        <v>16</v>
      </c>
      <c r="D5" s="12" t="s">
        <v>18</v>
      </c>
      <c r="E5" s="12" t="s">
        <v>19</v>
      </c>
    </row>
    <row r="6" spans="1:8" x14ac:dyDescent="0.2">
      <c r="A6" s="15"/>
      <c r="B6" s="16"/>
      <c r="C6" s="15"/>
      <c r="D6" s="15" t="s">
        <v>20</v>
      </c>
      <c r="E6" s="15"/>
    </row>
    <row r="7" spans="1:8" x14ac:dyDescent="0.2">
      <c r="A7" s="331">
        <v>1</v>
      </c>
      <c r="B7" s="333">
        <f>Loader!B7</f>
        <v>46107</v>
      </c>
      <c r="C7" s="182" t="s">
        <v>153</v>
      </c>
      <c r="D7" s="331">
        <f>E7+E8</f>
        <v>0</v>
      </c>
      <c r="E7" s="26"/>
    </row>
    <row r="8" spans="1:8" x14ac:dyDescent="0.2">
      <c r="A8" s="332"/>
      <c r="B8" s="334"/>
      <c r="C8" s="8" t="s">
        <v>155</v>
      </c>
      <c r="D8" s="332"/>
      <c r="E8" s="6"/>
    </row>
    <row r="9" spans="1:8" x14ac:dyDescent="0.2">
      <c r="A9" s="331">
        <v>2</v>
      </c>
      <c r="B9" s="333">
        <f>B7+1</f>
        <v>46108</v>
      </c>
      <c r="C9" s="182" t="s">
        <v>153</v>
      </c>
      <c r="D9" s="331">
        <f>E9+E10</f>
        <v>0</v>
      </c>
      <c r="E9" s="26"/>
    </row>
    <row r="10" spans="1:8" x14ac:dyDescent="0.2">
      <c r="A10" s="332"/>
      <c r="B10" s="334"/>
      <c r="C10" s="8" t="s">
        <v>155</v>
      </c>
      <c r="D10" s="332"/>
      <c r="E10" s="6"/>
    </row>
    <row r="11" spans="1:8" x14ac:dyDescent="0.2">
      <c r="A11" s="331">
        <v>3</v>
      </c>
      <c r="B11" s="333">
        <f>B9+1</f>
        <v>46109</v>
      </c>
      <c r="C11" s="182" t="s">
        <v>153</v>
      </c>
      <c r="D11" s="331">
        <f>E11+E12</f>
        <v>0</v>
      </c>
      <c r="E11" s="26"/>
    </row>
    <row r="12" spans="1:8" x14ac:dyDescent="0.2">
      <c r="A12" s="332"/>
      <c r="B12" s="334"/>
      <c r="C12" s="8" t="s">
        <v>155</v>
      </c>
      <c r="D12" s="332"/>
      <c r="E12" s="6"/>
    </row>
    <row r="13" spans="1:8" x14ac:dyDescent="0.2">
      <c r="A13" s="331">
        <v>4</v>
      </c>
      <c r="B13" s="333">
        <f>B11+1</f>
        <v>46110</v>
      </c>
      <c r="C13" s="182" t="s">
        <v>153</v>
      </c>
      <c r="D13" s="331">
        <f>E13+E14</f>
        <v>0</v>
      </c>
      <c r="E13" s="26"/>
    </row>
    <row r="14" spans="1:8" x14ac:dyDescent="0.2">
      <c r="A14" s="332"/>
      <c r="B14" s="334"/>
      <c r="C14" s="8" t="s">
        <v>155</v>
      </c>
      <c r="D14" s="332"/>
      <c r="E14" s="6"/>
    </row>
    <row r="15" spans="1:8" x14ac:dyDescent="0.2">
      <c r="A15" s="331">
        <v>5</v>
      </c>
      <c r="B15" s="333">
        <f>B13+1</f>
        <v>46111</v>
      </c>
      <c r="C15" s="182" t="s">
        <v>153</v>
      </c>
      <c r="D15" s="331">
        <f>E15+E16</f>
        <v>0</v>
      </c>
      <c r="E15" s="26"/>
    </row>
    <row r="16" spans="1:8" x14ac:dyDescent="0.2">
      <c r="A16" s="332"/>
      <c r="B16" s="334"/>
      <c r="C16" s="8" t="s">
        <v>155</v>
      </c>
      <c r="D16" s="332"/>
      <c r="E16" s="6"/>
    </row>
    <row r="17" spans="1:6" x14ac:dyDescent="0.2">
      <c r="A17" s="331">
        <v>6</v>
      </c>
      <c r="B17" s="333">
        <f>B15+1</f>
        <v>46112</v>
      </c>
      <c r="C17" s="182" t="s">
        <v>153</v>
      </c>
      <c r="D17" s="331">
        <f>E17+E18</f>
        <v>0</v>
      </c>
      <c r="E17" s="26"/>
    </row>
    <row r="18" spans="1:6" x14ac:dyDescent="0.2">
      <c r="A18" s="332"/>
      <c r="B18" s="334"/>
      <c r="C18" s="8" t="s">
        <v>155</v>
      </c>
      <c r="D18" s="332"/>
      <c r="E18" s="6"/>
    </row>
    <row r="19" spans="1:6" x14ac:dyDescent="0.2">
      <c r="A19" s="331">
        <v>7</v>
      </c>
      <c r="B19" s="333">
        <f>B17+1</f>
        <v>46113</v>
      </c>
      <c r="C19" s="182" t="s">
        <v>153</v>
      </c>
      <c r="D19" s="331">
        <f>E19+E20</f>
        <v>0</v>
      </c>
      <c r="E19" s="26"/>
    </row>
    <row r="20" spans="1:6" x14ac:dyDescent="0.2">
      <c r="A20" s="332"/>
      <c r="B20" s="334"/>
      <c r="C20" s="8" t="s">
        <v>155</v>
      </c>
      <c r="D20" s="332"/>
      <c r="E20" s="6"/>
    </row>
    <row r="21" spans="1:6" x14ac:dyDescent="0.2">
      <c r="A21" s="331">
        <v>8</v>
      </c>
      <c r="B21" s="333">
        <f>B19+1</f>
        <v>46114</v>
      </c>
      <c r="C21" s="182" t="s">
        <v>153</v>
      </c>
      <c r="D21" s="331">
        <f>E21+E22</f>
        <v>0</v>
      </c>
      <c r="E21" s="26"/>
    </row>
    <row r="22" spans="1:6" x14ac:dyDescent="0.2">
      <c r="A22" s="332"/>
      <c r="B22" s="334"/>
      <c r="C22" s="8" t="s">
        <v>155</v>
      </c>
      <c r="D22" s="332"/>
      <c r="E22" s="6"/>
    </row>
    <row r="23" spans="1:6" x14ac:dyDescent="0.2">
      <c r="A23" s="331">
        <v>9</v>
      </c>
      <c r="B23" s="333">
        <f>B21+1</f>
        <v>46115</v>
      </c>
      <c r="C23" s="182" t="s">
        <v>153</v>
      </c>
      <c r="D23" s="331">
        <f>E23+E24</f>
        <v>0</v>
      </c>
      <c r="E23" s="26"/>
    </row>
    <row r="24" spans="1:6" x14ac:dyDescent="0.2">
      <c r="A24" s="332"/>
      <c r="B24" s="334"/>
      <c r="C24" s="8" t="s">
        <v>155</v>
      </c>
      <c r="D24" s="332"/>
      <c r="E24" s="6"/>
    </row>
    <row r="25" spans="1:6" x14ac:dyDescent="0.2">
      <c r="A25" s="331">
        <v>10</v>
      </c>
      <c r="B25" s="333">
        <f>B23+1</f>
        <v>46116</v>
      </c>
      <c r="C25" s="182" t="s">
        <v>153</v>
      </c>
      <c r="D25" s="331">
        <f>E25+E26</f>
        <v>0</v>
      </c>
      <c r="E25" s="26"/>
    </row>
    <row r="26" spans="1:6" x14ac:dyDescent="0.2">
      <c r="A26" s="332"/>
      <c r="B26" s="334"/>
      <c r="C26" s="8" t="s">
        <v>155</v>
      </c>
      <c r="D26" s="332"/>
      <c r="E26" s="6"/>
    </row>
    <row r="27" spans="1:6" x14ac:dyDescent="0.2">
      <c r="A27" s="331">
        <v>11</v>
      </c>
      <c r="B27" s="333">
        <f>B25+1</f>
        <v>46117</v>
      </c>
      <c r="C27" s="182" t="s">
        <v>153</v>
      </c>
      <c r="D27" s="331">
        <f>E27+E28</f>
        <v>0</v>
      </c>
      <c r="E27" s="26"/>
    </row>
    <row r="28" spans="1:6" x14ac:dyDescent="0.2">
      <c r="A28" s="332"/>
      <c r="B28" s="334"/>
      <c r="C28" s="8" t="s">
        <v>155</v>
      </c>
      <c r="D28" s="332"/>
      <c r="E28" s="6"/>
    </row>
    <row r="29" spans="1:6" x14ac:dyDescent="0.2">
      <c r="A29" s="331">
        <v>12</v>
      </c>
      <c r="B29" s="333">
        <f>B27+1</f>
        <v>46118</v>
      </c>
      <c r="C29" s="182" t="s">
        <v>153</v>
      </c>
      <c r="D29" s="331">
        <f>E29+E30</f>
        <v>0</v>
      </c>
      <c r="E29" s="26"/>
      <c r="F29" s="110"/>
    </row>
    <row r="30" spans="1:6" x14ac:dyDescent="0.2">
      <c r="A30" s="332"/>
      <c r="B30" s="334"/>
      <c r="C30" s="8" t="s">
        <v>155</v>
      </c>
      <c r="D30" s="332"/>
      <c r="E30" s="6"/>
      <c r="F30" s="110"/>
    </row>
    <row r="31" spans="1:6" x14ac:dyDescent="0.2">
      <c r="A31" s="331">
        <v>13</v>
      </c>
      <c r="B31" s="333">
        <f>B29+1</f>
        <v>46119</v>
      </c>
      <c r="C31" s="182" t="s">
        <v>153</v>
      </c>
      <c r="D31" s="331">
        <f>E31+E32</f>
        <v>0</v>
      </c>
      <c r="E31" s="26"/>
    </row>
    <row r="32" spans="1:6" x14ac:dyDescent="0.2">
      <c r="A32" s="332"/>
      <c r="B32" s="334"/>
      <c r="C32" s="8" t="s">
        <v>155</v>
      </c>
      <c r="D32" s="332"/>
      <c r="E32" s="6"/>
    </row>
    <row r="33" spans="1:5" x14ac:dyDescent="0.2">
      <c r="A33" s="331">
        <v>14</v>
      </c>
      <c r="B33" s="333">
        <f>B31+1</f>
        <v>46120</v>
      </c>
      <c r="C33" s="182" t="s">
        <v>153</v>
      </c>
      <c r="D33" s="331">
        <f>E33+E34</f>
        <v>0</v>
      </c>
      <c r="E33" s="26"/>
    </row>
    <row r="34" spans="1:5" x14ac:dyDescent="0.2">
      <c r="A34" s="332"/>
      <c r="B34" s="334"/>
      <c r="C34" s="8" t="s">
        <v>155</v>
      </c>
      <c r="D34" s="332"/>
      <c r="E34" s="6"/>
    </row>
    <row r="35" spans="1:5" x14ac:dyDescent="0.2">
      <c r="A35" s="331">
        <v>15</v>
      </c>
      <c r="B35" s="333">
        <f>B33+1</f>
        <v>46121</v>
      </c>
      <c r="C35" s="182" t="s">
        <v>153</v>
      </c>
      <c r="D35" s="331">
        <f>E35+E36</f>
        <v>0</v>
      </c>
      <c r="E35" s="26"/>
    </row>
    <row r="36" spans="1:5" x14ac:dyDescent="0.2">
      <c r="A36" s="332"/>
      <c r="B36" s="334"/>
      <c r="C36" s="8" t="s">
        <v>155</v>
      </c>
      <c r="D36" s="332"/>
      <c r="E36" s="6"/>
    </row>
    <row r="37" spans="1:5" x14ac:dyDescent="0.2">
      <c r="A37" s="331">
        <v>16</v>
      </c>
      <c r="B37" s="333">
        <f>B35+1</f>
        <v>46122</v>
      </c>
      <c r="C37" s="182" t="s">
        <v>153</v>
      </c>
      <c r="D37" s="331">
        <f>E37+E38</f>
        <v>0</v>
      </c>
      <c r="E37" s="26"/>
    </row>
    <row r="38" spans="1:5" x14ac:dyDescent="0.2">
      <c r="A38" s="332"/>
      <c r="B38" s="334"/>
      <c r="C38" s="8" t="s">
        <v>155</v>
      </c>
      <c r="D38" s="332"/>
      <c r="E38" s="6"/>
    </row>
    <row r="39" spans="1:5" x14ac:dyDescent="0.2">
      <c r="A39" s="331">
        <v>17</v>
      </c>
      <c r="B39" s="333">
        <f>B37+1</f>
        <v>46123</v>
      </c>
      <c r="C39" s="182" t="s">
        <v>153</v>
      </c>
      <c r="D39" s="331">
        <f>E39+E40</f>
        <v>0</v>
      </c>
      <c r="E39" s="26"/>
    </row>
    <row r="40" spans="1:5" x14ac:dyDescent="0.2">
      <c r="A40" s="332"/>
      <c r="B40" s="334"/>
      <c r="C40" s="8" t="s">
        <v>155</v>
      </c>
      <c r="D40" s="332"/>
      <c r="E40" s="6"/>
    </row>
    <row r="41" spans="1:5" s="19" customFormat="1" ht="23.25" x14ac:dyDescent="0.2">
      <c r="A41" s="336" t="s">
        <v>10</v>
      </c>
      <c r="B41" s="337"/>
      <c r="C41" s="337"/>
      <c r="D41" s="18">
        <f>SUM(D7:D40)</f>
        <v>0</v>
      </c>
      <c r="E41" s="18">
        <f>SUM(E7:E40)</f>
        <v>0</v>
      </c>
    </row>
    <row r="44" spans="1:5" ht="21.95" customHeight="1" x14ac:dyDescent="0.2">
      <c r="A44" s="319" t="s">
        <v>22</v>
      </c>
      <c r="B44" s="319"/>
      <c r="C44" s="319"/>
      <c r="D44" s="319"/>
      <c r="E44" s="319"/>
    </row>
    <row r="45" spans="1:5" s="9" customFormat="1" ht="20.100000000000001" customHeight="1" x14ac:dyDescent="0.2">
      <c r="A45" s="335" t="str">
        <f>A2</f>
        <v>รายงานการวิ่งรถประจำเดือน เมษายน ปี 69</v>
      </c>
      <c r="B45" s="335"/>
      <c r="C45" s="335"/>
      <c r="D45" s="335"/>
      <c r="E45" s="335"/>
    </row>
    <row r="46" spans="1:5" s="3" customFormat="1" ht="20.100000000000001" customHeight="1" x14ac:dyDescent="0.35">
      <c r="A46" s="318" t="str">
        <f>A3</f>
        <v xml:space="preserve">รถ…รถเทรลเลอรร์หัวลาก </v>
      </c>
      <c r="B46" s="318"/>
      <c r="C46" s="2"/>
      <c r="D46" s="4" t="s">
        <v>21</v>
      </c>
      <c r="E46" s="1">
        <f>E3+1</f>
        <v>2</v>
      </c>
    </row>
    <row r="47" spans="1:5" s="3" customFormat="1" ht="20.100000000000001" customHeight="1" x14ac:dyDescent="0.35">
      <c r="A47" s="311" t="str">
        <f>A4</f>
        <v xml:space="preserve">ทะเบียนรถ </v>
      </c>
      <c r="B47" s="311"/>
      <c r="C47" s="2"/>
      <c r="D47" s="4" t="s">
        <v>15</v>
      </c>
      <c r="E47" s="1" t="str">
        <f>E4</f>
        <v>26/03/69 - 24/04/69</v>
      </c>
    </row>
    <row r="48" spans="1:5" x14ac:dyDescent="0.2">
      <c r="A48" s="12" t="s">
        <v>23</v>
      </c>
      <c r="B48" s="13" t="s">
        <v>11</v>
      </c>
      <c r="C48" s="12" t="s">
        <v>16</v>
      </c>
      <c r="D48" s="12" t="s">
        <v>18</v>
      </c>
      <c r="E48" s="12" t="s">
        <v>19</v>
      </c>
    </row>
    <row r="49" spans="1:5" x14ac:dyDescent="0.2">
      <c r="A49" s="15"/>
      <c r="B49" s="16"/>
      <c r="C49" s="15"/>
      <c r="D49" s="15" t="s">
        <v>20</v>
      </c>
      <c r="E49" s="15"/>
    </row>
    <row r="50" spans="1:5" x14ac:dyDescent="0.2">
      <c r="A50" s="331">
        <v>18</v>
      </c>
      <c r="B50" s="333">
        <f>B39+1</f>
        <v>46124</v>
      </c>
      <c r="C50" s="182" t="s">
        <v>153</v>
      </c>
      <c r="D50" s="331">
        <f>E50+E51</f>
        <v>0</v>
      </c>
      <c r="E50" s="26"/>
    </row>
    <row r="51" spans="1:5" x14ac:dyDescent="0.2">
      <c r="A51" s="332"/>
      <c r="B51" s="334"/>
      <c r="C51" s="8" t="s">
        <v>155</v>
      </c>
      <c r="D51" s="332"/>
      <c r="E51" s="6"/>
    </row>
    <row r="52" spans="1:5" x14ac:dyDescent="0.2">
      <c r="A52" s="331">
        <v>19</v>
      </c>
      <c r="B52" s="333">
        <f>B50+1</f>
        <v>46125</v>
      </c>
      <c r="C52" s="182" t="s">
        <v>153</v>
      </c>
      <c r="D52" s="331">
        <f>E52+E53</f>
        <v>0</v>
      </c>
      <c r="E52" s="26"/>
    </row>
    <row r="53" spans="1:5" x14ac:dyDescent="0.2">
      <c r="A53" s="332"/>
      <c r="B53" s="334"/>
      <c r="C53" s="8" t="s">
        <v>155</v>
      </c>
      <c r="D53" s="332"/>
      <c r="E53" s="6"/>
    </row>
    <row r="54" spans="1:5" x14ac:dyDescent="0.2">
      <c r="A54" s="331">
        <v>20</v>
      </c>
      <c r="B54" s="333">
        <f>B52+1</f>
        <v>46126</v>
      </c>
      <c r="C54" s="182" t="s">
        <v>153</v>
      </c>
      <c r="D54" s="331">
        <f>E54+E55</f>
        <v>0</v>
      </c>
      <c r="E54" s="26"/>
    </row>
    <row r="55" spans="1:5" x14ac:dyDescent="0.2">
      <c r="A55" s="332"/>
      <c r="B55" s="334"/>
      <c r="C55" s="8" t="s">
        <v>155</v>
      </c>
      <c r="D55" s="332"/>
      <c r="E55" s="6"/>
    </row>
    <row r="56" spans="1:5" x14ac:dyDescent="0.2">
      <c r="A56" s="331">
        <v>21</v>
      </c>
      <c r="B56" s="333">
        <f>B54+1</f>
        <v>46127</v>
      </c>
      <c r="C56" s="182" t="s">
        <v>153</v>
      </c>
      <c r="D56" s="331">
        <f>E56+E57</f>
        <v>0</v>
      </c>
      <c r="E56" s="26"/>
    </row>
    <row r="57" spans="1:5" x14ac:dyDescent="0.2">
      <c r="A57" s="332"/>
      <c r="B57" s="334"/>
      <c r="C57" s="8" t="s">
        <v>155</v>
      </c>
      <c r="D57" s="332"/>
      <c r="E57" s="6"/>
    </row>
    <row r="58" spans="1:5" x14ac:dyDescent="0.2">
      <c r="A58" s="331">
        <v>22</v>
      </c>
      <c r="B58" s="333">
        <f>B56+1</f>
        <v>46128</v>
      </c>
      <c r="C58" s="182" t="s">
        <v>153</v>
      </c>
      <c r="D58" s="331">
        <f>E58+E59</f>
        <v>0</v>
      </c>
      <c r="E58" s="26"/>
    </row>
    <row r="59" spans="1:5" x14ac:dyDescent="0.2">
      <c r="A59" s="332"/>
      <c r="B59" s="334"/>
      <c r="C59" s="8" t="s">
        <v>155</v>
      </c>
      <c r="D59" s="332"/>
      <c r="E59" s="6"/>
    </row>
    <row r="60" spans="1:5" x14ac:dyDescent="0.2">
      <c r="A60" s="331">
        <v>23</v>
      </c>
      <c r="B60" s="333">
        <f>B58+1</f>
        <v>46129</v>
      </c>
      <c r="C60" s="182" t="s">
        <v>153</v>
      </c>
      <c r="D60" s="331">
        <f>E60+E61</f>
        <v>0</v>
      </c>
      <c r="E60" s="26"/>
    </row>
    <row r="61" spans="1:5" x14ac:dyDescent="0.2">
      <c r="A61" s="332"/>
      <c r="B61" s="334"/>
      <c r="C61" s="8" t="s">
        <v>155</v>
      </c>
      <c r="D61" s="332"/>
      <c r="E61" s="6"/>
    </row>
    <row r="62" spans="1:5" x14ac:dyDescent="0.2">
      <c r="A62" s="331">
        <v>24</v>
      </c>
      <c r="B62" s="333">
        <f>B60+1</f>
        <v>46130</v>
      </c>
      <c r="C62" s="182" t="s">
        <v>153</v>
      </c>
      <c r="D62" s="331">
        <f>E62+E63</f>
        <v>0</v>
      </c>
      <c r="E62" s="26"/>
    </row>
    <row r="63" spans="1:5" x14ac:dyDescent="0.2">
      <c r="A63" s="332"/>
      <c r="B63" s="334"/>
      <c r="C63" s="8" t="s">
        <v>155</v>
      </c>
      <c r="D63" s="332"/>
      <c r="E63" s="6"/>
    </row>
    <row r="64" spans="1:5" x14ac:dyDescent="0.2">
      <c r="A64" s="331">
        <v>25</v>
      </c>
      <c r="B64" s="333">
        <f>B62+1</f>
        <v>46131</v>
      </c>
      <c r="C64" s="182" t="s">
        <v>153</v>
      </c>
      <c r="D64" s="331">
        <f>E64+E65</f>
        <v>0</v>
      </c>
      <c r="E64" s="26"/>
    </row>
    <row r="65" spans="1:5" x14ac:dyDescent="0.2">
      <c r="A65" s="332"/>
      <c r="B65" s="334"/>
      <c r="C65" s="8" t="s">
        <v>155</v>
      </c>
      <c r="D65" s="332"/>
      <c r="E65" s="6"/>
    </row>
    <row r="66" spans="1:5" x14ac:dyDescent="0.2">
      <c r="A66" s="331">
        <v>26</v>
      </c>
      <c r="B66" s="333">
        <f>B64+1</f>
        <v>46132</v>
      </c>
      <c r="C66" s="182" t="s">
        <v>153</v>
      </c>
      <c r="D66" s="331">
        <f>E66+E67</f>
        <v>0</v>
      </c>
      <c r="E66" s="26"/>
    </row>
    <row r="67" spans="1:5" x14ac:dyDescent="0.2">
      <c r="A67" s="332"/>
      <c r="B67" s="334"/>
      <c r="C67" s="8" t="s">
        <v>155</v>
      </c>
      <c r="D67" s="332"/>
      <c r="E67" s="6"/>
    </row>
    <row r="68" spans="1:5" x14ac:dyDescent="0.2">
      <c r="A68" s="331">
        <v>27</v>
      </c>
      <c r="B68" s="333">
        <f>B66+1</f>
        <v>46133</v>
      </c>
      <c r="C68" s="182" t="s">
        <v>153</v>
      </c>
      <c r="D68" s="331">
        <f>E68+E69</f>
        <v>0</v>
      </c>
      <c r="E68" s="26"/>
    </row>
    <row r="69" spans="1:5" x14ac:dyDescent="0.2">
      <c r="A69" s="332"/>
      <c r="B69" s="334"/>
      <c r="C69" s="8" t="s">
        <v>155</v>
      </c>
      <c r="D69" s="332"/>
      <c r="E69" s="6"/>
    </row>
    <row r="70" spans="1:5" x14ac:dyDescent="0.2">
      <c r="A70" s="331">
        <v>28</v>
      </c>
      <c r="B70" s="333">
        <f>B68+1</f>
        <v>46134</v>
      </c>
      <c r="C70" s="182" t="s">
        <v>153</v>
      </c>
      <c r="D70" s="331">
        <f>E70+E71</f>
        <v>0</v>
      </c>
      <c r="E70" s="26"/>
    </row>
    <row r="71" spans="1:5" x14ac:dyDescent="0.2">
      <c r="A71" s="332"/>
      <c r="B71" s="334"/>
      <c r="C71" s="8" t="s">
        <v>155</v>
      </c>
      <c r="D71" s="332"/>
      <c r="E71" s="6"/>
    </row>
    <row r="72" spans="1:5" x14ac:dyDescent="0.2">
      <c r="A72" s="331">
        <v>29</v>
      </c>
      <c r="B72" s="333">
        <f>B70+1</f>
        <v>46135</v>
      </c>
      <c r="C72" s="182" t="s">
        <v>153</v>
      </c>
      <c r="D72" s="331">
        <f>E72+E73</f>
        <v>0</v>
      </c>
      <c r="E72" s="26"/>
    </row>
    <row r="73" spans="1:5" x14ac:dyDescent="0.2">
      <c r="A73" s="332"/>
      <c r="B73" s="334"/>
      <c r="C73" s="8" t="s">
        <v>155</v>
      </c>
      <c r="D73" s="332"/>
      <c r="E73" s="6"/>
    </row>
    <row r="74" spans="1:5" x14ac:dyDescent="0.2">
      <c r="A74" s="331">
        <v>30</v>
      </c>
      <c r="B74" s="333">
        <f>B72+1</f>
        <v>46136</v>
      </c>
      <c r="C74" s="182" t="s">
        <v>153</v>
      </c>
      <c r="D74" s="331">
        <f>E74+E75</f>
        <v>0</v>
      </c>
      <c r="E74" s="26"/>
    </row>
    <row r="75" spans="1:5" x14ac:dyDescent="0.2">
      <c r="A75" s="332"/>
      <c r="B75" s="334"/>
      <c r="C75" s="8" t="s">
        <v>155</v>
      </c>
      <c r="D75" s="332"/>
      <c r="E75" s="6"/>
    </row>
    <row r="76" spans="1:5" x14ac:dyDescent="0.2">
      <c r="A76" s="331">
        <v>31</v>
      </c>
      <c r="B76" s="333">
        <f>B74+1</f>
        <v>46137</v>
      </c>
      <c r="C76" s="182" t="s">
        <v>153</v>
      </c>
      <c r="D76" s="331">
        <f>E76+E77</f>
        <v>0</v>
      </c>
      <c r="E76" s="26"/>
    </row>
    <row r="77" spans="1:5" x14ac:dyDescent="0.2">
      <c r="A77" s="332"/>
      <c r="B77" s="334"/>
      <c r="C77" s="8" t="s">
        <v>155</v>
      </c>
      <c r="D77" s="332"/>
      <c r="E77" s="6"/>
    </row>
    <row r="78" spans="1:5" x14ac:dyDescent="0.2">
      <c r="A78" s="331">
        <v>32</v>
      </c>
      <c r="B78" s="333">
        <f>B76+1</f>
        <v>46138</v>
      </c>
      <c r="C78" s="182" t="s">
        <v>153</v>
      </c>
      <c r="D78" s="331">
        <f>E78+E79</f>
        <v>0</v>
      </c>
      <c r="E78" s="26"/>
    </row>
    <row r="79" spans="1:5" x14ac:dyDescent="0.2">
      <c r="A79" s="332"/>
      <c r="B79" s="334"/>
      <c r="C79" s="8" t="s">
        <v>155</v>
      </c>
      <c r="D79" s="332"/>
      <c r="E79" s="6"/>
    </row>
    <row r="80" spans="1:5" x14ac:dyDescent="0.2">
      <c r="A80" s="331">
        <v>33</v>
      </c>
      <c r="B80" s="333"/>
      <c r="C80" s="182" t="s">
        <v>153</v>
      </c>
      <c r="D80" s="331">
        <f>E80+E81</f>
        <v>0</v>
      </c>
      <c r="E80" s="26"/>
    </row>
    <row r="81" spans="1:5" x14ac:dyDescent="0.2">
      <c r="A81" s="332"/>
      <c r="B81" s="334"/>
      <c r="C81" s="8" t="s">
        <v>155</v>
      </c>
      <c r="D81" s="332"/>
      <c r="E81" s="6"/>
    </row>
    <row r="82" spans="1:5" x14ac:dyDescent="0.2">
      <c r="A82" s="331">
        <v>34</v>
      </c>
      <c r="B82" s="333"/>
      <c r="C82" s="182" t="s">
        <v>153</v>
      </c>
      <c r="D82" s="331">
        <f>E82+E83</f>
        <v>0</v>
      </c>
      <c r="E82" s="26"/>
    </row>
    <row r="83" spans="1:5" x14ac:dyDescent="0.2">
      <c r="A83" s="332"/>
      <c r="B83" s="334"/>
      <c r="C83" s="8" t="s">
        <v>155</v>
      </c>
      <c r="D83" s="332"/>
      <c r="E83" s="6"/>
    </row>
    <row r="84" spans="1:5" x14ac:dyDescent="0.2">
      <c r="A84" s="331">
        <v>35</v>
      </c>
      <c r="B84" s="333"/>
      <c r="C84" s="182" t="s">
        <v>153</v>
      </c>
      <c r="D84" s="331">
        <f>E84+E85</f>
        <v>0</v>
      </c>
      <c r="E84" s="26"/>
    </row>
    <row r="85" spans="1:5" x14ac:dyDescent="0.2">
      <c r="A85" s="332"/>
      <c r="B85" s="334"/>
      <c r="C85" s="8" t="s">
        <v>155</v>
      </c>
      <c r="D85" s="332"/>
      <c r="E85" s="6"/>
    </row>
    <row r="86" spans="1:5" x14ac:dyDescent="0.2">
      <c r="A86" s="331">
        <v>36</v>
      </c>
      <c r="B86" s="333"/>
      <c r="C86" s="182" t="s">
        <v>153</v>
      </c>
      <c r="D86" s="331">
        <f>E86+E87</f>
        <v>0</v>
      </c>
      <c r="E86" s="26"/>
    </row>
    <row r="87" spans="1:5" x14ac:dyDescent="0.2">
      <c r="A87" s="332"/>
      <c r="B87" s="334"/>
      <c r="C87" s="8" t="s">
        <v>155</v>
      </c>
      <c r="D87" s="332"/>
      <c r="E87" s="6"/>
    </row>
    <row r="88" spans="1:5" s="19" customFormat="1" ht="23.25" x14ac:dyDescent="0.2">
      <c r="A88" s="336" t="s">
        <v>10</v>
      </c>
      <c r="B88" s="337"/>
      <c r="C88" s="337"/>
      <c r="D88" s="18">
        <f>SUM(D50:D79)</f>
        <v>0</v>
      </c>
      <c r="E88" s="18">
        <f>SUM(E50:E79)+E41</f>
        <v>0</v>
      </c>
    </row>
  </sheetData>
  <mergeCells count="118">
    <mergeCell ref="A88:C88"/>
    <mergeCell ref="A84:A85"/>
    <mergeCell ref="B84:B85"/>
    <mergeCell ref="D84:D85"/>
    <mergeCell ref="A86:A87"/>
    <mergeCell ref="B86:B87"/>
    <mergeCell ref="D86:D87"/>
    <mergeCell ref="A80:A81"/>
    <mergeCell ref="B80:B81"/>
    <mergeCell ref="D80:D81"/>
    <mergeCell ref="A82:A83"/>
    <mergeCell ref="B82:B83"/>
    <mergeCell ref="D82:D83"/>
    <mergeCell ref="A76:A77"/>
    <mergeCell ref="B76:B77"/>
    <mergeCell ref="D76:D77"/>
    <mergeCell ref="A78:A79"/>
    <mergeCell ref="B78:B79"/>
    <mergeCell ref="D78:D79"/>
    <mergeCell ref="A72:A73"/>
    <mergeCell ref="B72:B73"/>
    <mergeCell ref="D72:D73"/>
    <mergeCell ref="A74:A75"/>
    <mergeCell ref="B74:B75"/>
    <mergeCell ref="D74:D75"/>
    <mergeCell ref="A68:A69"/>
    <mergeCell ref="B68:B69"/>
    <mergeCell ref="D68:D69"/>
    <mergeCell ref="A70:A71"/>
    <mergeCell ref="B70:B71"/>
    <mergeCell ref="D70:D71"/>
    <mergeCell ref="A64:A65"/>
    <mergeCell ref="B64:B65"/>
    <mergeCell ref="D64:D65"/>
    <mergeCell ref="A66:A67"/>
    <mergeCell ref="B66:B67"/>
    <mergeCell ref="D66:D67"/>
    <mergeCell ref="A60:A61"/>
    <mergeCell ref="B60:B61"/>
    <mergeCell ref="D60:D61"/>
    <mergeCell ref="A62:A63"/>
    <mergeCell ref="B62:B63"/>
    <mergeCell ref="D62:D63"/>
    <mergeCell ref="A56:A57"/>
    <mergeCell ref="B56:B57"/>
    <mergeCell ref="D56:D57"/>
    <mergeCell ref="A58:A59"/>
    <mergeCell ref="B58:B59"/>
    <mergeCell ref="D58:D59"/>
    <mergeCell ref="A52:A53"/>
    <mergeCell ref="B52:B53"/>
    <mergeCell ref="D52:D53"/>
    <mergeCell ref="A54:A55"/>
    <mergeCell ref="B54:B55"/>
    <mergeCell ref="D54:D55"/>
    <mergeCell ref="A41:C41"/>
    <mergeCell ref="A44:E44"/>
    <mergeCell ref="A45:E45"/>
    <mergeCell ref="A46:B46"/>
    <mergeCell ref="A47:B47"/>
    <mergeCell ref="A50:A51"/>
    <mergeCell ref="B50:B51"/>
    <mergeCell ref="D50:D51"/>
    <mergeCell ref="A37:A38"/>
    <mergeCell ref="B37:B38"/>
    <mergeCell ref="D37:D38"/>
    <mergeCell ref="A39:A40"/>
    <mergeCell ref="B39:B40"/>
    <mergeCell ref="D39:D40"/>
    <mergeCell ref="A33:A34"/>
    <mergeCell ref="B33:B34"/>
    <mergeCell ref="D33:D34"/>
    <mergeCell ref="A35:A36"/>
    <mergeCell ref="B35:B36"/>
    <mergeCell ref="D35:D36"/>
    <mergeCell ref="A29:A30"/>
    <mergeCell ref="B29:B30"/>
    <mergeCell ref="D29:D30"/>
    <mergeCell ref="A31:A32"/>
    <mergeCell ref="B31:B32"/>
    <mergeCell ref="D31:D32"/>
    <mergeCell ref="A25:A26"/>
    <mergeCell ref="B25:B26"/>
    <mergeCell ref="D25:D26"/>
    <mergeCell ref="A27:A28"/>
    <mergeCell ref="B27:B28"/>
    <mergeCell ref="D27:D28"/>
    <mergeCell ref="A21:A22"/>
    <mergeCell ref="B21:B22"/>
    <mergeCell ref="D21:D22"/>
    <mergeCell ref="A23:A24"/>
    <mergeCell ref="B23:B24"/>
    <mergeCell ref="D23:D24"/>
    <mergeCell ref="A17:A18"/>
    <mergeCell ref="B17:B18"/>
    <mergeCell ref="D17:D18"/>
    <mergeCell ref="A19:A20"/>
    <mergeCell ref="B19:B20"/>
    <mergeCell ref="D19:D20"/>
    <mergeCell ref="A15:A16"/>
    <mergeCell ref="B15:B16"/>
    <mergeCell ref="D15:D16"/>
    <mergeCell ref="A9:A10"/>
    <mergeCell ref="B9:B10"/>
    <mergeCell ref="D9:D10"/>
    <mergeCell ref="A11:A12"/>
    <mergeCell ref="B11:B12"/>
    <mergeCell ref="D11:D12"/>
    <mergeCell ref="A1:E1"/>
    <mergeCell ref="A2:E2"/>
    <mergeCell ref="A3:B3"/>
    <mergeCell ref="A4:B4"/>
    <mergeCell ref="A7:A8"/>
    <mergeCell ref="B7:B8"/>
    <mergeCell ref="D7:D8"/>
    <mergeCell ref="A13:A14"/>
    <mergeCell ref="B13:B14"/>
    <mergeCell ref="D13:D1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5"/>
  <sheetViews>
    <sheetView zoomScale="140" zoomScaleNormal="140" workbookViewId="0">
      <selection activeCell="D15" sqref="D15"/>
    </sheetView>
  </sheetViews>
  <sheetFormatPr defaultColWidth="9" defaultRowHeight="17.25" x14ac:dyDescent="0.2"/>
  <cols>
    <col min="1" max="1" width="4" style="234" bestFit="1" customWidth="1"/>
    <col min="2" max="2" width="10.625" style="296" customWidth="1"/>
    <col min="3" max="3" width="12.625" style="297" hidden="1" customWidth="1"/>
    <col min="4" max="4" width="32" style="297" customWidth="1"/>
    <col min="5" max="5" width="28.875" style="234" customWidth="1"/>
    <col min="6" max="6" width="10.625" style="234" customWidth="1"/>
    <col min="7" max="7" width="7.625" style="298" customWidth="1"/>
    <col min="8" max="8" width="15.625" style="234" customWidth="1"/>
    <col min="9" max="16384" width="9" style="234"/>
  </cols>
  <sheetData>
    <row r="1" spans="1:8" ht="21.95" customHeight="1" x14ac:dyDescent="0.2">
      <c r="A1" s="343" t="s">
        <v>14</v>
      </c>
      <c r="B1" s="343"/>
      <c r="C1" s="343"/>
      <c r="D1" s="343"/>
      <c r="E1" s="343"/>
      <c r="F1" s="343"/>
      <c r="G1" s="343"/>
      <c r="H1" s="343"/>
    </row>
    <row r="2" spans="1:8" s="235" customFormat="1" ht="20.100000000000001" customHeight="1" x14ac:dyDescent="0.2">
      <c r="A2" s="344" t="s">
        <v>1639</v>
      </c>
      <c r="B2" s="344"/>
      <c r="C2" s="344"/>
      <c r="D2" s="344"/>
      <c r="E2" s="344"/>
      <c r="F2" s="344"/>
      <c r="G2" s="344"/>
      <c r="H2" s="344"/>
    </row>
    <row r="3" spans="1:8" s="237" customFormat="1" ht="20.100000000000001" customHeight="1" x14ac:dyDescent="0.4">
      <c r="A3" s="353" t="s">
        <v>96</v>
      </c>
      <c r="B3" s="353"/>
      <c r="C3" s="353"/>
      <c r="D3" s="353"/>
      <c r="E3" s="236"/>
      <c r="G3" s="238" t="s">
        <v>21</v>
      </c>
      <c r="H3" s="239">
        <v>1</v>
      </c>
    </row>
    <row r="4" spans="1:8" s="237" customFormat="1" ht="20.100000000000001" customHeight="1" x14ac:dyDescent="0.35">
      <c r="A4" s="342"/>
      <c r="B4" s="342"/>
      <c r="C4" s="342"/>
      <c r="D4" s="240"/>
      <c r="E4" s="236"/>
      <c r="F4" s="241">
        <f>'1'!F4:G4</f>
        <v>46107</v>
      </c>
      <c r="G4" s="242" t="s">
        <v>82</v>
      </c>
      <c r="H4" s="241">
        <f>'1'!I4</f>
        <v>46136</v>
      </c>
    </row>
    <row r="5" spans="1:8" x14ac:dyDescent="0.2">
      <c r="A5" s="243" t="s">
        <v>23</v>
      </c>
      <c r="B5" s="244" t="s">
        <v>11</v>
      </c>
      <c r="C5" s="245" t="s">
        <v>26</v>
      </c>
      <c r="D5" s="245" t="s">
        <v>83</v>
      </c>
      <c r="E5" s="243" t="s">
        <v>16</v>
      </c>
      <c r="F5" s="243" t="s">
        <v>17</v>
      </c>
      <c r="G5" s="246" t="s">
        <v>18</v>
      </c>
      <c r="H5" s="243" t="s">
        <v>19</v>
      </c>
    </row>
    <row r="6" spans="1:8" x14ac:dyDescent="0.2">
      <c r="A6" s="247"/>
      <c r="B6" s="248"/>
      <c r="C6" s="249"/>
      <c r="D6" s="250"/>
      <c r="E6" s="251"/>
      <c r="F6" s="251"/>
      <c r="G6" s="252" t="s">
        <v>20</v>
      </c>
      <c r="H6" s="251"/>
    </row>
    <row r="7" spans="1:8" x14ac:dyDescent="0.2">
      <c r="A7" s="253" t="s">
        <v>0</v>
      </c>
      <c r="B7" s="254">
        <f>รถน้ำ!B7:B8</f>
        <v>46107</v>
      </c>
      <c r="C7" s="255"/>
      <c r="D7" s="230" t="s">
        <v>1640</v>
      </c>
      <c r="E7" s="230" t="s">
        <v>1641</v>
      </c>
      <c r="F7" s="230" t="s">
        <v>222</v>
      </c>
      <c r="G7" s="231">
        <v>2</v>
      </c>
      <c r="H7" s="256"/>
    </row>
    <row r="8" spans="1:8" x14ac:dyDescent="0.2">
      <c r="A8" s="253" t="s">
        <v>1</v>
      </c>
      <c r="B8" s="254"/>
      <c r="C8" s="255"/>
      <c r="D8" s="230" t="s">
        <v>1640</v>
      </c>
      <c r="E8" s="230" t="s">
        <v>1641</v>
      </c>
      <c r="F8" s="230" t="s">
        <v>1642</v>
      </c>
      <c r="G8" s="231">
        <v>5</v>
      </c>
      <c r="H8" s="257"/>
    </row>
    <row r="9" spans="1:8" x14ac:dyDescent="0.2">
      <c r="A9" s="253" t="s">
        <v>2</v>
      </c>
      <c r="B9" s="254"/>
      <c r="C9" s="255"/>
      <c r="D9" s="230" t="s">
        <v>1646</v>
      </c>
      <c r="E9" s="230" t="s">
        <v>1647</v>
      </c>
      <c r="F9" s="230" t="s">
        <v>1648</v>
      </c>
      <c r="G9" s="231">
        <v>11</v>
      </c>
      <c r="H9" s="258"/>
    </row>
    <row r="10" spans="1:8" x14ac:dyDescent="0.2">
      <c r="A10" s="253" t="s">
        <v>3</v>
      </c>
      <c r="B10" s="254"/>
      <c r="C10" s="255"/>
      <c r="D10" s="230" t="s">
        <v>1646</v>
      </c>
      <c r="E10" s="230" t="s">
        <v>1647</v>
      </c>
      <c r="F10" s="230" t="s">
        <v>1649</v>
      </c>
      <c r="G10" s="231">
        <v>3</v>
      </c>
      <c r="H10" s="258"/>
    </row>
    <row r="11" spans="1:8" x14ac:dyDescent="0.2">
      <c r="A11" s="253" t="s">
        <v>4</v>
      </c>
      <c r="B11" s="254"/>
      <c r="C11" s="255"/>
      <c r="D11" s="230" t="s">
        <v>1655</v>
      </c>
      <c r="E11" s="230" t="s">
        <v>1656</v>
      </c>
      <c r="F11" s="230" t="s">
        <v>1642</v>
      </c>
      <c r="G11" s="231">
        <v>12.5</v>
      </c>
      <c r="H11" s="258"/>
    </row>
    <row r="12" spans="1:8" x14ac:dyDescent="0.2">
      <c r="A12" s="253" t="s">
        <v>5</v>
      </c>
      <c r="B12" s="254"/>
      <c r="C12" s="259"/>
      <c r="D12" s="230" t="s">
        <v>1657</v>
      </c>
      <c r="E12" s="230" t="s">
        <v>1658</v>
      </c>
      <c r="F12" s="230" t="s">
        <v>1642</v>
      </c>
      <c r="G12" s="231">
        <v>72</v>
      </c>
      <c r="H12" s="258"/>
    </row>
    <row r="13" spans="1:8" hidden="1" x14ac:dyDescent="0.2">
      <c r="A13" s="253" t="s">
        <v>6</v>
      </c>
      <c r="B13" s="254"/>
      <c r="C13" s="259"/>
      <c r="D13" s="230"/>
      <c r="E13" s="230"/>
      <c r="F13" s="230"/>
      <c r="G13" s="231"/>
      <c r="H13" s="258"/>
    </row>
    <row r="14" spans="1:8" x14ac:dyDescent="0.2">
      <c r="A14" s="338" t="s">
        <v>10</v>
      </c>
      <c r="B14" s="339"/>
      <c r="C14" s="339"/>
      <c r="D14" s="345"/>
      <c r="E14" s="345"/>
      <c r="F14" s="346"/>
      <c r="G14" s="260">
        <f>SUM(G7:G13)</f>
        <v>105.5</v>
      </c>
      <c r="H14" s="261"/>
    </row>
    <row r="15" spans="1:8" x14ac:dyDescent="0.2">
      <c r="A15" s="253" t="s">
        <v>0</v>
      </c>
      <c r="B15" s="254">
        <f>B7+1</f>
        <v>46108</v>
      </c>
      <c r="C15" s="259"/>
      <c r="D15" s="230" t="s">
        <v>1640</v>
      </c>
      <c r="E15" s="230" t="s">
        <v>1641</v>
      </c>
      <c r="F15" s="230" t="s">
        <v>222</v>
      </c>
      <c r="G15" s="231">
        <v>2</v>
      </c>
      <c r="H15" s="258"/>
    </row>
    <row r="16" spans="1:8" x14ac:dyDescent="0.2">
      <c r="A16" s="253" t="s">
        <v>1</v>
      </c>
      <c r="B16" s="254"/>
      <c r="C16" s="259"/>
      <c r="D16" s="230" t="s">
        <v>1640</v>
      </c>
      <c r="E16" s="230" t="s">
        <v>1641</v>
      </c>
      <c r="F16" s="230" t="s">
        <v>1642</v>
      </c>
      <c r="G16" s="231">
        <v>5</v>
      </c>
      <c r="H16" s="258"/>
    </row>
    <row r="17" spans="1:8" x14ac:dyDescent="0.2">
      <c r="A17" s="253" t="s">
        <v>2</v>
      </c>
      <c r="B17" s="254"/>
      <c r="C17" s="259"/>
      <c r="D17" s="230" t="s">
        <v>1646</v>
      </c>
      <c r="E17" s="230" t="s">
        <v>1647</v>
      </c>
      <c r="F17" s="230" t="s">
        <v>1642</v>
      </c>
      <c r="G17" s="231">
        <v>10</v>
      </c>
      <c r="H17" s="258"/>
    </row>
    <row r="18" spans="1:8" x14ac:dyDescent="0.2">
      <c r="A18" s="253" t="s">
        <v>3</v>
      </c>
      <c r="B18" s="254"/>
      <c r="C18" s="259"/>
      <c r="D18" s="230" t="s">
        <v>1662</v>
      </c>
      <c r="E18" s="230" t="s">
        <v>1663</v>
      </c>
      <c r="F18" s="230" t="s">
        <v>184</v>
      </c>
      <c r="G18" s="231">
        <v>1</v>
      </c>
      <c r="H18" s="258"/>
    </row>
    <row r="19" spans="1:8" x14ac:dyDescent="0.2">
      <c r="A19" s="253" t="s">
        <v>4</v>
      </c>
      <c r="B19" s="254"/>
      <c r="C19" s="259"/>
      <c r="D19" s="230" t="s">
        <v>1662</v>
      </c>
      <c r="E19" s="230" t="s">
        <v>1663</v>
      </c>
      <c r="F19" s="230" t="s">
        <v>1661</v>
      </c>
      <c r="G19" s="231">
        <v>172</v>
      </c>
      <c r="H19" s="258"/>
    </row>
    <row r="20" spans="1:8" x14ac:dyDescent="0.2">
      <c r="A20" s="253">
        <v>6</v>
      </c>
      <c r="B20" s="254"/>
      <c r="C20" s="259"/>
      <c r="D20" s="230" t="s">
        <v>1655</v>
      </c>
      <c r="E20" s="230" t="s">
        <v>1666</v>
      </c>
      <c r="F20" s="230" t="s">
        <v>184</v>
      </c>
      <c r="G20" s="231">
        <v>10</v>
      </c>
      <c r="H20" s="258"/>
    </row>
    <row r="21" spans="1:8" x14ac:dyDescent="0.2">
      <c r="A21" s="253">
        <v>7</v>
      </c>
      <c r="B21" s="254"/>
      <c r="C21" s="259"/>
      <c r="D21" s="230" t="s">
        <v>1655</v>
      </c>
      <c r="E21" s="230" t="s">
        <v>1666</v>
      </c>
      <c r="F21" s="230" t="s">
        <v>1661</v>
      </c>
      <c r="G21" s="231">
        <v>1.5</v>
      </c>
      <c r="H21" s="258"/>
    </row>
    <row r="22" spans="1:8" x14ac:dyDescent="0.2">
      <c r="A22" s="253">
        <v>8</v>
      </c>
      <c r="B22" s="254"/>
      <c r="C22" s="259"/>
      <c r="D22" s="230" t="s">
        <v>1667</v>
      </c>
      <c r="E22" s="230" t="s">
        <v>1668</v>
      </c>
      <c r="F22" s="230" t="s">
        <v>1652</v>
      </c>
      <c r="G22" s="231">
        <v>22</v>
      </c>
      <c r="H22" s="258"/>
    </row>
    <row r="23" spans="1:8" x14ac:dyDescent="0.2">
      <c r="A23" s="253">
        <v>9</v>
      </c>
      <c r="B23" s="254"/>
      <c r="C23" s="259"/>
      <c r="D23" s="230" t="s">
        <v>1657</v>
      </c>
      <c r="E23" s="230" t="s">
        <v>1658</v>
      </c>
      <c r="F23" s="230" t="s">
        <v>1652</v>
      </c>
      <c r="G23" s="231">
        <v>4</v>
      </c>
      <c r="H23" s="258"/>
    </row>
    <row r="24" spans="1:8" x14ac:dyDescent="0.2">
      <c r="A24" s="338" t="s">
        <v>10</v>
      </c>
      <c r="B24" s="339"/>
      <c r="C24" s="339"/>
      <c r="D24" s="347"/>
      <c r="E24" s="347"/>
      <c r="F24" s="348"/>
      <c r="G24" s="262">
        <f>SUM(G15:G23)</f>
        <v>227.5</v>
      </c>
      <c r="H24" s="261"/>
    </row>
    <row r="25" spans="1:8" x14ac:dyDescent="0.2">
      <c r="A25" s="253" t="s">
        <v>0</v>
      </c>
      <c r="B25" s="254">
        <f>B15+1</f>
        <v>46109</v>
      </c>
      <c r="C25" s="259"/>
      <c r="D25" s="230" t="s">
        <v>361</v>
      </c>
      <c r="E25" s="230" t="s">
        <v>1673</v>
      </c>
      <c r="F25" s="230" t="s">
        <v>1652</v>
      </c>
      <c r="G25" s="231">
        <v>9.5</v>
      </c>
      <c r="H25" s="256"/>
    </row>
    <row r="26" spans="1:8" hidden="1" x14ac:dyDescent="0.2">
      <c r="A26" s="253" t="s">
        <v>1</v>
      </c>
      <c r="B26" s="254"/>
      <c r="C26" s="259"/>
      <c r="D26" s="263"/>
      <c r="E26" s="263"/>
      <c r="F26" s="225"/>
      <c r="G26" s="226"/>
      <c r="H26" s="264"/>
    </row>
    <row r="27" spans="1:8" hidden="1" x14ac:dyDescent="0.2">
      <c r="A27" s="253" t="s">
        <v>2</v>
      </c>
      <c r="B27" s="254"/>
      <c r="C27" s="259"/>
      <c r="D27" s="225"/>
      <c r="E27" s="225"/>
      <c r="F27" s="225"/>
      <c r="G27" s="226"/>
      <c r="H27" s="258"/>
    </row>
    <row r="28" spans="1:8" hidden="1" x14ac:dyDescent="0.2">
      <c r="A28" s="253" t="s">
        <v>3</v>
      </c>
      <c r="B28" s="254"/>
      <c r="C28" s="259"/>
      <c r="D28" s="225"/>
      <c r="E28" s="225"/>
      <c r="F28" s="225"/>
      <c r="G28" s="226"/>
      <c r="H28" s="258"/>
    </row>
    <row r="29" spans="1:8" hidden="1" x14ac:dyDescent="0.2">
      <c r="A29" s="253" t="s">
        <v>4</v>
      </c>
      <c r="B29" s="254"/>
      <c r="C29" s="259"/>
      <c r="D29" s="225"/>
      <c r="E29" s="225"/>
      <c r="F29" s="225"/>
      <c r="G29" s="226"/>
      <c r="H29" s="258"/>
    </row>
    <row r="30" spans="1:8" hidden="1" x14ac:dyDescent="0.2">
      <c r="A30" s="253" t="s">
        <v>5</v>
      </c>
      <c r="B30" s="254"/>
      <c r="C30" s="259"/>
      <c r="D30" s="265"/>
      <c r="E30" s="265"/>
      <c r="F30" s="265"/>
      <c r="G30" s="266"/>
      <c r="H30" s="258"/>
    </row>
    <row r="31" spans="1:8" hidden="1" x14ac:dyDescent="0.2">
      <c r="A31" s="253" t="s">
        <v>6</v>
      </c>
      <c r="B31" s="254"/>
      <c r="C31" s="259"/>
      <c r="D31" s="263"/>
      <c r="E31" s="263"/>
      <c r="F31" s="225"/>
      <c r="G31" s="226"/>
      <c r="H31" s="258"/>
    </row>
    <row r="32" spans="1:8" x14ac:dyDescent="0.2">
      <c r="A32" s="338" t="s">
        <v>10</v>
      </c>
      <c r="B32" s="339"/>
      <c r="C32" s="339"/>
      <c r="D32" s="345"/>
      <c r="E32" s="345"/>
      <c r="F32" s="346"/>
      <c r="G32" s="260">
        <f>SUM(G25:G31)</f>
        <v>9.5</v>
      </c>
      <c r="H32" s="261"/>
    </row>
    <row r="33" spans="1:8" x14ac:dyDescent="0.2">
      <c r="A33" s="253" t="s">
        <v>0</v>
      </c>
      <c r="B33" s="254">
        <f>B25+1</f>
        <v>46110</v>
      </c>
      <c r="C33" s="259"/>
      <c r="D33" s="230" t="s">
        <v>1640</v>
      </c>
      <c r="E33" s="230" t="s">
        <v>1641</v>
      </c>
      <c r="F33" s="230" t="s">
        <v>222</v>
      </c>
      <c r="G33" s="231">
        <v>15</v>
      </c>
      <c r="H33" s="256"/>
    </row>
    <row r="34" spans="1:8" x14ac:dyDescent="0.2">
      <c r="A34" s="253" t="s">
        <v>1</v>
      </c>
      <c r="B34" s="254"/>
      <c r="C34" s="259"/>
      <c r="D34" s="230" t="s">
        <v>1640</v>
      </c>
      <c r="E34" s="230" t="s">
        <v>1641</v>
      </c>
      <c r="F34" s="230" t="s">
        <v>1642</v>
      </c>
      <c r="G34" s="231">
        <v>8</v>
      </c>
      <c r="H34" s="264"/>
    </row>
    <row r="35" spans="1:8" x14ac:dyDescent="0.2">
      <c r="A35" s="253" t="s">
        <v>2</v>
      </c>
      <c r="B35" s="254"/>
      <c r="C35" s="259"/>
      <c r="D35" s="230" t="s">
        <v>1646</v>
      </c>
      <c r="E35" s="230" t="s">
        <v>1647</v>
      </c>
      <c r="F35" s="230" t="s">
        <v>1642</v>
      </c>
      <c r="G35" s="231">
        <v>10</v>
      </c>
      <c r="H35" s="256"/>
    </row>
    <row r="36" spans="1:8" x14ac:dyDescent="0.2">
      <c r="A36" s="253" t="s">
        <v>3</v>
      </c>
      <c r="B36" s="254"/>
      <c r="C36" s="259"/>
      <c r="D36" s="230" t="s">
        <v>1662</v>
      </c>
      <c r="E36" s="230" t="s">
        <v>1663</v>
      </c>
      <c r="F36" s="230" t="s">
        <v>184</v>
      </c>
      <c r="G36" s="231">
        <v>1</v>
      </c>
      <c r="H36" s="256"/>
    </row>
    <row r="37" spans="1:8" x14ac:dyDescent="0.2">
      <c r="A37" s="253" t="s">
        <v>4</v>
      </c>
      <c r="B37" s="254"/>
      <c r="C37" s="259"/>
      <c r="D37" s="230" t="s">
        <v>1662</v>
      </c>
      <c r="E37" s="230" t="s">
        <v>1663</v>
      </c>
      <c r="F37" s="230" t="s">
        <v>1661</v>
      </c>
      <c r="G37" s="231">
        <v>174.5</v>
      </c>
      <c r="H37" s="258"/>
    </row>
    <row r="38" spans="1:8" x14ac:dyDescent="0.2">
      <c r="A38" s="253" t="s">
        <v>5</v>
      </c>
      <c r="B38" s="254"/>
      <c r="C38" s="259"/>
      <c r="D38" s="230" t="s">
        <v>1655</v>
      </c>
      <c r="E38" s="230" t="s">
        <v>1666</v>
      </c>
      <c r="F38" s="230" t="s">
        <v>1661</v>
      </c>
      <c r="G38" s="231">
        <v>18</v>
      </c>
      <c r="H38" s="258"/>
    </row>
    <row r="39" spans="1:8" hidden="1" x14ac:dyDescent="0.2">
      <c r="A39" s="253" t="s">
        <v>6</v>
      </c>
      <c r="B39" s="254"/>
      <c r="C39" s="259"/>
      <c r="D39" s="233"/>
      <c r="E39" s="230"/>
      <c r="F39" s="230"/>
      <c r="G39" s="231"/>
      <c r="H39" s="258"/>
    </row>
    <row r="40" spans="1:8" x14ac:dyDescent="0.2">
      <c r="A40" s="338" t="s">
        <v>10</v>
      </c>
      <c r="B40" s="339"/>
      <c r="C40" s="339"/>
      <c r="D40" s="339"/>
      <c r="E40" s="339"/>
      <c r="F40" s="352"/>
      <c r="G40" s="267">
        <f>SUM(G33:G39)</f>
        <v>226.5</v>
      </c>
      <c r="H40" s="261"/>
    </row>
    <row r="41" spans="1:8" s="270" customFormat="1" ht="18" x14ac:dyDescent="0.2">
      <c r="A41" s="349" t="s">
        <v>39</v>
      </c>
      <c r="B41" s="350"/>
      <c r="C41" s="350"/>
      <c r="D41" s="350"/>
      <c r="E41" s="350"/>
      <c r="F41" s="351"/>
      <c r="G41" s="268">
        <f>G14+G24+G32+G40</f>
        <v>569</v>
      </c>
      <c r="H41" s="269"/>
    </row>
    <row r="42" spans="1:8" s="270" customFormat="1" ht="18" x14ac:dyDescent="0.2">
      <c r="A42" s="271"/>
      <c r="B42" s="271"/>
      <c r="C42" s="271"/>
      <c r="D42" s="271"/>
      <c r="E42" s="271"/>
      <c r="F42" s="271"/>
      <c r="G42" s="272"/>
    </row>
    <row r="43" spans="1:8" s="270" customFormat="1" ht="18" x14ac:dyDescent="0.2">
      <c r="A43" s="271"/>
      <c r="B43" s="271"/>
      <c r="C43" s="271"/>
      <c r="D43" s="271"/>
      <c r="E43" s="271"/>
      <c r="F43" s="271"/>
      <c r="G43" s="272"/>
    </row>
    <row r="44" spans="1:8" ht="21.95" customHeight="1" x14ac:dyDescent="0.2">
      <c r="A44" s="343" t="s">
        <v>14</v>
      </c>
      <c r="B44" s="343"/>
      <c r="C44" s="343"/>
      <c r="D44" s="343"/>
      <c r="E44" s="343"/>
      <c r="F44" s="343"/>
      <c r="G44" s="343"/>
      <c r="H44" s="343"/>
    </row>
    <row r="45" spans="1:8" s="235" customFormat="1" ht="20.100000000000001" customHeight="1" x14ac:dyDescent="0.2">
      <c r="A45" s="344" t="str">
        <f>A2</f>
        <v>รายงานการสรุปยอดขายของพนักงานขายประจำเดือน เมษายน ปี 2569</v>
      </c>
      <c r="B45" s="344"/>
      <c r="C45" s="344"/>
      <c r="D45" s="344"/>
      <c r="E45" s="344"/>
      <c r="F45" s="344"/>
      <c r="G45" s="344"/>
      <c r="H45" s="344"/>
    </row>
    <row r="46" spans="1:8" s="237" customFormat="1" ht="20.100000000000001" customHeight="1" x14ac:dyDescent="0.35">
      <c r="A46" s="354" t="str">
        <f>$A$3</f>
        <v>พนักงานขาย นายอำนาจ ชัยประภา</v>
      </c>
      <c r="B46" s="354"/>
      <c r="C46" s="354"/>
      <c r="D46" s="354"/>
      <c r="E46" s="236"/>
      <c r="G46" s="238" t="s">
        <v>21</v>
      </c>
      <c r="H46" s="273">
        <f>H3+1</f>
        <v>2</v>
      </c>
    </row>
    <row r="47" spans="1:8" s="237" customFormat="1" ht="20.100000000000001" customHeight="1" x14ac:dyDescent="0.35">
      <c r="A47" s="342"/>
      <c r="B47" s="342"/>
      <c r="C47" s="342"/>
      <c r="D47" s="240"/>
      <c r="E47" s="236"/>
      <c r="F47" s="274">
        <f>$F$4</f>
        <v>46107</v>
      </c>
      <c r="G47" s="242" t="s">
        <v>82</v>
      </c>
      <c r="H47" s="274">
        <f>$H$4</f>
        <v>46136</v>
      </c>
    </row>
    <row r="48" spans="1:8" x14ac:dyDescent="0.2">
      <c r="A48" s="243" t="s">
        <v>23</v>
      </c>
      <c r="B48" s="244" t="s">
        <v>11</v>
      </c>
      <c r="C48" s="245" t="s">
        <v>26</v>
      </c>
      <c r="D48" s="245" t="s">
        <v>83</v>
      </c>
      <c r="E48" s="243" t="s">
        <v>16</v>
      </c>
      <c r="F48" s="243" t="s">
        <v>17</v>
      </c>
      <c r="G48" s="246" t="s">
        <v>18</v>
      </c>
      <c r="H48" s="243" t="s">
        <v>19</v>
      </c>
    </row>
    <row r="49" spans="1:8" x14ac:dyDescent="0.2">
      <c r="A49" s="247"/>
      <c r="B49" s="248"/>
      <c r="C49" s="249"/>
      <c r="D49" s="250"/>
      <c r="E49" s="251"/>
      <c r="F49" s="251"/>
      <c r="G49" s="252" t="s">
        <v>20</v>
      </c>
      <c r="H49" s="247"/>
    </row>
    <row r="50" spans="1:8" x14ac:dyDescent="0.2">
      <c r="A50" s="253" t="s">
        <v>0</v>
      </c>
      <c r="B50" s="275">
        <f>B33+1</f>
        <v>46111</v>
      </c>
      <c r="C50" s="276"/>
      <c r="D50" s="230" t="s">
        <v>1640</v>
      </c>
      <c r="E50" s="230" t="s">
        <v>1641</v>
      </c>
      <c r="F50" s="230" t="s">
        <v>222</v>
      </c>
      <c r="G50" s="231">
        <v>10</v>
      </c>
      <c r="H50" s="256"/>
    </row>
    <row r="51" spans="1:8" x14ac:dyDescent="0.2">
      <c r="A51" s="253" t="s">
        <v>1</v>
      </c>
      <c r="B51" s="275"/>
      <c r="C51" s="276"/>
      <c r="D51" s="230" t="s">
        <v>1646</v>
      </c>
      <c r="E51" s="230" t="s">
        <v>1647</v>
      </c>
      <c r="F51" s="230" t="s">
        <v>1642</v>
      </c>
      <c r="G51" s="231">
        <v>6</v>
      </c>
      <c r="H51" s="264"/>
    </row>
    <row r="52" spans="1:8" x14ac:dyDescent="0.2">
      <c r="A52" s="253" t="s">
        <v>2</v>
      </c>
      <c r="B52" s="275"/>
      <c r="C52" s="276"/>
      <c r="D52" s="230" t="s">
        <v>361</v>
      </c>
      <c r="E52" s="230" t="s">
        <v>1673</v>
      </c>
      <c r="F52" s="230" t="s">
        <v>1694</v>
      </c>
      <c r="G52" s="231">
        <v>18</v>
      </c>
      <c r="H52" s="256"/>
    </row>
    <row r="53" spans="1:8" x14ac:dyDescent="0.2">
      <c r="A53" s="253" t="s">
        <v>3</v>
      </c>
      <c r="B53" s="275"/>
      <c r="C53" s="276"/>
      <c r="D53" s="230" t="s">
        <v>1667</v>
      </c>
      <c r="E53" s="232" t="s">
        <v>1695</v>
      </c>
      <c r="F53" s="230" t="s">
        <v>1652</v>
      </c>
      <c r="G53" s="231">
        <v>3</v>
      </c>
      <c r="H53" s="256"/>
    </row>
    <row r="54" spans="1:8" x14ac:dyDescent="0.2">
      <c r="A54" s="253" t="s">
        <v>4</v>
      </c>
      <c r="B54" s="275"/>
      <c r="C54" s="276"/>
      <c r="D54" s="230" t="s">
        <v>1657</v>
      </c>
      <c r="E54" s="232" t="s">
        <v>1658</v>
      </c>
      <c r="F54" s="230" t="s">
        <v>222</v>
      </c>
      <c r="G54" s="231">
        <v>3.5</v>
      </c>
      <c r="H54" s="256"/>
    </row>
    <row r="55" spans="1:8" hidden="1" x14ac:dyDescent="0.2">
      <c r="A55" s="253" t="s">
        <v>5</v>
      </c>
      <c r="B55" s="275"/>
      <c r="C55" s="276"/>
      <c r="D55" s="230"/>
      <c r="E55" s="232"/>
      <c r="F55" s="230"/>
      <c r="G55" s="231"/>
      <c r="H55" s="256"/>
    </row>
    <row r="56" spans="1:8" hidden="1" x14ac:dyDescent="0.2">
      <c r="A56" s="253" t="s">
        <v>6</v>
      </c>
      <c r="B56" s="254"/>
      <c r="C56" s="259"/>
      <c r="D56" s="225"/>
      <c r="E56" s="225"/>
      <c r="F56" s="225"/>
      <c r="G56" s="226"/>
      <c r="H56" s="258"/>
    </row>
    <row r="57" spans="1:8" x14ac:dyDescent="0.2">
      <c r="A57" s="338" t="s">
        <v>10</v>
      </c>
      <c r="B57" s="339"/>
      <c r="C57" s="339"/>
      <c r="D57" s="340"/>
      <c r="E57" s="340"/>
      <c r="F57" s="341"/>
      <c r="G57" s="277">
        <f>SUM(G50:G56)</f>
        <v>40.5</v>
      </c>
      <c r="H57" s="278"/>
    </row>
    <row r="58" spans="1:8" x14ac:dyDescent="0.2">
      <c r="A58" s="253" t="s">
        <v>0</v>
      </c>
      <c r="B58" s="275">
        <f>B50+1</f>
        <v>46112</v>
      </c>
      <c r="C58" s="276"/>
      <c r="D58" s="230" t="s">
        <v>1640</v>
      </c>
      <c r="E58" s="230" t="s">
        <v>1698</v>
      </c>
      <c r="F58" s="230" t="s">
        <v>1642</v>
      </c>
      <c r="G58" s="231">
        <v>1.5</v>
      </c>
      <c r="H58" s="230"/>
    </row>
    <row r="59" spans="1:8" x14ac:dyDescent="0.2">
      <c r="A59" s="253" t="s">
        <v>1</v>
      </c>
      <c r="B59" s="275"/>
      <c r="C59" s="276"/>
      <c r="D59" s="230" t="s">
        <v>1655</v>
      </c>
      <c r="E59" s="230" t="s">
        <v>1699</v>
      </c>
      <c r="F59" s="230" t="s">
        <v>222</v>
      </c>
      <c r="G59" s="231">
        <v>5</v>
      </c>
      <c r="H59" s="279"/>
    </row>
    <row r="60" spans="1:8" x14ac:dyDescent="0.2">
      <c r="A60" s="253" t="s">
        <v>2</v>
      </c>
      <c r="B60" s="275"/>
      <c r="C60" s="276"/>
      <c r="D60" s="230" t="s">
        <v>1657</v>
      </c>
      <c r="E60" s="230" t="s">
        <v>1658</v>
      </c>
      <c r="F60" s="230" t="s">
        <v>1642</v>
      </c>
      <c r="G60" s="231">
        <v>38</v>
      </c>
      <c r="H60" s="230"/>
    </row>
    <row r="61" spans="1:8" hidden="1" x14ac:dyDescent="0.2">
      <c r="A61" s="253" t="s">
        <v>3</v>
      </c>
      <c r="B61" s="275"/>
      <c r="C61" s="276"/>
      <c r="D61" s="230"/>
      <c r="E61" s="230"/>
      <c r="F61" s="230"/>
      <c r="G61" s="231"/>
      <c r="H61" s="230"/>
    </row>
    <row r="62" spans="1:8" hidden="1" x14ac:dyDescent="0.2">
      <c r="A62" s="253">
        <v>5</v>
      </c>
      <c r="B62" s="275"/>
      <c r="C62" s="276"/>
      <c r="D62" s="225"/>
      <c r="E62" s="225"/>
      <c r="F62" s="225"/>
      <c r="G62" s="226"/>
      <c r="H62" s="256"/>
    </row>
    <row r="63" spans="1:8" hidden="1" x14ac:dyDescent="0.2">
      <c r="A63" s="253">
        <v>6</v>
      </c>
      <c r="B63" s="275"/>
      <c r="C63" s="276"/>
      <c r="D63" s="225"/>
      <c r="E63" s="225"/>
      <c r="F63" s="225"/>
      <c r="G63" s="226"/>
      <c r="H63" s="256"/>
    </row>
    <row r="64" spans="1:8" hidden="1" x14ac:dyDescent="0.2">
      <c r="A64" s="253">
        <v>7</v>
      </c>
      <c r="B64" s="254"/>
      <c r="C64" s="259"/>
      <c r="D64" s="225"/>
      <c r="E64" s="225"/>
      <c r="F64" s="225"/>
      <c r="G64" s="226"/>
      <c r="H64" s="258"/>
    </row>
    <row r="65" spans="1:8" hidden="1" x14ac:dyDescent="0.2">
      <c r="A65" s="253">
        <v>8</v>
      </c>
      <c r="B65" s="254"/>
      <c r="C65" s="259"/>
      <c r="D65" s="225"/>
      <c r="E65" s="225"/>
      <c r="F65" s="225"/>
      <c r="G65" s="226"/>
      <c r="H65" s="258"/>
    </row>
    <row r="66" spans="1:8" x14ac:dyDescent="0.2">
      <c r="A66" s="338" t="s">
        <v>10</v>
      </c>
      <c r="B66" s="339"/>
      <c r="C66" s="339"/>
      <c r="D66" s="340"/>
      <c r="E66" s="340"/>
      <c r="F66" s="341"/>
      <c r="G66" s="277">
        <f>SUM(G58:G65)</f>
        <v>44.5</v>
      </c>
      <c r="H66" s="261"/>
    </row>
    <row r="67" spans="1:8" x14ac:dyDescent="0.2">
      <c r="A67" s="253" t="s">
        <v>0</v>
      </c>
      <c r="B67" s="254">
        <f>B58+1</f>
        <v>46113</v>
      </c>
      <c r="C67" s="259"/>
      <c r="D67" s="230" t="s">
        <v>1646</v>
      </c>
      <c r="E67" s="230" t="s">
        <v>1647</v>
      </c>
      <c r="F67" s="230" t="s">
        <v>1642</v>
      </c>
      <c r="G67" s="231">
        <v>134</v>
      </c>
      <c r="H67" s="258"/>
    </row>
    <row r="68" spans="1:8" x14ac:dyDescent="0.2">
      <c r="A68" s="253" t="s">
        <v>1</v>
      </c>
      <c r="B68" s="254"/>
      <c r="C68" s="259"/>
      <c r="D68" s="230" t="s">
        <v>1655</v>
      </c>
      <c r="E68" s="230" t="s">
        <v>1666</v>
      </c>
      <c r="F68" s="230" t="s">
        <v>1661</v>
      </c>
      <c r="G68" s="231">
        <v>2</v>
      </c>
      <c r="H68" s="258"/>
    </row>
    <row r="69" spans="1:8" x14ac:dyDescent="0.2">
      <c r="A69" s="253" t="s">
        <v>2</v>
      </c>
      <c r="B69" s="254"/>
      <c r="C69" s="259"/>
      <c r="D69" s="230" t="s">
        <v>1657</v>
      </c>
      <c r="E69" s="230" t="s">
        <v>1658</v>
      </c>
      <c r="F69" s="230" t="s">
        <v>222</v>
      </c>
      <c r="G69" s="231">
        <v>4</v>
      </c>
      <c r="H69" s="258"/>
    </row>
    <row r="70" spans="1:8" x14ac:dyDescent="0.2">
      <c r="A70" s="253" t="s">
        <v>3</v>
      </c>
      <c r="B70" s="254"/>
      <c r="C70" s="259"/>
      <c r="D70" s="230" t="s">
        <v>1640</v>
      </c>
      <c r="E70" s="230" t="s">
        <v>1641</v>
      </c>
      <c r="F70" s="230" t="s">
        <v>1642</v>
      </c>
      <c r="G70" s="231">
        <v>6.5</v>
      </c>
      <c r="H70" s="258"/>
    </row>
    <row r="71" spans="1:8" x14ac:dyDescent="0.2">
      <c r="A71" s="253" t="s">
        <v>4</v>
      </c>
      <c r="B71" s="254"/>
      <c r="C71" s="259"/>
      <c r="D71" s="230" t="s">
        <v>1640</v>
      </c>
      <c r="E71" s="230" t="s">
        <v>1641</v>
      </c>
      <c r="F71" s="230" t="s">
        <v>1701</v>
      </c>
      <c r="G71" s="231">
        <v>12</v>
      </c>
      <c r="H71" s="258"/>
    </row>
    <row r="72" spans="1:8" hidden="1" x14ac:dyDescent="0.2">
      <c r="A72" s="253" t="s">
        <v>5</v>
      </c>
      <c r="B72" s="254"/>
      <c r="C72" s="259"/>
      <c r="D72" s="225"/>
      <c r="E72" s="225"/>
      <c r="F72" s="225"/>
      <c r="G72" s="226"/>
      <c r="H72" s="258"/>
    </row>
    <row r="73" spans="1:8" hidden="1" x14ac:dyDescent="0.2">
      <c r="A73" s="253" t="s">
        <v>6</v>
      </c>
      <c r="B73" s="254"/>
      <c r="C73" s="259"/>
      <c r="D73" s="225"/>
      <c r="E73" s="225"/>
      <c r="F73" s="225"/>
      <c r="G73" s="226"/>
      <c r="H73" s="258"/>
    </row>
    <row r="74" spans="1:8" hidden="1" x14ac:dyDescent="0.2">
      <c r="A74" s="253" t="s">
        <v>7</v>
      </c>
      <c r="B74" s="254"/>
      <c r="C74" s="259"/>
      <c r="D74" s="225"/>
      <c r="E74" s="225"/>
      <c r="F74" s="225"/>
      <c r="G74" s="226"/>
      <c r="H74" s="258"/>
    </row>
    <row r="75" spans="1:8" hidden="1" x14ac:dyDescent="0.2">
      <c r="A75" s="253" t="s">
        <v>8</v>
      </c>
      <c r="B75" s="254"/>
      <c r="C75" s="259"/>
      <c r="D75" s="225"/>
      <c r="E75" s="225"/>
      <c r="F75" s="225"/>
      <c r="G75" s="226"/>
      <c r="H75" s="258"/>
    </row>
    <row r="76" spans="1:8" x14ac:dyDescent="0.2">
      <c r="A76" s="338" t="s">
        <v>10</v>
      </c>
      <c r="B76" s="339"/>
      <c r="C76" s="339"/>
      <c r="D76" s="345"/>
      <c r="E76" s="345"/>
      <c r="F76" s="346"/>
      <c r="G76" s="260">
        <f>SUM(G67:G75)</f>
        <v>158.5</v>
      </c>
      <c r="H76" s="261"/>
    </row>
    <row r="77" spans="1:8" x14ac:dyDescent="0.2">
      <c r="A77" s="253" t="s">
        <v>0</v>
      </c>
      <c r="B77" s="254">
        <f>B67+1</f>
        <v>46114</v>
      </c>
      <c r="C77" s="259"/>
      <c r="D77" s="230" t="s">
        <v>1640</v>
      </c>
      <c r="E77" s="230" t="s">
        <v>1641</v>
      </c>
      <c r="F77" s="230" t="s">
        <v>222</v>
      </c>
      <c r="G77" s="231">
        <v>10</v>
      </c>
      <c r="H77" s="258"/>
    </row>
    <row r="78" spans="1:8" x14ac:dyDescent="0.2">
      <c r="A78" s="253" t="s">
        <v>1</v>
      </c>
      <c r="B78" s="254"/>
      <c r="C78" s="259"/>
      <c r="D78" s="230" t="s">
        <v>1646</v>
      </c>
      <c r="E78" s="230" t="s">
        <v>1647</v>
      </c>
      <c r="F78" s="230" t="s">
        <v>1642</v>
      </c>
      <c r="G78" s="231">
        <v>26</v>
      </c>
      <c r="H78" s="257"/>
    </row>
    <row r="79" spans="1:8" x14ac:dyDescent="0.2">
      <c r="A79" s="253" t="s">
        <v>2</v>
      </c>
      <c r="B79" s="254"/>
      <c r="C79" s="259"/>
      <c r="D79" s="230" t="s">
        <v>361</v>
      </c>
      <c r="E79" s="230" t="s">
        <v>1673</v>
      </c>
      <c r="F79" s="230" t="s">
        <v>1652</v>
      </c>
      <c r="G79" s="231">
        <v>3</v>
      </c>
      <c r="H79" s="258"/>
    </row>
    <row r="80" spans="1:8" x14ac:dyDescent="0.2">
      <c r="A80" s="253">
        <v>4</v>
      </c>
      <c r="B80" s="254"/>
      <c r="C80" s="259"/>
      <c r="D80" s="230" t="s">
        <v>1655</v>
      </c>
      <c r="E80" s="230" t="s">
        <v>1656</v>
      </c>
      <c r="F80" s="230" t="s">
        <v>1642</v>
      </c>
      <c r="G80" s="231">
        <v>2</v>
      </c>
      <c r="H80" s="258"/>
    </row>
    <row r="81" spans="1:8" hidden="1" x14ac:dyDescent="0.2">
      <c r="A81" s="253">
        <v>5</v>
      </c>
      <c r="B81" s="254"/>
      <c r="C81" s="259"/>
      <c r="D81" s="225"/>
      <c r="E81" s="225"/>
      <c r="F81" s="225"/>
      <c r="G81" s="226"/>
      <c r="H81" s="258"/>
    </row>
    <row r="82" spans="1:8" hidden="1" x14ac:dyDescent="0.2">
      <c r="A82" s="253">
        <v>6</v>
      </c>
      <c r="B82" s="254"/>
      <c r="C82" s="259"/>
      <c r="D82" s="225"/>
      <c r="E82" s="225"/>
      <c r="F82" s="225"/>
      <c r="G82" s="226"/>
      <c r="H82" s="258"/>
    </row>
    <row r="83" spans="1:8" hidden="1" x14ac:dyDescent="0.2">
      <c r="A83" s="253">
        <v>7</v>
      </c>
      <c r="B83" s="254"/>
      <c r="C83" s="259"/>
      <c r="D83" s="225"/>
      <c r="E83" s="263"/>
      <c r="F83" s="225"/>
      <c r="G83" s="226"/>
      <c r="H83" s="258"/>
    </row>
    <row r="84" spans="1:8" hidden="1" x14ac:dyDescent="0.2">
      <c r="A84" s="253">
        <v>8</v>
      </c>
      <c r="B84" s="254"/>
      <c r="C84" s="259"/>
      <c r="D84" s="225"/>
      <c r="E84" s="225"/>
      <c r="F84" s="225"/>
      <c r="G84" s="226"/>
      <c r="H84" s="258"/>
    </row>
    <row r="85" spans="1:8" x14ac:dyDescent="0.2">
      <c r="A85" s="338" t="s">
        <v>10</v>
      </c>
      <c r="B85" s="339"/>
      <c r="C85" s="339"/>
      <c r="D85" s="339"/>
      <c r="E85" s="339"/>
      <c r="F85" s="352"/>
      <c r="G85" s="267">
        <f>SUM(G77:G84)</f>
        <v>41</v>
      </c>
      <c r="H85" s="261"/>
    </row>
    <row r="86" spans="1:8" s="270" customFormat="1" ht="18" x14ac:dyDescent="0.2">
      <c r="A86" s="349" t="s">
        <v>39</v>
      </c>
      <c r="B86" s="350"/>
      <c r="C86" s="350"/>
      <c r="D86" s="350"/>
      <c r="E86" s="350"/>
      <c r="F86" s="351"/>
      <c r="G86" s="268">
        <f>G57+G66+G76+G85</f>
        <v>284.5</v>
      </c>
      <c r="H86" s="269"/>
    </row>
    <row r="87" spans="1:8" s="270" customFormat="1" ht="18" x14ac:dyDescent="0.2">
      <c r="A87" s="271"/>
      <c r="B87" s="271"/>
      <c r="C87" s="271"/>
      <c r="D87" s="271"/>
      <c r="E87" s="271"/>
      <c r="F87" s="271"/>
      <c r="G87" s="272"/>
    </row>
    <row r="88" spans="1:8" s="270" customFormat="1" ht="18" x14ac:dyDescent="0.2">
      <c r="A88" s="271"/>
      <c r="B88" s="271"/>
      <c r="C88" s="271"/>
      <c r="D88" s="271"/>
      <c r="E88" s="271"/>
      <c r="F88" s="271"/>
      <c r="G88" s="272"/>
    </row>
    <row r="89" spans="1:8" ht="21.95" customHeight="1" x14ac:dyDescent="0.2">
      <c r="A89" s="343" t="s">
        <v>14</v>
      </c>
      <c r="B89" s="343"/>
      <c r="C89" s="343"/>
      <c r="D89" s="343"/>
      <c r="E89" s="343"/>
      <c r="F89" s="343"/>
      <c r="G89" s="343"/>
      <c r="H89" s="343"/>
    </row>
    <row r="90" spans="1:8" s="235" customFormat="1" ht="20.100000000000001" customHeight="1" x14ac:dyDescent="0.2">
      <c r="A90" s="344" t="str">
        <f>A45</f>
        <v>รายงานการสรุปยอดขายของพนักงานขายประจำเดือน เมษายน ปี 2569</v>
      </c>
      <c r="B90" s="344"/>
      <c r="C90" s="344"/>
      <c r="D90" s="344"/>
      <c r="E90" s="344"/>
      <c r="F90" s="344"/>
      <c r="G90" s="344"/>
      <c r="H90" s="344"/>
    </row>
    <row r="91" spans="1:8" s="237" customFormat="1" ht="20.100000000000001" customHeight="1" x14ac:dyDescent="0.35">
      <c r="A91" s="354" t="str">
        <f>$A$3</f>
        <v>พนักงานขาย นายอำนาจ ชัยประภา</v>
      </c>
      <c r="B91" s="354"/>
      <c r="C91" s="354"/>
      <c r="D91" s="354"/>
      <c r="E91" s="236"/>
      <c r="G91" s="238" t="s">
        <v>21</v>
      </c>
      <c r="H91" s="273">
        <f>H46+1</f>
        <v>3</v>
      </c>
    </row>
    <row r="92" spans="1:8" s="237" customFormat="1" ht="20.100000000000001" customHeight="1" x14ac:dyDescent="0.35">
      <c r="A92" s="342"/>
      <c r="B92" s="342"/>
      <c r="C92" s="342"/>
      <c r="D92" s="240"/>
      <c r="E92" s="236"/>
      <c r="F92" s="274">
        <f>$F$4</f>
        <v>46107</v>
      </c>
      <c r="G92" s="242" t="s">
        <v>82</v>
      </c>
      <c r="H92" s="274">
        <f>$H$4</f>
        <v>46136</v>
      </c>
    </row>
    <row r="93" spans="1:8" x14ac:dyDescent="0.2">
      <c r="A93" s="243" t="s">
        <v>23</v>
      </c>
      <c r="B93" s="244" t="s">
        <v>11</v>
      </c>
      <c r="C93" s="245" t="s">
        <v>26</v>
      </c>
      <c r="D93" s="245" t="s">
        <v>83</v>
      </c>
      <c r="E93" s="243" t="s">
        <v>16</v>
      </c>
      <c r="F93" s="243" t="s">
        <v>17</v>
      </c>
      <c r="G93" s="246" t="s">
        <v>18</v>
      </c>
      <c r="H93" s="243" t="s">
        <v>19</v>
      </c>
    </row>
    <row r="94" spans="1:8" x14ac:dyDescent="0.2">
      <c r="A94" s="247"/>
      <c r="B94" s="248"/>
      <c r="C94" s="249"/>
      <c r="D94" s="250"/>
      <c r="E94" s="251"/>
      <c r="F94" s="251"/>
      <c r="G94" s="252" t="s">
        <v>20</v>
      </c>
      <c r="H94" s="251"/>
    </row>
    <row r="95" spans="1:8" x14ac:dyDescent="0.2">
      <c r="A95" s="253" t="s">
        <v>0</v>
      </c>
      <c r="B95" s="254">
        <f>B77+1</f>
        <v>46115</v>
      </c>
      <c r="C95" s="259"/>
      <c r="D95" s="230" t="s">
        <v>361</v>
      </c>
      <c r="E95" s="230" t="s">
        <v>1673</v>
      </c>
      <c r="F95" s="230" t="s">
        <v>1652</v>
      </c>
      <c r="G95" s="231">
        <v>3</v>
      </c>
      <c r="H95" s="256"/>
    </row>
    <row r="96" spans="1:8" x14ac:dyDescent="0.2">
      <c r="A96" s="253" t="s">
        <v>1</v>
      </c>
      <c r="B96" s="254"/>
      <c r="C96" s="259"/>
      <c r="D96" s="230" t="s">
        <v>1655</v>
      </c>
      <c r="E96" s="230" t="s">
        <v>1656</v>
      </c>
      <c r="F96" s="230" t="s">
        <v>1642</v>
      </c>
      <c r="G96" s="231">
        <v>2</v>
      </c>
      <c r="H96" s="264"/>
    </row>
    <row r="97" spans="1:8" x14ac:dyDescent="0.2">
      <c r="A97" s="253" t="s">
        <v>2</v>
      </c>
      <c r="B97" s="254"/>
      <c r="C97" s="259"/>
      <c r="D97" s="230" t="s">
        <v>1657</v>
      </c>
      <c r="E97" s="230" t="s">
        <v>1658</v>
      </c>
      <c r="F97" s="230" t="s">
        <v>1642</v>
      </c>
      <c r="G97" s="231">
        <v>19</v>
      </c>
      <c r="H97" s="256"/>
    </row>
    <row r="98" spans="1:8" hidden="1" x14ac:dyDescent="0.2">
      <c r="A98" s="253" t="s">
        <v>3</v>
      </c>
      <c r="B98" s="254"/>
      <c r="C98" s="259"/>
      <c r="D98" s="225"/>
      <c r="E98" s="225"/>
      <c r="F98" s="225"/>
      <c r="G98" s="226"/>
      <c r="H98" s="225"/>
    </row>
    <row r="99" spans="1:8" hidden="1" x14ac:dyDescent="0.2">
      <c r="A99" s="253" t="s">
        <v>4</v>
      </c>
      <c r="B99" s="254"/>
      <c r="C99" s="259"/>
      <c r="D99" s="225"/>
      <c r="E99" s="225"/>
      <c r="F99" s="225"/>
      <c r="G99" s="226"/>
      <c r="H99" s="258"/>
    </row>
    <row r="100" spans="1:8" hidden="1" x14ac:dyDescent="0.2">
      <c r="A100" s="253" t="s">
        <v>5</v>
      </c>
      <c r="B100" s="254"/>
      <c r="C100" s="259"/>
      <c r="D100" s="225"/>
      <c r="E100" s="225"/>
      <c r="F100" s="225"/>
      <c r="G100" s="226"/>
      <c r="H100" s="258"/>
    </row>
    <row r="101" spans="1:8" hidden="1" x14ac:dyDescent="0.2">
      <c r="A101" s="253" t="s">
        <v>6</v>
      </c>
      <c r="B101" s="254"/>
      <c r="C101" s="259"/>
      <c r="D101" s="225"/>
      <c r="E101" s="225"/>
      <c r="F101" s="225"/>
      <c r="G101" s="226"/>
      <c r="H101" s="258"/>
    </row>
    <row r="102" spans="1:8" x14ac:dyDescent="0.2">
      <c r="A102" s="338" t="s">
        <v>10</v>
      </c>
      <c r="B102" s="339"/>
      <c r="C102" s="339"/>
      <c r="D102" s="360"/>
      <c r="E102" s="360"/>
      <c r="F102" s="341"/>
      <c r="G102" s="277">
        <f>SUM(G95:G101)</f>
        <v>24</v>
      </c>
      <c r="H102" s="278"/>
    </row>
    <row r="103" spans="1:8" x14ac:dyDescent="0.2">
      <c r="A103" s="253" t="s">
        <v>0</v>
      </c>
      <c r="B103" s="254">
        <f>B95+1</f>
        <v>46116</v>
      </c>
      <c r="C103" s="259"/>
      <c r="D103" s="230" t="s">
        <v>1640</v>
      </c>
      <c r="E103" s="230" t="s">
        <v>1641</v>
      </c>
      <c r="F103" s="230" t="s">
        <v>222</v>
      </c>
      <c r="G103" s="231">
        <v>10</v>
      </c>
      <c r="H103" s="230"/>
    </row>
    <row r="104" spans="1:8" x14ac:dyDescent="0.2">
      <c r="A104" s="253" t="s">
        <v>1</v>
      </c>
      <c r="B104" s="254"/>
      <c r="C104" s="259"/>
      <c r="D104" s="230" t="s">
        <v>1646</v>
      </c>
      <c r="E104" s="230" t="s">
        <v>1647</v>
      </c>
      <c r="F104" s="230" t="s">
        <v>1649</v>
      </c>
      <c r="G104" s="231">
        <v>6</v>
      </c>
      <c r="H104" s="279"/>
    </row>
    <row r="105" spans="1:8" x14ac:dyDescent="0.2">
      <c r="A105" s="253" t="s">
        <v>2</v>
      </c>
      <c r="B105" s="254"/>
      <c r="C105" s="259"/>
      <c r="D105" s="230" t="s">
        <v>1646</v>
      </c>
      <c r="E105" s="230" t="s">
        <v>1647</v>
      </c>
      <c r="F105" s="230" t="s">
        <v>1642</v>
      </c>
      <c r="G105" s="231">
        <v>32</v>
      </c>
      <c r="H105" s="230"/>
    </row>
    <row r="106" spans="1:8" x14ac:dyDescent="0.2">
      <c r="A106" s="253" t="s">
        <v>3</v>
      </c>
      <c r="B106" s="254"/>
      <c r="C106" s="259"/>
      <c r="D106" s="230" t="s">
        <v>1655</v>
      </c>
      <c r="E106" s="230" t="s">
        <v>1704</v>
      </c>
      <c r="F106" s="230" t="s">
        <v>184</v>
      </c>
      <c r="G106" s="231">
        <v>22.5</v>
      </c>
      <c r="H106" s="230"/>
    </row>
    <row r="107" spans="1:8" x14ac:dyDescent="0.2">
      <c r="A107" s="253" t="s">
        <v>4</v>
      </c>
      <c r="B107" s="254"/>
      <c r="C107" s="259"/>
      <c r="D107" s="230" t="s">
        <v>1640</v>
      </c>
      <c r="E107" s="230" t="s">
        <v>1705</v>
      </c>
      <c r="F107" s="230" t="s">
        <v>1642</v>
      </c>
      <c r="G107" s="231">
        <v>4</v>
      </c>
      <c r="H107" s="230"/>
    </row>
    <row r="108" spans="1:8" hidden="1" x14ac:dyDescent="0.2">
      <c r="A108" s="253" t="s">
        <v>5</v>
      </c>
      <c r="B108" s="254"/>
      <c r="C108" s="259"/>
      <c r="D108" s="230"/>
      <c r="E108" s="230"/>
      <c r="F108" s="230"/>
      <c r="G108" s="231"/>
      <c r="H108" s="230"/>
    </row>
    <row r="109" spans="1:8" hidden="1" x14ac:dyDescent="0.2">
      <c r="A109" s="253" t="s">
        <v>6</v>
      </c>
      <c r="B109" s="254"/>
      <c r="C109" s="280"/>
      <c r="D109" s="280"/>
      <c r="E109" s="224"/>
      <c r="F109" s="224"/>
      <c r="G109" s="281"/>
      <c r="H109" s="224"/>
    </row>
    <row r="110" spans="1:8" x14ac:dyDescent="0.2">
      <c r="A110" s="338" t="s">
        <v>10</v>
      </c>
      <c r="B110" s="339"/>
      <c r="C110" s="339"/>
      <c r="D110" s="339"/>
      <c r="E110" s="339"/>
      <c r="F110" s="352"/>
      <c r="G110" s="267">
        <f>SUM(G103:G109)</f>
        <v>74.5</v>
      </c>
      <c r="H110" s="261"/>
    </row>
    <row r="111" spans="1:8" x14ac:dyDescent="0.2">
      <c r="A111" s="253" t="s">
        <v>0</v>
      </c>
      <c r="B111" s="254">
        <f>B103+1</f>
        <v>46117</v>
      </c>
      <c r="C111" s="259"/>
      <c r="D111" s="230" t="s">
        <v>1646</v>
      </c>
      <c r="E111" s="230" t="s">
        <v>1647</v>
      </c>
      <c r="F111" s="230" t="s">
        <v>1649</v>
      </c>
      <c r="G111" s="231">
        <v>12</v>
      </c>
      <c r="H111" s="258"/>
    </row>
    <row r="112" spans="1:8" x14ac:dyDescent="0.2">
      <c r="A112" s="253" t="s">
        <v>1</v>
      </c>
      <c r="B112" s="254"/>
      <c r="C112" s="259"/>
      <c r="D112" s="230" t="s">
        <v>1646</v>
      </c>
      <c r="E112" s="230" t="s">
        <v>1647</v>
      </c>
      <c r="F112" s="230" t="s">
        <v>1642</v>
      </c>
      <c r="G112" s="231">
        <v>17</v>
      </c>
      <c r="H112" s="258"/>
    </row>
    <row r="113" spans="1:8" x14ac:dyDescent="0.2">
      <c r="A113" s="253" t="s">
        <v>2</v>
      </c>
      <c r="B113" s="254"/>
      <c r="C113" s="259"/>
      <c r="D113" s="230" t="s">
        <v>1714</v>
      </c>
      <c r="E113" s="230" t="s">
        <v>1715</v>
      </c>
      <c r="F113" s="230" t="s">
        <v>1642</v>
      </c>
      <c r="G113" s="231">
        <v>10</v>
      </c>
      <c r="H113" s="258"/>
    </row>
    <row r="114" spans="1:8" x14ac:dyDescent="0.2">
      <c r="A114" s="253" t="s">
        <v>3</v>
      </c>
      <c r="B114" s="254"/>
      <c r="C114" s="259"/>
      <c r="D114" s="230" t="s">
        <v>1655</v>
      </c>
      <c r="E114" s="230" t="s">
        <v>1704</v>
      </c>
      <c r="F114" s="230" t="s">
        <v>222</v>
      </c>
      <c r="G114" s="231">
        <v>5</v>
      </c>
      <c r="H114" s="258"/>
    </row>
    <row r="115" spans="1:8" x14ac:dyDescent="0.2">
      <c r="A115" s="253" t="s">
        <v>4</v>
      </c>
      <c r="B115" s="254"/>
      <c r="C115" s="259"/>
      <c r="D115" s="230" t="s">
        <v>1655</v>
      </c>
      <c r="E115" s="230" t="s">
        <v>1704</v>
      </c>
      <c r="F115" s="230" t="s">
        <v>1642</v>
      </c>
      <c r="G115" s="231">
        <v>7</v>
      </c>
      <c r="H115" s="258"/>
    </row>
    <row r="116" spans="1:8" x14ac:dyDescent="0.2">
      <c r="A116" s="253" t="s">
        <v>5</v>
      </c>
      <c r="B116" s="254"/>
      <c r="C116" s="259"/>
      <c r="D116" s="230" t="s">
        <v>1662</v>
      </c>
      <c r="E116" s="230" t="s">
        <v>1663</v>
      </c>
      <c r="F116" s="230" t="s">
        <v>1642</v>
      </c>
      <c r="G116" s="231">
        <v>3</v>
      </c>
      <c r="H116" s="258"/>
    </row>
    <row r="117" spans="1:8" hidden="1" x14ac:dyDescent="0.2">
      <c r="A117" s="253" t="s">
        <v>6</v>
      </c>
      <c r="B117" s="254"/>
      <c r="C117" s="280"/>
      <c r="D117" s="282"/>
      <c r="E117" s="283"/>
      <c r="F117" s="283"/>
      <c r="G117" s="284"/>
      <c r="H117" s="224"/>
    </row>
    <row r="118" spans="1:8" x14ac:dyDescent="0.2">
      <c r="A118" s="338" t="s">
        <v>10</v>
      </c>
      <c r="B118" s="339"/>
      <c r="C118" s="339"/>
      <c r="D118" s="345"/>
      <c r="E118" s="345"/>
      <c r="F118" s="346"/>
      <c r="G118" s="260">
        <f>SUM(G111:G117)</f>
        <v>54</v>
      </c>
      <c r="H118" s="261"/>
    </row>
    <row r="119" spans="1:8" x14ac:dyDescent="0.2">
      <c r="A119" s="253" t="s">
        <v>0</v>
      </c>
      <c r="B119" s="254">
        <f>B111+1</f>
        <v>46118</v>
      </c>
      <c r="C119" s="259"/>
      <c r="D119" s="230" t="s">
        <v>1655</v>
      </c>
      <c r="E119" s="230" t="s">
        <v>1704</v>
      </c>
      <c r="F119" s="230" t="s">
        <v>1642</v>
      </c>
      <c r="G119" s="231">
        <v>36</v>
      </c>
      <c r="H119" s="258"/>
    </row>
    <row r="120" spans="1:8" x14ac:dyDescent="0.2">
      <c r="A120" s="253" t="s">
        <v>1</v>
      </c>
      <c r="B120" s="254"/>
      <c r="C120" s="259"/>
      <c r="D120" s="230" t="s">
        <v>1662</v>
      </c>
      <c r="E120" s="230" t="s">
        <v>1663</v>
      </c>
      <c r="F120" s="230" t="s">
        <v>184</v>
      </c>
      <c r="G120" s="231">
        <v>1</v>
      </c>
      <c r="H120" s="257"/>
    </row>
    <row r="121" spans="1:8" x14ac:dyDescent="0.2">
      <c r="A121" s="253" t="s">
        <v>2</v>
      </c>
      <c r="B121" s="254"/>
      <c r="C121" s="259"/>
      <c r="D121" s="230" t="s">
        <v>1662</v>
      </c>
      <c r="E121" s="232" t="s">
        <v>1663</v>
      </c>
      <c r="F121" s="230" t="s">
        <v>1661</v>
      </c>
      <c r="G121" s="231">
        <v>215</v>
      </c>
      <c r="H121" s="258"/>
    </row>
    <row r="122" spans="1:8" hidden="1" x14ac:dyDescent="0.2">
      <c r="A122" s="253" t="s">
        <v>3</v>
      </c>
      <c r="B122" s="254"/>
      <c r="C122" s="259"/>
      <c r="D122" s="225"/>
      <c r="E122" s="225"/>
      <c r="F122" s="225"/>
      <c r="G122" s="226"/>
      <c r="H122" s="258"/>
    </row>
    <row r="123" spans="1:8" hidden="1" x14ac:dyDescent="0.2">
      <c r="A123" s="253" t="s">
        <v>4</v>
      </c>
      <c r="B123" s="254"/>
      <c r="C123" s="259"/>
      <c r="D123" s="225"/>
      <c r="E123" s="225"/>
      <c r="F123" s="225"/>
      <c r="G123" s="226"/>
      <c r="H123" s="258"/>
    </row>
    <row r="124" spans="1:8" hidden="1" x14ac:dyDescent="0.2">
      <c r="A124" s="253" t="s">
        <v>5</v>
      </c>
      <c r="B124" s="254"/>
      <c r="C124" s="259"/>
      <c r="D124" s="285"/>
      <c r="E124" s="225"/>
      <c r="F124" s="225"/>
      <c r="G124" s="226"/>
      <c r="H124" s="258"/>
    </row>
    <row r="125" spans="1:8" hidden="1" x14ac:dyDescent="0.2">
      <c r="A125" s="253" t="s">
        <v>6</v>
      </c>
      <c r="B125" s="254"/>
      <c r="C125" s="280"/>
      <c r="D125" s="280"/>
      <c r="E125" s="224"/>
      <c r="F125" s="224"/>
      <c r="G125" s="281"/>
      <c r="H125" s="224"/>
    </row>
    <row r="126" spans="1:8" x14ac:dyDescent="0.2">
      <c r="A126" s="338" t="s">
        <v>10</v>
      </c>
      <c r="B126" s="339"/>
      <c r="C126" s="339"/>
      <c r="D126" s="339"/>
      <c r="E126" s="339"/>
      <c r="F126" s="352"/>
      <c r="G126" s="267">
        <f>SUM(G119:G125)</f>
        <v>252</v>
      </c>
      <c r="H126" s="261"/>
    </row>
    <row r="127" spans="1:8" s="270" customFormat="1" ht="18" x14ac:dyDescent="0.2">
      <c r="A127" s="349" t="s">
        <v>39</v>
      </c>
      <c r="B127" s="350"/>
      <c r="C127" s="350"/>
      <c r="D127" s="350"/>
      <c r="E127" s="350"/>
      <c r="F127" s="351"/>
      <c r="G127" s="268">
        <f>G102+G110+G118+G126</f>
        <v>404.5</v>
      </c>
      <c r="H127" s="269"/>
    </row>
    <row r="128" spans="1:8" s="270" customFormat="1" ht="18" x14ac:dyDescent="0.2">
      <c r="A128" s="271"/>
      <c r="B128" s="271"/>
      <c r="C128" s="271"/>
      <c r="D128" s="271"/>
      <c r="E128" s="271"/>
      <c r="F128" s="271"/>
      <c r="G128" s="272"/>
    </row>
    <row r="129" spans="1:8" s="270" customFormat="1" ht="18" x14ac:dyDescent="0.2">
      <c r="A129" s="271"/>
      <c r="B129" s="271"/>
      <c r="C129" s="271"/>
      <c r="D129" s="271"/>
      <c r="E129" s="271"/>
      <c r="F129" s="271"/>
      <c r="G129" s="272"/>
    </row>
    <row r="130" spans="1:8" ht="21.95" customHeight="1" x14ac:dyDescent="0.2">
      <c r="A130" s="343" t="s">
        <v>14</v>
      </c>
      <c r="B130" s="343"/>
      <c r="C130" s="343"/>
      <c r="D130" s="343"/>
      <c r="E130" s="343"/>
      <c r="F130" s="343"/>
      <c r="G130" s="343"/>
      <c r="H130" s="343"/>
    </row>
    <row r="131" spans="1:8" s="235" customFormat="1" ht="20.100000000000001" customHeight="1" x14ac:dyDescent="0.2">
      <c r="A131" s="344" t="str">
        <f>A90</f>
        <v>รายงานการสรุปยอดขายของพนักงานขายประจำเดือน เมษายน ปี 2569</v>
      </c>
      <c r="B131" s="344"/>
      <c r="C131" s="344"/>
      <c r="D131" s="344"/>
      <c r="E131" s="344"/>
      <c r="F131" s="344"/>
      <c r="G131" s="344"/>
      <c r="H131" s="344"/>
    </row>
    <row r="132" spans="1:8" s="237" customFormat="1" ht="20.100000000000001" customHeight="1" x14ac:dyDescent="0.35">
      <c r="A132" s="354" t="str">
        <f>$A$3</f>
        <v>พนักงานขาย นายอำนาจ ชัยประภา</v>
      </c>
      <c r="B132" s="354"/>
      <c r="C132" s="354"/>
      <c r="D132" s="354"/>
      <c r="E132" s="236"/>
      <c r="G132" s="238" t="s">
        <v>21</v>
      </c>
      <c r="H132" s="273">
        <f>H91+1</f>
        <v>4</v>
      </c>
    </row>
    <row r="133" spans="1:8" s="237" customFormat="1" ht="20.100000000000001" customHeight="1" x14ac:dyDescent="0.35">
      <c r="A133" s="342"/>
      <c r="B133" s="342"/>
      <c r="C133" s="342"/>
      <c r="D133" s="240"/>
      <c r="E133" s="236"/>
      <c r="F133" s="274">
        <f>$F$4</f>
        <v>46107</v>
      </c>
      <c r="G133" s="242" t="s">
        <v>82</v>
      </c>
      <c r="H133" s="274">
        <f>$H$4</f>
        <v>46136</v>
      </c>
    </row>
    <row r="134" spans="1:8" x14ac:dyDescent="0.2">
      <c r="A134" s="243" t="s">
        <v>23</v>
      </c>
      <c r="B134" s="244" t="s">
        <v>11</v>
      </c>
      <c r="C134" s="245" t="s">
        <v>26</v>
      </c>
      <c r="D134" s="245" t="s">
        <v>83</v>
      </c>
      <c r="E134" s="243" t="s">
        <v>16</v>
      </c>
      <c r="F134" s="243" t="s">
        <v>17</v>
      </c>
      <c r="G134" s="246" t="s">
        <v>18</v>
      </c>
      <c r="H134" s="243" t="s">
        <v>19</v>
      </c>
    </row>
    <row r="135" spans="1:8" x14ac:dyDescent="0.2">
      <c r="A135" s="247"/>
      <c r="B135" s="248"/>
      <c r="C135" s="249"/>
      <c r="D135" s="250"/>
      <c r="E135" s="251"/>
      <c r="F135" s="251"/>
      <c r="G135" s="252" t="s">
        <v>20</v>
      </c>
      <c r="H135" s="251"/>
    </row>
    <row r="136" spans="1:8" x14ac:dyDescent="0.2">
      <c r="A136" s="253" t="s">
        <v>0</v>
      </c>
      <c r="B136" s="254">
        <f>B119+1</f>
        <v>46119</v>
      </c>
      <c r="C136" s="259"/>
      <c r="D136" s="230" t="s">
        <v>1655</v>
      </c>
      <c r="E136" s="230" t="s">
        <v>1718</v>
      </c>
      <c r="F136" s="230" t="s">
        <v>1661</v>
      </c>
      <c r="G136" s="231">
        <v>126</v>
      </c>
      <c r="H136" s="230"/>
    </row>
    <row r="137" spans="1:8" x14ac:dyDescent="0.2">
      <c r="A137" s="253" t="s">
        <v>1</v>
      </c>
      <c r="B137" s="254"/>
      <c r="C137" s="259"/>
      <c r="D137" s="230" t="s">
        <v>1646</v>
      </c>
      <c r="E137" s="230" t="s">
        <v>1647</v>
      </c>
      <c r="F137" s="230" t="s">
        <v>1649</v>
      </c>
      <c r="G137" s="231">
        <v>6</v>
      </c>
      <c r="H137" s="279"/>
    </row>
    <row r="138" spans="1:8" x14ac:dyDescent="0.2">
      <c r="A138" s="253" t="s">
        <v>2</v>
      </c>
      <c r="B138" s="254"/>
      <c r="C138" s="259"/>
      <c r="D138" s="230" t="s">
        <v>1646</v>
      </c>
      <c r="E138" s="230" t="s">
        <v>1647</v>
      </c>
      <c r="F138" s="230" t="s">
        <v>1642</v>
      </c>
      <c r="G138" s="231">
        <v>6</v>
      </c>
      <c r="H138" s="230"/>
    </row>
    <row r="139" spans="1:8" x14ac:dyDescent="0.2">
      <c r="A139" s="253" t="s">
        <v>3</v>
      </c>
      <c r="B139" s="254"/>
      <c r="C139" s="259"/>
      <c r="D139" s="230" t="s">
        <v>1655</v>
      </c>
      <c r="E139" s="230" t="s">
        <v>1704</v>
      </c>
      <c r="F139" s="230" t="s">
        <v>222</v>
      </c>
      <c r="G139" s="231">
        <v>5</v>
      </c>
      <c r="H139" s="230"/>
    </row>
    <row r="140" spans="1:8" x14ac:dyDescent="0.2">
      <c r="A140" s="253" t="s">
        <v>4</v>
      </c>
      <c r="B140" s="254"/>
      <c r="C140" s="259"/>
      <c r="D140" s="230" t="s">
        <v>1655</v>
      </c>
      <c r="E140" s="230" t="s">
        <v>1704</v>
      </c>
      <c r="F140" s="230" t="s">
        <v>1642</v>
      </c>
      <c r="G140" s="231">
        <v>18</v>
      </c>
      <c r="H140" s="230"/>
    </row>
    <row r="141" spans="1:8" hidden="1" x14ac:dyDescent="0.2">
      <c r="A141" s="253" t="s">
        <v>5</v>
      </c>
      <c r="B141" s="254"/>
      <c r="C141" s="259"/>
      <c r="D141" s="265"/>
      <c r="E141" s="265"/>
      <c r="F141" s="265"/>
      <c r="G141" s="266"/>
      <c r="H141" s="300"/>
    </row>
    <row r="142" spans="1:8" hidden="1" x14ac:dyDescent="0.2">
      <c r="A142" s="253" t="s">
        <v>6</v>
      </c>
      <c r="B142" s="254"/>
      <c r="C142" s="259"/>
      <c r="D142" s="225"/>
      <c r="E142" s="225"/>
      <c r="F142" s="225"/>
      <c r="G142" s="226"/>
      <c r="H142" s="258"/>
    </row>
    <row r="143" spans="1:8" hidden="1" x14ac:dyDescent="0.2">
      <c r="A143" s="253" t="s">
        <v>7</v>
      </c>
      <c r="B143" s="254"/>
      <c r="C143" s="259"/>
      <c r="D143" s="225"/>
      <c r="E143" s="225"/>
      <c r="F143" s="225"/>
      <c r="G143" s="226"/>
      <c r="H143" s="258"/>
    </row>
    <row r="144" spans="1:8" x14ac:dyDescent="0.2">
      <c r="A144" s="338" t="s">
        <v>10</v>
      </c>
      <c r="B144" s="339"/>
      <c r="C144" s="339"/>
      <c r="D144" s="340"/>
      <c r="E144" s="340"/>
      <c r="F144" s="341"/>
      <c r="G144" s="277">
        <f>SUM(G136:G143)</f>
        <v>161</v>
      </c>
      <c r="H144" s="278"/>
    </row>
    <row r="145" spans="1:8" x14ac:dyDescent="0.2">
      <c r="A145" s="253" t="s">
        <v>0</v>
      </c>
      <c r="B145" s="254">
        <f>B136+1</f>
        <v>46120</v>
      </c>
      <c r="C145" s="259"/>
      <c r="D145" s="230" t="s">
        <v>1655</v>
      </c>
      <c r="E145" s="230" t="s">
        <v>1718</v>
      </c>
      <c r="F145" s="230" t="s">
        <v>1642</v>
      </c>
      <c r="G145" s="231">
        <v>7</v>
      </c>
      <c r="H145" s="256"/>
    </row>
    <row r="146" spans="1:8" x14ac:dyDescent="0.2">
      <c r="A146" s="253" t="s">
        <v>1</v>
      </c>
      <c r="B146" s="254"/>
      <c r="C146" s="259"/>
      <c r="D146" s="230" t="s">
        <v>1646</v>
      </c>
      <c r="E146" s="230" t="s">
        <v>1647</v>
      </c>
      <c r="F146" s="230" t="s">
        <v>1649</v>
      </c>
      <c r="G146" s="231">
        <v>10</v>
      </c>
      <c r="H146" s="257"/>
    </row>
    <row r="147" spans="1:8" x14ac:dyDescent="0.2">
      <c r="A147" s="253" t="s">
        <v>2</v>
      </c>
      <c r="B147" s="254"/>
      <c r="C147" s="259"/>
      <c r="D147" s="230" t="s">
        <v>1655</v>
      </c>
      <c r="E147" s="230" t="s">
        <v>1704</v>
      </c>
      <c r="F147" s="230" t="s">
        <v>1642</v>
      </c>
      <c r="G147" s="231">
        <v>66</v>
      </c>
      <c r="H147" s="258"/>
    </row>
    <row r="148" spans="1:8" x14ac:dyDescent="0.2">
      <c r="A148" s="253" t="s">
        <v>3</v>
      </c>
      <c r="B148" s="254"/>
      <c r="C148" s="259"/>
      <c r="D148" s="230" t="s">
        <v>1640</v>
      </c>
      <c r="E148" s="230" t="s">
        <v>1705</v>
      </c>
      <c r="F148" s="230" t="s">
        <v>1642</v>
      </c>
      <c r="G148" s="231">
        <v>5</v>
      </c>
      <c r="H148" s="258"/>
    </row>
    <row r="149" spans="1:8" x14ac:dyDescent="0.2">
      <c r="A149" s="253" t="s">
        <v>4</v>
      </c>
      <c r="B149" s="254"/>
      <c r="C149" s="259"/>
      <c r="D149" s="230" t="s">
        <v>1079</v>
      </c>
      <c r="E149" s="232" t="s">
        <v>1721</v>
      </c>
      <c r="F149" s="230" t="s">
        <v>1649</v>
      </c>
      <c r="G149" s="231">
        <v>5</v>
      </c>
      <c r="H149" s="258"/>
    </row>
    <row r="150" spans="1:8" x14ac:dyDescent="0.2">
      <c r="A150" s="253" t="s">
        <v>5</v>
      </c>
      <c r="B150" s="254"/>
      <c r="C150" s="259"/>
      <c r="D150" s="230" t="s">
        <v>1655</v>
      </c>
      <c r="E150" s="232" t="s">
        <v>1656</v>
      </c>
      <c r="F150" s="230" t="s">
        <v>1642</v>
      </c>
      <c r="G150" s="231">
        <v>2</v>
      </c>
      <c r="H150" s="258"/>
    </row>
    <row r="151" spans="1:8" hidden="1" x14ac:dyDescent="0.2">
      <c r="A151" s="253" t="s">
        <v>6</v>
      </c>
      <c r="B151" s="254"/>
      <c r="C151" s="259"/>
      <c r="D151" s="225"/>
      <c r="E151" s="225"/>
      <c r="F151" s="225"/>
      <c r="G151" s="226"/>
      <c r="H151" s="258"/>
    </row>
    <row r="152" spans="1:8" x14ac:dyDescent="0.2">
      <c r="A152" s="338" t="s">
        <v>10</v>
      </c>
      <c r="B152" s="339"/>
      <c r="C152" s="339"/>
      <c r="D152" s="340"/>
      <c r="E152" s="340"/>
      <c r="F152" s="341"/>
      <c r="G152" s="277">
        <f>SUM(G145:G151)</f>
        <v>95</v>
      </c>
      <c r="H152" s="261"/>
    </row>
    <row r="153" spans="1:8" x14ac:dyDescent="0.2">
      <c r="A153" s="253" t="s">
        <v>0</v>
      </c>
      <c r="B153" s="254">
        <f>B145+1</f>
        <v>46121</v>
      </c>
      <c r="C153" s="259"/>
      <c r="D153" s="230" t="s">
        <v>1662</v>
      </c>
      <c r="E153" s="230" t="s">
        <v>1727</v>
      </c>
      <c r="F153" s="230" t="s">
        <v>1642</v>
      </c>
      <c r="G153" s="231">
        <v>5</v>
      </c>
      <c r="H153" s="258"/>
    </row>
    <row r="154" spans="1:8" x14ac:dyDescent="0.2">
      <c r="A154" s="253" t="s">
        <v>1</v>
      </c>
      <c r="B154" s="254"/>
      <c r="C154" s="259"/>
      <c r="D154" s="230" t="s">
        <v>1646</v>
      </c>
      <c r="E154" s="230" t="s">
        <v>1647</v>
      </c>
      <c r="F154" s="230" t="s">
        <v>1649</v>
      </c>
      <c r="G154" s="231">
        <v>9</v>
      </c>
      <c r="H154" s="258"/>
    </row>
    <row r="155" spans="1:8" x14ac:dyDescent="0.2">
      <c r="A155" s="253" t="s">
        <v>2</v>
      </c>
      <c r="B155" s="254"/>
      <c r="C155" s="259"/>
      <c r="D155" s="230" t="s">
        <v>1655</v>
      </c>
      <c r="E155" s="230" t="s">
        <v>1704</v>
      </c>
      <c r="F155" s="230" t="s">
        <v>222</v>
      </c>
      <c r="G155" s="231">
        <v>10</v>
      </c>
      <c r="H155" s="258"/>
    </row>
    <row r="156" spans="1:8" x14ac:dyDescent="0.2">
      <c r="A156" s="253" t="s">
        <v>3</v>
      </c>
      <c r="B156" s="254"/>
      <c r="C156" s="259"/>
      <c r="D156" s="230" t="s">
        <v>1655</v>
      </c>
      <c r="E156" s="230" t="s">
        <v>1704</v>
      </c>
      <c r="F156" s="230" t="s">
        <v>1642</v>
      </c>
      <c r="G156" s="231">
        <v>4</v>
      </c>
      <c r="H156" s="258"/>
    </row>
    <row r="157" spans="1:8" hidden="1" x14ac:dyDescent="0.2">
      <c r="A157" s="253" t="s">
        <v>4</v>
      </c>
      <c r="B157" s="254"/>
      <c r="C157" s="259"/>
      <c r="D157" s="233"/>
      <c r="E157" s="230"/>
      <c r="F157" s="230"/>
      <c r="G157" s="231"/>
      <c r="H157" s="258"/>
    </row>
    <row r="158" spans="1:8" hidden="1" x14ac:dyDescent="0.2">
      <c r="A158" s="253" t="s">
        <v>5</v>
      </c>
      <c r="B158" s="254"/>
      <c r="C158" s="280"/>
      <c r="D158" s="280"/>
      <c r="E158" s="224"/>
      <c r="F158" s="224"/>
      <c r="G158" s="286"/>
      <c r="H158" s="224"/>
    </row>
    <row r="159" spans="1:8" hidden="1" x14ac:dyDescent="0.2">
      <c r="A159" s="253" t="s">
        <v>6</v>
      </c>
      <c r="B159" s="254"/>
      <c r="C159" s="280"/>
      <c r="D159" s="280"/>
      <c r="E159" s="224"/>
      <c r="F159" s="224"/>
      <c r="G159" s="286"/>
      <c r="H159" s="224"/>
    </row>
    <row r="160" spans="1:8" x14ac:dyDescent="0.2">
      <c r="A160" s="338" t="s">
        <v>10</v>
      </c>
      <c r="B160" s="339"/>
      <c r="C160" s="339"/>
      <c r="D160" s="345"/>
      <c r="E160" s="345"/>
      <c r="F160" s="346"/>
      <c r="G160" s="260">
        <f>SUM(G153:G159)</f>
        <v>28</v>
      </c>
      <c r="H160" s="261"/>
    </row>
    <row r="161" spans="1:8" x14ac:dyDescent="0.2">
      <c r="A161" s="253" t="s">
        <v>0</v>
      </c>
      <c r="B161" s="254">
        <f>B153+1</f>
        <v>46122</v>
      </c>
      <c r="C161" s="259"/>
      <c r="D161" s="230" t="s">
        <v>1646</v>
      </c>
      <c r="E161" s="232" t="s">
        <v>1647</v>
      </c>
      <c r="F161" s="230" t="s">
        <v>1642</v>
      </c>
      <c r="G161" s="231">
        <v>180</v>
      </c>
      <c r="H161" s="256"/>
    </row>
    <row r="162" spans="1:8" x14ac:dyDescent="0.2">
      <c r="A162" s="253" t="s">
        <v>1</v>
      </c>
      <c r="B162" s="254"/>
      <c r="C162" s="259"/>
      <c r="D162" s="230" t="s">
        <v>1655</v>
      </c>
      <c r="E162" s="230" t="s">
        <v>1704</v>
      </c>
      <c r="F162" s="230" t="s">
        <v>184</v>
      </c>
      <c r="G162" s="231">
        <v>10</v>
      </c>
      <c r="H162" s="264"/>
    </row>
    <row r="163" spans="1:8" x14ac:dyDescent="0.2">
      <c r="A163" s="253" t="s">
        <v>2</v>
      </c>
      <c r="B163" s="254"/>
      <c r="C163" s="259"/>
      <c r="D163" s="230" t="s">
        <v>1640</v>
      </c>
      <c r="E163" s="230" t="s">
        <v>1705</v>
      </c>
      <c r="F163" s="230" t="s">
        <v>1642</v>
      </c>
      <c r="G163" s="231">
        <v>4</v>
      </c>
      <c r="H163" s="256"/>
    </row>
    <row r="164" spans="1:8" x14ac:dyDescent="0.2">
      <c r="A164" s="253" t="s">
        <v>3</v>
      </c>
      <c r="B164" s="254"/>
      <c r="C164" s="259"/>
      <c r="D164" s="230" t="s">
        <v>1079</v>
      </c>
      <c r="E164" s="230" t="s">
        <v>1721</v>
      </c>
      <c r="F164" s="230" t="s">
        <v>1649</v>
      </c>
      <c r="G164" s="231">
        <v>2</v>
      </c>
      <c r="H164" s="258"/>
    </row>
    <row r="165" spans="1:8" hidden="1" x14ac:dyDescent="0.2">
      <c r="A165" s="253" t="s">
        <v>4</v>
      </c>
      <c r="B165" s="254"/>
      <c r="C165" s="259"/>
      <c r="D165" s="225"/>
      <c r="E165" s="225"/>
      <c r="F165" s="225"/>
      <c r="G165" s="226"/>
      <c r="H165" s="258"/>
    </row>
    <row r="166" spans="1:8" hidden="1" x14ac:dyDescent="0.2">
      <c r="A166" s="253" t="s">
        <v>5</v>
      </c>
      <c r="B166" s="254"/>
      <c r="C166" s="259"/>
      <c r="D166" s="225"/>
      <c r="E166" s="225"/>
      <c r="F166" s="225"/>
      <c r="G166" s="226"/>
      <c r="H166" s="258"/>
    </row>
    <row r="167" spans="1:8" hidden="1" x14ac:dyDescent="0.2">
      <c r="A167" s="253" t="s">
        <v>6</v>
      </c>
      <c r="B167" s="254"/>
      <c r="C167" s="259"/>
      <c r="D167" s="225"/>
      <c r="E167" s="225"/>
      <c r="F167" s="225"/>
      <c r="G167" s="226"/>
      <c r="H167" s="258"/>
    </row>
    <row r="168" spans="1:8" hidden="1" x14ac:dyDescent="0.2">
      <c r="A168" s="253" t="s">
        <v>7</v>
      </c>
      <c r="B168" s="254"/>
      <c r="C168" s="259"/>
      <c r="D168" s="225"/>
      <c r="E168" s="225"/>
      <c r="F168" s="225"/>
      <c r="G168" s="226"/>
      <c r="H168" s="258"/>
    </row>
    <row r="169" spans="1:8" hidden="1" x14ac:dyDescent="0.2">
      <c r="A169" s="253" t="s">
        <v>8</v>
      </c>
      <c r="B169" s="254"/>
      <c r="C169" s="259"/>
      <c r="D169" s="225"/>
      <c r="E169" s="225"/>
      <c r="F169" s="225"/>
      <c r="G169" s="226"/>
      <c r="H169" s="258"/>
    </row>
    <row r="170" spans="1:8" x14ac:dyDescent="0.2">
      <c r="A170" s="338" t="s">
        <v>10</v>
      </c>
      <c r="B170" s="339"/>
      <c r="C170" s="339"/>
      <c r="D170" s="347"/>
      <c r="E170" s="347"/>
      <c r="F170" s="348"/>
      <c r="G170" s="262">
        <f>SUM(G161:G169)</f>
        <v>196</v>
      </c>
      <c r="H170" s="261"/>
    </row>
    <row r="171" spans="1:8" s="270" customFormat="1" ht="18" x14ac:dyDescent="0.2">
      <c r="A171" s="349" t="s">
        <v>39</v>
      </c>
      <c r="B171" s="350"/>
      <c r="C171" s="350"/>
      <c r="D171" s="350"/>
      <c r="E171" s="350"/>
      <c r="F171" s="351"/>
      <c r="G171" s="268">
        <f>G144+G152+G160+G170</f>
        <v>480</v>
      </c>
      <c r="H171" s="269"/>
    </row>
    <row r="172" spans="1:8" s="270" customFormat="1" ht="18" x14ac:dyDescent="0.2">
      <c r="A172" s="271"/>
      <c r="B172" s="271"/>
      <c r="C172" s="271"/>
      <c r="D172" s="271"/>
      <c r="E172" s="271"/>
      <c r="F172" s="271"/>
      <c r="G172" s="272"/>
    </row>
    <row r="173" spans="1:8" s="270" customFormat="1" ht="18" x14ac:dyDescent="0.2">
      <c r="A173" s="271"/>
      <c r="B173" s="271"/>
      <c r="C173" s="271"/>
      <c r="D173" s="271"/>
      <c r="E173" s="271"/>
      <c r="F173" s="271"/>
      <c r="G173" s="272"/>
    </row>
    <row r="174" spans="1:8" ht="21.95" customHeight="1" x14ac:dyDescent="0.2">
      <c r="A174" s="343" t="s">
        <v>14</v>
      </c>
      <c r="B174" s="343"/>
      <c r="C174" s="343"/>
      <c r="D174" s="343"/>
      <c r="E174" s="343"/>
      <c r="F174" s="343"/>
      <c r="G174" s="343"/>
      <c r="H174" s="343"/>
    </row>
    <row r="175" spans="1:8" s="235" customFormat="1" ht="20.100000000000001" customHeight="1" x14ac:dyDescent="0.2">
      <c r="A175" s="344" t="str">
        <f>A131</f>
        <v>รายงานการสรุปยอดขายของพนักงานขายประจำเดือน เมษายน ปี 2569</v>
      </c>
      <c r="B175" s="344"/>
      <c r="C175" s="344"/>
      <c r="D175" s="344"/>
      <c r="E175" s="344"/>
      <c r="F175" s="344"/>
      <c r="G175" s="344"/>
      <c r="H175" s="344"/>
    </row>
    <row r="176" spans="1:8" s="237" customFormat="1" ht="20.100000000000001" customHeight="1" x14ac:dyDescent="0.35">
      <c r="A176" s="354" t="str">
        <f>$A$3</f>
        <v>พนักงานขาย นายอำนาจ ชัยประภา</v>
      </c>
      <c r="B176" s="354"/>
      <c r="C176" s="354"/>
      <c r="D176" s="354"/>
      <c r="E176" s="236"/>
      <c r="G176" s="238" t="s">
        <v>21</v>
      </c>
      <c r="H176" s="273">
        <f>H132+1</f>
        <v>5</v>
      </c>
    </row>
    <row r="177" spans="1:8" s="237" customFormat="1" ht="20.100000000000001" customHeight="1" x14ac:dyDescent="0.35">
      <c r="A177" s="342"/>
      <c r="B177" s="342"/>
      <c r="C177" s="342"/>
      <c r="D177" s="240"/>
      <c r="E177" s="236"/>
      <c r="F177" s="274">
        <f>$F$4</f>
        <v>46107</v>
      </c>
      <c r="G177" s="242" t="s">
        <v>82</v>
      </c>
      <c r="H177" s="274">
        <f>$H$4</f>
        <v>46136</v>
      </c>
    </row>
    <row r="178" spans="1:8" x14ac:dyDescent="0.2">
      <c r="A178" s="243" t="s">
        <v>23</v>
      </c>
      <c r="B178" s="244" t="s">
        <v>11</v>
      </c>
      <c r="C178" s="245" t="s">
        <v>26</v>
      </c>
      <c r="D178" s="245" t="s">
        <v>83</v>
      </c>
      <c r="E178" s="243" t="s">
        <v>16</v>
      </c>
      <c r="F178" s="243" t="s">
        <v>17</v>
      </c>
      <c r="G178" s="246" t="s">
        <v>18</v>
      </c>
      <c r="H178" s="243" t="s">
        <v>19</v>
      </c>
    </row>
    <row r="179" spans="1:8" x14ac:dyDescent="0.2">
      <c r="A179" s="247"/>
      <c r="B179" s="248"/>
      <c r="C179" s="249"/>
      <c r="D179" s="250"/>
      <c r="E179" s="251"/>
      <c r="F179" s="251"/>
      <c r="G179" s="252" t="s">
        <v>20</v>
      </c>
      <c r="H179" s="251"/>
    </row>
    <row r="180" spans="1:8" x14ac:dyDescent="0.2">
      <c r="A180" s="253" t="s">
        <v>0</v>
      </c>
      <c r="B180" s="254">
        <f>B161+1</f>
        <v>46123</v>
      </c>
      <c r="C180" s="259"/>
      <c r="D180" s="225"/>
      <c r="E180" s="263"/>
      <c r="F180" s="225"/>
      <c r="G180" s="226"/>
      <c r="H180" s="225"/>
    </row>
    <row r="181" spans="1:8" hidden="1" x14ac:dyDescent="0.2">
      <c r="A181" s="253" t="s">
        <v>1</v>
      </c>
      <c r="B181" s="254"/>
      <c r="C181" s="259"/>
      <c r="D181" s="225"/>
      <c r="E181" s="225"/>
      <c r="F181" s="225"/>
      <c r="G181" s="226"/>
      <c r="H181" s="257"/>
    </row>
    <row r="182" spans="1:8" hidden="1" x14ac:dyDescent="0.2">
      <c r="A182" s="253" t="s">
        <v>2</v>
      </c>
      <c r="B182" s="254"/>
      <c r="C182" s="259"/>
      <c r="D182" s="225"/>
      <c r="E182" s="263"/>
      <c r="F182" s="225"/>
      <c r="G182" s="226"/>
      <c r="H182" s="258"/>
    </row>
    <row r="183" spans="1:8" hidden="1" x14ac:dyDescent="0.2">
      <c r="A183" s="253" t="s">
        <v>3</v>
      </c>
      <c r="B183" s="254"/>
      <c r="C183" s="259"/>
      <c r="D183" s="225"/>
      <c r="E183" s="225"/>
      <c r="F183" s="225"/>
      <c r="G183" s="226"/>
      <c r="H183" s="258"/>
    </row>
    <row r="184" spans="1:8" hidden="1" x14ac:dyDescent="0.2">
      <c r="A184" s="253" t="s">
        <v>4</v>
      </c>
      <c r="B184" s="254"/>
      <c r="C184" s="259"/>
      <c r="D184" s="225"/>
      <c r="E184" s="225"/>
      <c r="F184" s="225"/>
      <c r="G184" s="226"/>
      <c r="H184" s="258"/>
    </row>
    <row r="185" spans="1:8" hidden="1" x14ac:dyDescent="0.2">
      <c r="A185" s="253" t="s">
        <v>5</v>
      </c>
      <c r="B185" s="254"/>
      <c r="C185" s="259"/>
      <c r="D185" s="225"/>
      <c r="E185" s="225"/>
      <c r="F185" s="225"/>
      <c r="G185" s="226"/>
      <c r="H185" s="258"/>
    </row>
    <row r="186" spans="1:8" hidden="1" x14ac:dyDescent="0.2">
      <c r="A186" s="253" t="s">
        <v>6</v>
      </c>
      <c r="B186" s="254"/>
      <c r="C186" s="259"/>
      <c r="D186" s="285"/>
      <c r="E186" s="225"/>
      <c r="F186" s="225"/>
      <c r="G186" s="226"/>
      <c r="H186" s="258"/>
    </row>
    <row r="187" spans="1:8" x14ac:dyDescent="0.2">
      <c r="A187" s="338" t="s">
        <v>10</v>
      </c>
      <c r="B187" s="339"/>
      <c r="C187" s="339"/>
      <c r="D187" s="345"/>
      <c r="E187" s="345"/>
      <c r="F187" s="346"/>
      <c r="G187" s="260">
        <f>SUM(G180:G186)</f>
        <v>0</v>
      </c>
      <c r="H187" s="261"/>
    </row>
    <row r="188" spans="1:8" x14ac:dyDescent="0.2">
      <c r="A188" s="253" t="s">
        <v>0</v>
      </c>
      <c r="B188" s="254">
        <f>B180+1</f>
        <v>46124</v>
      </c>
      <c r="C188" s="259"/>
      <c r="D188" s="225"/>
      <c r="E188" s="225"/>
      <c r="F188" s="225"/>
      <c r="G188" s="226"/>
      <c r="H188" s="258"/>
    </row>
    <row r="189" spans="1:8" hidden="1" x14ac:dyDescent="0.2">
      <c r="A189" s="253" t="s">
        <v>1</v>
      </c>
      <c r="B189" s="254"/>
      <c r="C189" s="259"/>
      <c r="D189" s="225"/>
      <c r="E189" s="263"/>
      <c r="F189" s="225"/>
      <c r="G189" s="226"/>
      <c r="H189" s="257"/>
    </row>
    <row r="190" spans="1:8" hidden="1" x14ac:dyDescent="0.2">
      <c r="A190" s="253" t="s">
        <v>2</v>
      </c>
      <c r="B190" s="254"/>
      <c r="C190" s="259"/>
      <c r="D190" s="225"/>
      <c r="E190" s="225"/>
      <c r="F190" s="225"/>
      <c r="G190" s="226"/>
      <c r="H190" s="258"/>
    </row>
    <row r="191" spans="1:8" hidden="1" x14ac:dyDescent="0.2">
      <c r="A191" s="253" t="s">
        <v>3</v>
      </c>
      <c r="B191" s="254"/>
      <c r="C191" s="259"/>
      <c r="D191" s="227"/>
      <c r="E191" s="227"/>
      <c r="F191" s="225"/>
      <c r="G191" s="228"/>
      <c r="H191" s="258"/>
    </row>
    <row r="192" spans="1:8" hidden="1" x14ac:dyDescent="0.2">
      <c r="A192" s="253" t="s">
        <v>4</v>
      </c>
      <c r="B192" s="254"/>
      <c r="C192" s="259"/>
      <c r="D192" s="225"/>
      <c r="E192" s="225"/>
      <c r="F192" s="227"/>
      <c r="G192" s="228"/>
      <c r="H192" s="258"/>
    </row>
    <row r="193" spans="1:8" hidden="1" x14ac:dyDescent="0.2">
      <c r="A193" s="253" t="s">
        <v>5</v>
      </c>
      <c r="B193" s="254"/>
      <c r="C193" s="259"/>
      <c r="D193" s="225"/>
      <c r="E193" s="225"/>
      <c r="F193" s="225"/>
      <c r="G193" s="228"/>
      <c r="H193" s="258"/>
    </row>
    <row r="194" spans="1:8" hidden="1" x14ac:dyDescent="0.2">
      <c r="A194" s="253" t="s">
        <v>6</v>
      </c>
      <c r="B194" s="254"/>
      <c r="C194" s="259"/>
      <c r="D194" s="265"/>
      <c r="E194" s="287"/>
      <c r="F194" s="265"/>
      <c r="G194" s="266"/>
      <c r="H194" s="258"/>
    </row>
    <row r="195" spans="1:8" x14ac:dyDescent="0.2">
      <c r="A195" s="338" t="s">
        <v>10</v>
      </c>
      <c r="B195" s="339"/>
      <c r="C195" s="339"/>
      <c r="D195" s="339"/>
      <c r="E195" s="339"/>
      <c r="F195" s="352"/>
      <c r="G195" s="267">
        <f>SUM(G188:G194)</f>
        <v>0</v>
      </c>
      <c r="H195" s="261"/>
    </row>
    <row r="196" spans="1:8" x14ac:dyDescent="0.2">
      <c r="A196" s="253" t="s">
        <v>0</v>
      </c>
      <c r="B196" s="254">
        <f>B188+1</f>
        <v>46125</v>
      </c>
      <c r="C196" s="259"/>
      <c r="D196" s="225"/>
      <c r="E196" s="225"/>
      <c r="F196" s="225"/>
      <c r="G196" s="226"/>
      <c r="H196" s="258"/>
    </row>
    <row r="197" spans="1:8" hidden="1" x14ac:dyDescent="0.2">
      <c r="A197" s="253" t="s">
        <v>1</v>
      </c>
      <c r="B197" s="254"/>
      <c r="C197" s="259"/>
      <c r="D197" s="225"/>
      <c r="E197" s="263"/>
      <c r="F197" s="225"/>
      <c r="G197" s="226"/>
      <c r="H197" s="258"/>
    </row>
    <row r="198" spans="1:8" hidden="1" x14ac:dyDescent="0.2">
      <c r="A198" s="253" t="s">
        <v>2</v>
      </c>
      <c r="B198" s="254"/>
      <c r="C198" s="259"/>
      <c r="D198" s="225"/>
      <c r="E198" s="225"/>
      <c r="F198" s="225"/>
      <c r="G198" s="226"/>
      <c r="H198" s="258"/>
    </row>
    <row r="199" spans="1:8" hidden="1" x14ac:dyDescent="0.2">
      <c r="A199" s="253" t="s">
        <v>3</v>
      </c>
      <c r="B199" s="254"/>
      <c r="C199" s="259"/>
      <c r="D199" s="225"/>
      <c r="E199" s="225"/>
      <c r="F199" s="225"/>
      <c r="G199" s="226"/>
      <c r="H199" s="258"/>
    </row>
    <row r="200" spans="1:8" hidden="1" x14ac:dyDescent="0.2">
      <c r="A200" s="253" t="s">
        <v>4</v>
      </c>
      <c r="B200" s="254"/>
      <c r="C200" s="259"/>
      <c r="D200" s="225"/>
      <c r="E200" s="225"/>
      <c r="F200" s="225"/>
      <c r="G200" s="226"/>
      <c r="H200" s="258"/>
    </row>
    <row r="201" spans="1:8" hidden="1" x14ac:dyDescent="0.2">
      <c r="A201" s="253" t="s">
        <v>5</v>
      </c>
      <c r="B201" s="254"/>
      <c r="C201" s="280"/>
      <c r="D201" s="280"/>
      <c r="E201" s="224"/>
      <c r="F201" s="224"/>
      <c r="G201" s="286"/>
      <c r="H201" s="224"/>
    </row>
    <row r="202" spans="1:8" hidden="1" x14ac:dyDescent="0.2">
      <c r="A202" s="253" t="s">
        <v>6</v>
      </c>
      <c r="B202" s="254"/>
      <c r="C202" s="280"/>
      <c r="D202" s="280"/>
      <c r="E202" s="224"/>
      <c r="F202" s="224"/>
      <c r="G202" s="286"/>
      <c r="H202" s="224"/>
    </row>
    <row r="203" spans="1:8" x14ac:dyDescent="0.2">
      <c r="A203" s="338" t="s">
        <v>10</v>
      </c>
      <c r="B203" s="339"/>
      <c r="C203" s="339"/>
      <c r="D203" s="345"/>
      <c r="E203" s="345"/>
      <c r="F203" s="346"/>
      <c r="G203" s="260">
        <f>SUM(G196:G202)</f>
        <v>0</v>
      </c>
      <c r="H203" s="261"/>
    </row>
    <row r="204" spans="1:8" x14ac:dyDescent="0.2">
      <c r="A204" s="253" t="s">
        <v>0</v>
      </c>
      <c r="B204" s="254">
        <f>B196+1</f>
        <v>46126</v>
      </c>
      <c r="C204" s="259"/>
      <c r="D204" s="225"/>
      <c r="E204" s="225"/>
      <c r="F204" s="225"/>
      <c r="G204" s="226"/>
      <c r="H204" s="258"/>
    </row>
    <row r="205" spans="1:8" hidden="1" x14ac:dyDescent="0.2">
      <c r="A205" s="253" t="s">
        <v>1</v>
      </c>
      <c r="B205" s="254"/>
      <c r="C205" s="259"/>
      <c r="D205" s="225"/>
      <c r="E205" s="225"/>
      <c r="F205" s="225"/>
      <c r="G205" s="226"/>
      <c r="H205" s="257"/>
    </row>
    <row r="206" spans="1:8" hidden="1" x14ac:dyDescent="0.2">
      <c r="A206" s="253" t="s">
        <v>2</v>
      </c>
      <c r="B206" s="254"/>
      <c r="C206" s="259"/>
      <c r="D206" s="225"/>
      <c r="E206" s="225"/>
      <c r="F206" s="225"/>
      <c r="G206" s="226"/>
      <c r="H206" s="258"/>
    </row>
    <row r="207" spans="1:8" hidden="1" x14ac:dyDescent="0.2">
      <c r="A207" s="253" t="s">
        <v>3</v>
      </c>
      <c r="B207" s="254"/>
      <c r="C207" s="259"/>
      <c r="D207" s="225"/>
      <c r="E207" s="225"/>
      <c r="F207" s="225"/>
      <c r="G207" s="226"/>
      <c r="H207" s="258"/>
    </row>
    <row r="208" spans="1:8" hidden="1" x14ac:dyDescent="0.2">
      <c r="A208" s="253" t="s">
        <v>4</v>
      </c>
      <c r="B208" s="254"/>
      <c r="C208" s="259"/>
      <c r="D208" s="225"/>
      <c r="E208" s="225"/>
      <c r="F208" s="225"/>
      <c r="G208" s="226"/>
      <c r="H208" s="258"/>
    </row>
    <row r="209" spans="1:8" hidden="1" x14ac:dyDescent="0.2">
      <c r="A209" s="253" t="s">
        <v>5</v>
      </c>
      <c r="B209" s="254"/>
      <c r="C209" s="280"/>
      <c r="D209" s="280"/>
      <c r="E209" s="224"/>
      <c r="F209" s="224"/>
      <c r="G209" s="281"/>
      <c r="H209" s="224"/>
    </row>
    <row r="210" spans="1:8" hidden="1" x14ac:dyDescent="0.2">
      <c r="A210" s="253" t="s">
        <v>6</v>
      </c>
      <c r="B210" s="254"/>
      <c r="C210" s="280"/>
      <c r="D210" s="280"/>
      <c r="E210" s="224"/>
      <c r="F210" s="224"/>
      <c r="G210" s="281"/>
      <c r="H210" s="224"/>
    </row>
    <row r="211" spans="1:8" x14ac:dyDescent="0.2">
      <c r="A211" s="338" t="s">
        <v>10</v>
      </c>
      <c r="B211" s="339"/>
      <c r="C211" s="339"/>
      <c r="D211" s="339"/>
      <c r="E211" s="339"/>
      <c r="F211" s="352"/>
      <c r="G211" s="267">
        <f>SUM(G204:G210)</f>
        <v>0</v>
      </c>
      <c r="H211" s="261"/>
    </row>
    <row r="212" spans="1:8" s="270" customFormat="1" ht="18" x14ac:dyDescent="0.2">
      <c r="A212" s="349" t="s">
        <v>39</v>
      </c>
      <c r="B212" s="350"/>
      <c r="C212" s="350"/>
      <c r="D212" s="350"/>
      <c r="E212" s="350"/>
      <c r="F212" s="351"/>
      <c r="G212" s="268">
        <f>G187+G195+G203+G211</f>
        <v>0</v>
      </c>
      <c r="H212" s="269"/>
    </row>
    <row r="213" spans="1:8" s="270" customFormat="1" ht="18" x14ac:dyDescent="0.2">
      <c r="A213" s="271"/>
      <c r="B213" s="271"/>
      <c r="C213" s="271"/>
      <c r="D213" s="271"/>
      <c r="E213" s="271"/>
      <c r="F213" s="271"/>
      <c r="G213" s="272"/>
    </row>
    <row r="214" spans="1:8" s="270" customFormat="1" ht="18" x14ac:dyDescent="0.2">
      <c r="A214" s="271"/>
      <c r="B214" s="271"/>
      <c r="C214" s="271"/>
      <c r="D214" s="271"/>
      <c r="E214" s="271"/>
      <c r="F214" s="271"/>
      <c r="G214" s="272"/>
    </row>
    <row r="215" spans="1:8" ht="21.95" customHeight="1" x14ac:dyDescent="0.2">
      <c r="A215" s="343" t="s">
        <v>14</v>
      </c>
      <c r="B215" s="343"/>
      <c r="C215" s="343"/>
      <c r="D215" s="343"/>
      <c r="E215" s="343"/>
      <c r="F215" s="343"/>
      <c r="G215" s="343"/>
      <c r="H215" s="343"/>
    </row>
    <row r="216" spans="1:8" s="235" customFormat="1" ht="20.100000000000001" customHeight="1" x14ac:dyDescent="0.2">
      <c r="A216" s="344" t="str">
        <f>A175</f>
        <v>รายงานการสรุปยอดขายของพนักงานขายประจำเดือน เมษายน ปี 2569</v>
      </c>
      <c r="B216" s="344"/>
      <c r="C216" s="344"/>
      <c r="D216" s="344"/>
      <c r="E216" s="344"/>
      <c r="F216" s="344"/>
      <c r="G216" s="344"/>
      <c r="H216" s="344"/>
    </row>
    <row r="217" spans="1:8" s="237" customFormat="1" ht="20.100000000000001" customHeight="1" x14ac:dyDescent="0.35">
      <c r="A217" s="354" t="str">
        <f>$A$3</f>
        <v>พนักงานขาย นายอำนาจ ชัยประภา</v>
      </c>
      <c r="B217" s="354"/>
      <c r="C217" s="354"/>
      <c r="D217" s="354"/>
      <c r="E217" s="236"/>
      <c r="G217" s="238" t="s">
        <v>21</v>
      </c>
      <c r="H217" s="273">
        <f>H176+1</f>
        <v>6</v>
      </c>
    </row>
    <row r="218" spans="1:8" s="237" customFormat="1" ht="20.100000000000001" customHeight="1" x14ac:dyDescent="0.35">
      <c r="A218" s="342"/>
      <c r="B218" s="342"/>
      <c r="C218" s="342"/>
      <c r="D218" s="240"/>
      <c r="E218" s="236"/>
      <c r="F218" s="274">
        <f>$F$4</f>
        <v>46107</v>
      </c>
      <c r="G218" s="242" t="s">
        <v>82</v>
      </c>
      <c r="H218" s="274">
        <f>$H$4</f>
        <v>46136</v>
      </c>
    </row>
    <row r="219" spans="1:8" x14ac:dyDescent="0.2">
      <c r="A219" s="243" t="s">
        <v>23</v>
      </c>
      <c r="B219" s="244" t="s">
        <v>11</v>
      </c>
      <c r="C219" s="245" t="s">
        <v>26</v>
      </c>
      <c r="D219" s="245" t="s">
        <v>83</v>
      </c>
      <c r="E219" s="243" t="s">
        <v>16</v>
      </c>
      <c r="F219" s="243" t="s">
        <v>17</v>
      </c>
      <c r="G219" s="246" t="s">
        <v>18</v>
      </c>
      <c r="H219" s="243" t="s">
        <v>19</v>
      </c>
    </row>
    <row r="220" spans="1:8" x14ac:dyDescent="0.2">
      <c r="A220" s="247"/>
      <c r="B220" s="248"/>
      <c r="C220" s="249"/>
      <c r="D220" s="249"/>
      <c r="E220" s="247"/>
      <c r="F220" s="247"/>
      <c r="G220" s="288" t="s">
        <v>20</v>
      </c>
      <c r="H220" s="247"/>
    </row>
    <row r="221" spans="1:8" x14ac:dyDescent="0.2">
      <c r="A221" s="253" t="s">
        <v>0</v>
      </c>
      <c r="B221" s="254">
        <f>B204+1</f>
        <v>46127</v>
      </c>
      <c r="C221" s="259"/>
      <c r="D221" s="225"/>
      <c r="E221" s="263"/>
      <c r="F221" s="225"/>
      <c r="G221" s="226"/>
      <c r="H221" s="258"/>
    </row>
    <row r="222" spans="1:8" hidden="1" x14ac:dyDescent="0.2">
      <c r="A222" s="253" t="s">
        <v>1</v>
      </c>
      <c r="B222" s="254"/>
      <c r="C222" s="259"/>
      <c r="D222" s="225"/>
      <c r="E222" s="225"/>
      <c r="F222" s="227"/>
      <c r="G222" s="228"/>
      <c r="H222" s="257"/>
    </row>
    <row r="223" spans="1:8" hidden="1" x14ac:dyDescent="0.2">
      <c r="A223" s="253" t="s">
        <v>2</v>
      </c>
      <c r="B223" s="254"/>
      <c r="C223" s="259"/>
      <c r="D223" s="225"/>
      <c r="E223" s="225"/>
      <c r="F223" s="225"/>
      <c r="G223" s="226"/>
      <c r="H223" s="258"/>
    </row>
    <row r="224" spans="1:8" hidden="1" x14ac:dyDescent="0.2">
      <c r="A224" s="253" t="s">
        <v>3</v>
      </c>
      <c r="B224" s="254"/>
      <c r="C224" s="259"/>
      <c r="D224" s="225"/>
      <c r="E224" s="225"/>
      <c r="F224" s="225"/>
      <c r="G224" s="226"/>
      <c r="H224" s="258"/>
    </row>
    <row r="225" spans="1:8" hidden="1" x14ac:dyDescent="0.2">
      <c r="A225" s="253" t="s">
        <v>4</v>
      </c>
      <c r="B225" s="254"/>
      <c r="C225" s="259"/>
      <c r="D225" s="225"/>
      <c r="E225" s="225"/>
      <c r="F225" s="225"/>
      <c r="G225" s="226"/>
      <c r="H225" s="258"/>
    </row>
    <row r="226" spans="1:8" hidden="1" x14ac:dyDescent="0.2">
      <c r="A226" s="253" t="s">
        <v>5</v>
      </c>
      <c r="B226" s="254"/>
      <c r="C226" s="259"/>
      <c r="D226" s="225"/>
      <c r="E226" s="225"/>
      <c r="F226" s="225"/>
      <c r="G226" s="226"/>
      <c r="H226" s="258"/>
    </row>
    <row r="227" spans="1:8" hidden="1" x14ac:dyDescent="0.2">
      <c r="A227" s="253" t="s">
        <v>6</v>
      </c>
      <c r="B227" s="254"/>
      <c r="C227" s="259"/>
      <c r="D227" s="225"/>
      <c r="E227" s="225"/>
      <c r="F227" s="225"/>
      <c r="G227" s="226"/>
      <c r="H227" s="258"/>
    </row>
    <row r="228" spans="1:8" x14ac:dyDescent="0.2">
      <c r="A228" s="355" t="s">
        <v>10</v>
      </c>
      <c r="B228" s="355"/>
      <c r="C228" s="355"/>
      <c r="D228" s="355"/>
      <c r="E228" s="355"/>
      <c r="F228" s="355"/>
      <c r="G228" s="267">
        <f>SUM(G221:G227)</f>
        <v>0</v>
      </c>
      <c r="H228" s="261"/>
    </row>
    <row r="229" spans="1:8" x14ac:dyDescent="0.2">
      <c r="A229" s="253" t="s">
        <v>0</v>
      </c>
      <c r="B229" s="254">
        <f>B221+1</f>
        <v>46128</v>
      </c>
      <c r="C229" s="259"/>
      <c r="D229" s="225"/>
      <c r="E229" s="263"/>
      <c r="F229" s="225"/>
      <c r="G229" s="226"/>
      <c r="H229" s="256"/>
    </row>
    <row r="230" spans="1:8" hidden="1" x14ac:dyDescent="0.2">
      <c r="A230" s="253" t="s">
        <v>1</v>
      </c>
      <c r="B230" s="254"/>
      <c r="C230" s="259"/>
      <c r="D230" s="225"/>
      <c r="E230" s="225"/>
      <c r="F230" s="225"/>
      <c r="G230" s="226"/>
      <c r="H230" s="264"/>
    </row>
    <row r="231" spans="1:8" hidden="1" x14ac:dyDescent="0.2">
      <c r="A231" s="253" t="s">
        <v>2</v>
      </c>
      <c r="B231" s="254"/>
      <c r="C231" s="259"/>
      <c r="D231" s="225"/>
      <c r="E231" s="225"/>
      <c r="F231" s="225"/>
      <c r="G231" s="226"/>
      <c r="H231" s="256"/>
    </row>
    <row r="232" spans="1:8" hidden="1" x14ac:dyDescent="0.2">
      <c r="A232" s="253" t="s">
        <v>3</v>
      </c>
      <c r="B232" s="254"/>
      <c r="C232" s="259"/>
      <c r="D232" s="225"/>
      <c r="E232" s="225"/>
      <c r="F232" s="225"/>
      <c r="G232" s="226"/>
      <c r="H232" s="256"/>
    </row>
    <row r="233" spans="1:8" hidden="1" x14ac:dyDescent="0.2">
      <c r="A233" s="253" t="s">
        <v>4</v>
      </c>
      <c r="B233" s="254"/>
      <c r="C233" s="259"/>
      <c r="D233" s="225"/>
      <c r="E233" s="225"/>
      <c r="F233" s="225"/>
      <c r="G233" s="226"/>
      <c r="H233" s="258"/>
    </row>
    <row r="234" spans="1:8" hidden="1" x14ac:dyDescent="0.2">
      <c r="A234" s="253" t="s">
        <v>5</v>
      </c>
      <c r="B234" s="254"/>
      <c r="C234" s="259"/>
      <c r="D234" s="225"/>
      <c r="E234" s="225"/>
      <c r="F234" s="225"/>
      <c r="G234" s="226"/>
      <c r="H234" s="258"/>
    </row>
    <row r="235" spans="1:8" hidden="1" x14ac:dyDescent="0.2">
      <c r="A235" s="253" t="s">
        <v>6</v>
      </c>
      <c r="B235" s="254"/>
      <c r="C235" s="259"/>
      <c r="D235" s="225"/>
      <c r="E235" s="225"/>
      <c r="F235" s="225"/>
      <c r="G235" s="226"/>
      <c r="H235" s="257"/>
    </row>
    <row r="236" spans="1:8" hidden="1" x14ac:dyDescent="0.2">
      <c r="A236" s="253" t="s">
        <v>7</v>
      </c>
      <c r="B236" s="254"/>
      <c r="C236" s="259"/>
      <c r="D236" s="225"/>
      <c r="E236" s="225"/>
      <c r="F236" s="225"/>
      <c r="G236" s="226"/>
      <c r="H236" s="258"/>
    </row>
    <row r="237" spans="1:8" hidden="1" x14ac:dyDescent="0.2">
      <c r="A237" s="253" t="s">
        <v>8</v>
      </c>
      <c r="B237" s="254"/>
      <c r="C237" s="259"/>
      <c r="D237" s="225"/>
      <c r="E237" s="225"/>
      <c r="F237" s="225"/>
      <c r="G237" s="226"/>
      <c r="H237" s="258"/>
    </row>
    <row r="238" spans="1:8" hidden="1" x14ac:dyDescent="0.2">
      <c r="A238" s="253" t="s">
        <v>9</v>
      </c>
      <c r="B238" s="254"/>
      <c r="C238" s="259"/>
      <c r="D238" s="225"/>
      <c r="E238" s="225"/>
      <c r="F238" s="225"/>
      <c r="G238" s="226"/>
      <c r="H238" s="258"/>
    </row>
    <row r="239" spans="1:8" hidden="1" x14ac:dyDescent="0.2">
      <c r="A239" s="253" t="s">
        <v>99</v>
      </c>
      <c r="B239" s="254"/>
      <c r="C239" s="259"/>
      <c r="D239" s="225"/>
      <c r="E239" s="225"/>
      <c r="F239" s="225"/>
      <c r="G239" s="226"/>
      <c r="H239" s="258"/>
    </row>
    <row r="240" spans="1:8" hidden="1" x14ac:dyDescent="0.2">
      <c r="A240" s="253" t="s">
        <v>100</v>
      </c>
      <c r="B240" s="254"/>
      <c r="C240" s="259"/>
      <c r="D240" s="225"/>
      <c r="E240" s="225"/>
      <c r="F240" s="225"/>
      <c r="G240" s="226"/>
      <c r="H240" s="258"/>
    </row>
    <row r="241" spans="1:8" x14ac:dyDescent="0.2">
      <c r="A241" s="338" t="s">
        <v>10</v>
      </c>
      <c r="B241" s="339"/>
      <c r="C241" s="339"/>
      <c r="D241" s="345"/>
      <c r="E241" s="345"/>
      <c r="F241" s="346"/>
      <c r="G241" s="260">
        <f>SUM(G229:G240)</f>
        <v>0</v>
      </c>
      <c r="H241" s="261"/>
    </row>
    <row r="242" spans="1:8" x14ac:dyDescent="0.2">
      <c r="A242" s="253" t="s">
        <v>0</v>
      </c>
      <c r="B242" s="254">
        <f>B229+1</f>
        <v>46129</v>
      </c>
      <c r="C242" s="259"/>
      <c r="D242" s="225"/>
      <c r="E242" s="225"/>
      <c r="F242" s="225"/>
      <c r="G242" s="226"/>
      <c r="H242" s="258"/>
    </row>
    <row r="243" spans="1:8" hidden="1" x14ac:dyDescent="0.2">
      <c r="A243" s="253" t="s">
        <v>1</v>
      </c>
      <c r="B243" s="254"/>
      <c r="C243" s="259"/>
      <c r="D243" s="225"/>
      <c r="E243" s="225"/>
      <c r="F243" s="225"/>
      <c r="G243" s="226"/>
      <c r="H243" s="258"/>
    </row>
    <row r="244" spans="1:8" hidden="1" x14ac:dyDescent="0.2">
      <c r="A244" s="253" t="s">
        <v>2</v>
      </c>
      <c r="B244" s="254"/>
      <c r="C244" s="259"/>
      <c r="D244" s="225"/>
      <c r="E244" s="225"/>
      <c r="F244" s="225"/>
      <c r="G244" s="226"/>
      <c r="H244" s="258"/>
    </row>
    <row r="245" spans="1:8" hidden="1" x14ac:dyDescent="0.2">
      <c r="A245" s="253" t="s">
        <v>3</v>
      </c>
      <c r="B245" s="254"/>
      <c r="C245" s="259"/>
      <c r="D245" s="225"/>
      <c r="E245" s="225"/>
      <c r="F245" s="225"/>
      <c r="G245" s="226"/>
      <c r="H245" s="258"/>
    </row>
    <row r="246" spans="1:8" hidden="1" x14ac:dyDescent="0.2">
      <c r="A246" s="253" t="s">
        <v>4</v>
      </c>
      <c r="B246" s="254"/>
      <c r="C246" s="259"/>
      <c r="D246" s="225"/>
      <c r="E246" s="225"/>
      <c r="F246" s="225"/>
      <c r="G246" s="226"/>
      <c r="H246" s="258"/>
    </row>
    <row r="247" spans="1:8" hidden="1" x14ac:dyDescent="0.2">
      <c r="A247" s="253" t="s">
        <v>5</v>
      </c>
      <c r="B247" s="254"/>
      <c r="C247" s="259"/>
      <c r="D247" s="225"/>
      <c r="E247" s="225"/>
      <c r="F247" s="225"/>
      <c r="G247" s="226"/>
      <c r="H247" s="258"/>
    </row>
    <row r="248" spans="1:8" hidden="1" x14ac:dyDescent="0.2">
      <c r="A248" s="253" t="s">
        <v>6</v>
      </c>
      <c r="B248" s="254"/>
      <c r="C248" s="280"/>
      <c r="D248" s="282"/>
      <c r="E248" s="283"/>
      <c r="F248" s="283"/>
      <c r="G248" s="284"/>
      <c r="H248" s="224"/>
    </row>
    <row r="249" spans="1:8" x14ac:dyDescent="0.2">
      <c r="A249" s="355" t="s">
        <v>10</v>
      </c>
      <c r="B249" s="355"/>
      <c r="C249" s="355"/>
      <c r="D249" s="356"/>
      <c r="E249" s="356"/>
      <c r="F249" s="356"/>
      <c r="G249" s="260">
        <f>SUM(G242:G248)</f>
        <v>0</v>
      </c>
      <c r="H249" s="278"/>
    </row>
    <row r="250" spans="1:8" x14ac:dyDescent="0.2">
      <c r="A250" s="253" t="s">
        <v>0</v>
      </c>
      <c r="B250" s="254">
        <f>B242+1</f>
        <v>46130</v>
      </c>
      <c r="C250" s="259"/>
      <c r="D250" s="230" t="s">
        <v>1646</v>
      </c>
      <c r="E250" s="230" t="s">
        <v>1647</v>
      </c>
      <c r="F250" s="230" t="s">
        <v>1649</v>
      </c>
      <c r="G250" s="231">
        <v>4</v>
      </c>
      <c r="H250" s="256"/>
    </row>
    <row r="251" spans="1:8" hidden="1" x14ac:dyDescent="0.2">
      <c r="A251" s="253" t="s">
        <v>1</v>
      </c>
      <c r="B251" s="254"/>
      <c r="C251" s="259"/>
      <c r="D251" s="225"/>
      <c r="E251" s="225"/>
      <c r="F251" s="225"/>
      <c r="G251" s="226"/>
      <c r="H251" s="229"/>
    </row>
    <row r="252" spans="1:8" hidden="1" x14ac:dyDescent="0.2">
      <c r="A252" s="253" t="s">
        <v>2</v>
      </c>
      <c r="B252" s="254"/>
      <c r="C252" s="259"/>
      <c r="D252" s="225"/>
      <c r="E252" s="225"/>
      <c r="F252" s="225"/>
      <c r="G252" s="226"/>
      <c r="H252" s="256"/>
    </row>
    <row r="253" spans="1:8" hidden="1" x14ac:dyDescent="0.2">
      <c r="A253" s="253" t="s">
        <v>3</v>
      </c>
      <c r="B253" s="254"/>
      <c r="C253" s="259"/>
      <c r="D253" s="225"/>
      <c r="E253" s="225"/>
      <c r="F253" s="225"/>
      <c r="G253" s="226"/>
      <c r="H253" s="256"/>
    </row>
    <row r="254" spans="1:8" hidden="1" x14ac:dyDescent="0.2">
      <c r="A254" s="253" t="s">
        <v>4</v>
      </c>
      <c r="B254" s="254"/>
      <c r="C254" s="259"/>
      <c r="D254" s="225"/>
      <c r="E254" s="225"/>
      <c r="F254" s="225"/>
      <c r="G254" s="226"/>
      <c r="H254" s="256"/>
    </row>
    <row r="255" spans="1:8" hidden="1" x14ac:dyDescent="0.2">
      <c r="A255" s="253" t="s">
        <v>5</v>
      </c>
      <c r="B255" s="254"/>
      <c r="C255" s="259"/>
      <c r="D255" s="225"/>
      <c r="E255" s="225"/>
      <c r="F255" s="225"/>
      <c r="G255" s="226"/>
      <c r="H255" s="256"/>
    </row>
    <row r="256" spans="1:8" hidden="1" x14ac:dyDescent="0.2">
      <c r="A256" s="253" t="s">
        <v>6</v>
      </c>
      <c r="B256" s="254"/>
      <c r="C256" s="280"/>
      <c r="D256" s="282"/>
      <c r="E256" s="283"/>
      <c r="F256" s="283"/>
      <c r="G256" s="289"/>
      <c r="H256" s="224"/>
    </row>
    <row r="257" spans="1:8" x14ac:dyDescent="0.2">
      <c r="A257" s="338" t="s">
        <v>10</v>
      </c>
      <c r="B257" s="339"/>
      <c r="C257" s="339"/>
      <c r="D257" s="339"/>
      <c r="E257" s="339"/>
      <c r="F257" s="352"/>
      <c r="G257" s="267">
        <f>SUM(G250:G256)</f>
        <v>4</v>
      </c>
      <c r="H257" s="261"/>
    </row>
    <row r="258" spans="1:8" s="270" customFormat="1" ht="18" x14ac:dyDescent="0.2">
      <c r="A258" s="349" t="s">
        <v>39</v>
      </c>
      <c r="B258" s="350"/>
      <c r="C258" s="350"/>
      <c r="D258" s="350"/>
      <c r="E258" s="350"/>
      <c r="F258" s="351"/>
      <c r="G258" s="268">
        <f>G228+G241+G249+G257</f>
        <v>4</v>
      </c>
      <c r="H258" s="269"/>
    </row>
    <row r="259" spans="1:8" s="270" customFormat="1" ht="18" x14ac:dyDescent="0.2">
      <c r="A259" s="271"/>
      <c r="B259" s="271"/>
      <c r="C259" s="271"/>
      <c r="D259" s="271"/>
      <c r="E259" s="271"/>
      <c r="F259" s="271"/>
      <c r="G259" s="272"/>
    </row>
    <row r="260" spans="1:8" s="270" customFormat="1" ht="18" x14ac:dyDescent="0.2">
      <c r="A260" s="271"/>
      <c r="B260" s="271"/>
      <c r="C260" s="271"/>
      <c r="D260" s="271"/>
      <c r="E260" s="271"/>
      <c r="F260" s="271"/>
      <c r="G260" s="272"/>
    </row>
    <row r="261" spans="1:8" ht="21.95" customHeight="1" x14ac:dyDescent="0.2">
      <c r="A261" s="343" t="s">
        <v>14</v>
      </c>
      <c r="B261" s="343"/>
      <c r="C261" s="343"/>
      <c r="D261" s="343"/>
      <c r="E261" s="343"/>
      <c r="F261" s="343"/>
      <c r="G261" s="343"/>
      <c r="H261" s="343"/>
    </row>
    <row r="262" spans="1:8" s="235" customFormat="1" ht="20.100000000000001" customHeight="1" x14ac:dyDescent="0.2">
      <c r="A262" s="344" t="str">
        <f>A216</f>
        <v>รายงานการสรุปยอดขายของพนักงานขายประจำเดือน เมษายน ปี 2569</v>
      </c>
      <c r="B262" s="344"/>
      <c r="C262" s="344"/>
      <c r="D262" s="344"/>
      <c r="E262" s="344"/>
      <c r="F262" s="344"/>
      <c r="G262" s="344"/>
      <c r="H262" s="344"/>
    </row>
    <row r="263" spans="1:8" s="237" customFormat="1" ht="20.100000000000001" customHeight="1" x14ac:dyDescent="0.35">
      <c r="A263" s="354" t="str">
        <f>$A$3</f>
        <v>พนักงานขาย นายอำนาจ ชัยประภา</v>
      </c>
      <c r="B263" s="354"/>
      <c r="C263" s="354"/>
      <c r="D263" s="354"/>
      <c r="E263" s="236"/>
      <c r="G263" s="238" t="s">
        <v>21</v>
      </c>
      <c r="H263" s="273">
        <f>H217+1</f>
        <v>7</v>
      </c>
    </row>
    <row r="264" spans="1:8" s="237" customFormat="1" ht="20.100000000000001" customHeight="1" x14ac:dyDescent="0.35">
      <c r="A264" s="342"/>
      <c r="B264" s="342"/>
      <c r="C264" s="342"/>
      <c r="D264" s="240"/>
      <c r="E264" s="236"/>
      <c r="F264" s="274">
        <f>$F$4</f>
        <v>46107</v>
      </c>
      <c r="G264" s="242" t="s">
        <v>82</v>
      </c>
      <c r="H264" s="274">
        <f>$H$4</f>
        <v>46136</v>
      </c>
    </row>
    <row r="265" spans="1:8" x14ac:dyDescent="0.2">
      <c r="A265" s="243" t="s">
        <v>23</v>
      </c>
      <c r="B265" s="244" t="s">
        <v>11</v>
      </c>
      <c r="C265" s="245" t="s">
        <v>26</v>
      </c>
      <c r="D265" s="245" t="s">
        <v>83</v>
      </c>
      <c r="E265" s="243" t="s">
        <v>16</v>
      </c>
      <c r="F265" s="243" t="s">
        <v>17</v>
      </c>
      <c r="G265" s="246" t="s">
        <v>18</v>
      </c>
      <c r="H265" s="243" t="s">
        <v>19</v>
      </c>
    </row>
    <row r="266" spans="1:8" x14ac:dyDescent="0.2">
      <c r="A266" s="247"/>
      <c r="B266" s="248"/>
      <c r="C266" s="249"/>
      <c r="D266" s="250"/>
      <c r="E266" s="251"/>
      <c r="F266" s="251"/>
      <c r="G266" s="252" t="s">
        <v>20</v>
      </c>
      <c r="H266" s="247"/>
    </row>
    <row r="267" spans="1:8" x14ac:dyDescent="0.2">
      <c r="A267" s="253" t="s">
        <v>0</v>
      </c>
      <c r="B267" s="254">
        <f>B250+1</f>
        <v>46131</v>
      </c>
      <c r="C267" s="259"/>
      <c r="D267" s="225"/>
      <c r="E267" s="225"/>
      <c r="F267" s="225"/>
      <c r="G267" s="226"/>
      <c r="H267" s="258"/>
    </row>
    <row r="268" spans="1:8" hidden="1" x14ac:dyDescent="0.2">
      <c r="A268" s="253" t="s">
        <v>1</v>
      </c>
      <c r="B268" s="254"/>
      <c r="C268" s="259"/>
      <c r="D268" s="225"/>
      <c r="E268" s="225"/>
      <c r="F268" s="225"/>
      <c r="G268" s="226"/>
      <c r="H268" s="257"/>
    </row>
    <row r="269" spans="1:8" hidden="1" x14ac:dyDescent="0.2">
      <c r="A269" s="253" t="s">
        <v>2</v>
      </c>
      <c r="B269" s="254"/>
      <c r="C269" s="259"/>
      <c r="D269" s="225"/>
      <c r="E269" s="225"/>
      <c r="F269" s="225"/>
      <c r="G269" s="226"/>
      <c r="H269" s="258"/>
    </row>
    <row r="270" spans="1:8" hidden="1" x14ac:dyDescent="0.2">
      <c r="A270" s="253" t="s">
        <v>3</v>
      </c>
      <c r="B270" s="254"/>
      <c r="C270" s="259"/>
      <c r="D270" s="225"/>
      <c r="E270" s="225"/>
      <c r="F270" s="225"/>
      <c r="G270" s="226"/>
      <c r="H270" s="258"/>
    </row>
    <row r="271" spans="1:8" hidden="1" x14ac:dyDescent="0.2">
      <c r="A271" s="253" t="s">
        <v>4</v>
      </c>
      <c r="B271" s="254"/>
      <c r="C271" s="259"/>
      <c r="D271" s="225"/>
      <c r="E271" s="225"/>
      <c r="F271" s="225"/>
      <c r="G271" s="226"/>
      <c r="H271" s="258"/>
    </row>
    <row r="272" spans="1:8" hidden="1" x14ac:dyDescent="0.2">
      <c r="A272" s="253" t="s">
        <v>5</v>
      </c>
      <c r="B272" s="254"/>
      <c r="C272" s="259"/>
      <c r="D272" s="225"/>
      <c r="E272" s="225"/>
      <c r="F272" s="225"/>
      <c r="G272" s="226"/>
      <c r="H272" s="258"/>
    </row>
    <row r="273" spans="1:8" hidden="1" x14ac:dyDescent="0.2">
      <c r="A273" s="253" t="s">
        <v>6</v>
      </c>
      <c r="B273" s="254"/>
      <c r="C273" s="259"/>
      <c r="D273" s="225"/>
      <c r="E273" s="225"/>
      <c r="F273" s="225"/>
      <c r="G273" s="226"/>
      <c r="H273" s="258"/>
    </row>
    <row r="274" spans="1:8" hidden="1" x14ac:dyDescent="0.2">
      <c r="A274" s="253" t="s">
        <v>7</v>
      </c>
      <c r="B274" s="254"/>
      <c r="C274" s="259"/>
      <c r="D274" s="225"/>
      <c r="E274" s="225"/>
      <c r="F274" s="225"/>
      <c r="G274" s="226"/>
      <c r="H274" s="258"/>
    </row>
    <row r="275" spans="1:8" hidden="1" x14ac:dyDescent="0.2">
      <c r="A275" s="253" t="s">
        <v>8</v>
      </c>
      <c r="B275" s="254"/>
      <c r="C275" s="259"/>
      <c r="D275" s="225"/>
      <c r="E275" s="225"/>
      <c r="F275" s="225"/>
      <c r="G275" s="226"/>
      <c r="H275" s="258"/>
    </row>
    <row r="276" spans="1:8" hidden="1" x14ac:dyDescent="0.2">
      <c r="A276" s="253" t="s">
        <v>9</v>
      </c>
      <c r="B276" s="254"/>
      <c r="C276" s="259"/>
      <c r="D276" s="225"/>
      <c r="E276" s="225"/>
      <c r="F276" s="225"/>
      <c r="G276" s="226"/>
      <c r="H276" s="258"/>
    </row>
    <row r="277" spans="1:8" hidden="1" x14ac:dyDescent="0.2">
      <c r="A277" s="253" t="s">
        <v>99</v>
      </c>
      <c r="B277" s="254"/>
      <c r="C277" s="259"/>
      <c r="D277" s="225"/>
      <c r="E277" s="225"/>
      <c r="F277" s="225"/>
      <c r="G277" s="226"/>
      <c r="H277" s="258"/>
    </row>
    <row r="278" spans="1:8" x14ac:dyDescent="0.2">
      <c r="A278" s="338" t="s">
        <v>10</v>
      </c>
      <c r="B278" s="339"/>
      <c r="C278" s="339"/>
      <c r="D278" s="340"/>
      <c r="E278" s="340"/>
      <c r="F278" s="341"/>
      <c r="G278" s="277">
        <f>SUM(G267:G277)</f>
        <v>0</v>
      </c>
      <c r="H278" s="278"/>
    </row>
    <row r="279" spans="1:8" x14ac:dyDescent="0.2">
      <c r="A279" s="253" t="s">
        <v>0</v>
      </c>
      <c r="B279" s="275">
        <f>B267+1</f>
        <v>46132</v>
      </c>
      <c r="C279" s="276"/>
      <c r="D279" s="230" t="s">
        <v>1646</v>
      </c>
      <c r="E279" s="230" t="s">
        <v>1647</v>
      </c>
      <c r="F279" s="230" t="s">
        <v>1649</v>
      </c>
      <c r="G279" s="231">
        <v>4</v>
      </c>
      <c r="H279" s="256"/>
    </row>
    <row r="280" spans="1:8" x14ac:dyDescent="0.2">
      <c r="A280" s="253" t="s">
        <v>1</v>
      </c>
      <c r="B280" s="275"/>
      <c r="C280" s="276"/>
      <c r="D280" s="230" t="s">
        <v>1646</v>
      </c>
      <c r="E280" s="230" t="s">
        <v>1647</v>
      </c>
      <c r="F280" s="230" t="s">
        <v>1642</v>
      </c>
      <c r="G280" s="231">
        <v>181</v>
      </c>
      <c r="H280" s="264"/>
    </row>
    <row r="281" spans="1:8" x14ac:dyDescent="0.2">
      <c r="A281" s="253" t="s">
        <v>2</v>
      </c>
      <c r="B281" s="275"/>
      <c r="C281" s="276"/>
      <c r="D281" s="230" t="s">
        <v>1655</v>
      </c>
      <c r="E281" s="230" t="s">
        <v>1656</v>
      </c>
      <c r="F281" s="230" t="s">
        <v>1642</v>
      </c>
      <c r="G281" s="231">
        <v>3.5</v>
      </c>
      <c r="H281" s="256"/>
    </row>
    <row r="282" spans="1:8" hidden="1" x14ac:dyDescent="0.2">
      <c r="A282" s="253" t="s">
        <v>3</v>
      </c>
      <c r="B282" s="275"/>
      <c r="C282" s="276"/>
      <c r="D282" s="225"/>
      <c r="E282" s="225"/>
      <c r="F282" s="225"/>
      <c r="G282" s="226"/>
      <c r="H282" s="256"/>
    </row>
    <row r="283" spans="1:8" hidden="1" x14ac:dyDescent="0.2">
      <c r="A283" s="253" t="s">
        <v>4</v>
      </c>
      <c r="B283" s="275"/>
      <c r="C283" s="276"/>
      <c r="D283" s="225"/>
      <c r="E283" s="225"/>
      <c r="F283" s="225"/>
      <c r="G283" s="226"/>
      <c r="H283" s="256"/>
    </row>
    <row r="284" spans="1:8" hidden="1" x14ac:dyDescent="0.2">
      <c r="A284" s="253" t="s">
        <v>5</v>
      </c>
      <c r="B284" s="275"/>
      <c r="C284" s="276"/>
      <c r="D284" s="225"/>
      <c r="E284" s="225"/>
      <c r="F284" s="225"/>
      <c r="G284" s="226"/>
      <c r="H284" s="256"/>
    </row>
    <row r="285" spans="1:8" hidden="1" x14ac:dyDescent="0.2">
      <c r="A285" s="253" t="s">
        <v>6</v>
      </c>
      <c r="B285" s="275"/>
      <c r="C285" s="276"/>
      <c r="D285" s="265"/>
      <c r="E285" s="265"/>
      <c r="F285" s="265"/>
      <c r="G285" s="266"/>
      <c r="H285" s="256"/>
    </row>
    <row r="286" spans="1:8" hidden="1" x14ac:dyDescent="0.2">
      <c r="A286" s="253" t="s">
        <v>7</v>
      </c>
      <c r="B286" s="275"/>
      <c r="C286" s="276"/>
      <c r="D286" s="225"/>
      <c r="E286" s="225"/>
      <c r="F286" s="225"/>
      <c r="G286" s="226"/>
      <c r="H286" s="256"/>
    </row>
    <row r="287" spans="1:8" x14ac:dyDescent="0.2">
      <c r="A287" s="338" t="s">
        <v>10</v>
      </c>
      <c r="B287" s="339"/>
      <c r="C287" s="339"/>
      <c r="D287" s="340"/>
      <c r="E287" s="340"/>
      <c r="F287" s="341"/>
      <c r="G287" s="277">
        <f>SUM(G279:G286)</f>
        <v>188.5</v>
      </c>
      <c r="H287" s="261"/>
    </row>
    <row r="288" spans="1:8" x14ac:dyDescent="0.2">
      <c r="A288" s="253" t="s">
        <v>0</v>
      </c>
      <c r="B288" s="254">
        <f>B279+1</f>
        <v>46133</v>
      </c>
      <c r="C288" s="259"/>
      <c r="D288" s="225"/>
      <c r="E288" s="225"/>
      <c r="F288" s="225"/>
      <c r="G288" s="226"/>
      <c r="H288" s="258"/>
    </row>
    <row r="289" spans="1:8" hidden="1" x14ac:dyDescent="0.2">
      <c r="A289" s="253" t="s">
        <v>1</v>
      </c>
      <c r="B289" s="254"/>
      <c r="C289" s="259"/>
      <c r="D289" s="225"/>
      <c r="E289" s="225"/>
      <c r="F289" s="225"/>
      <c r="G289" s="226"/>
      <c r="H289" s="258"/>
    </row>
    <row r="290" spans="1:8" hidden="1" x14ac:dyDescent="0.2">
      <c r="A290" s="253" t="s">
        <v>2</v>
      </c>
      <c r="B290" s="254"/>
      <c r="C290" s="259"/>
      <c r="D290" s="225"/>
      <c r="E290" s="225"/>
      <c r="F290" s="225"/>
      <c r="G290" s="226"/>
      <c r="H290" s="258"/>
    </row>
    <row r="291" spans="1:8" hidden="1" x14ac:dyDescent="0.2">
      <c r="A291" s="253" t="s">
        <v>3</v>
      </c>
      <c r="B291" s="254"/>
      <c r="C291" s="259"/>
      <c r="D291" s="225"/>
      <c r="E291" s="225"/>
      <c r="F291" s="225"/>
      <c r="G291" s="226"/>
      <c r="H291" s="258"/>
    </row>
    <row r="292" spans="1:8" hidden="1" x14ac:dyDescent="0.2">
      <c r="A292" s="253" t="s">
        <v>4</v>
      </c>
      <c r="B292" s="254"/>
      <c r="C292" s="259"/>
      <c r="D292" s="225"/>
      <c r="E292" s="225"/>
      <c r="F292" s="225"/>
      <c r="G292" s="226"/>
      <c r="H292" s="258"/>
    </row>
    <row r="293" spans="1:8" hidden="1" x14ac:dyDescent="0.2">
      <c r="A293" s="253" t="s">
        <v>5</v>
      </c>
      <c r="B293" s="254"/>
      <c r="C293" s="259"/>
      <c r="D293" s="225"/>
      <c r="E293" s="225"/>
      <c r="F293" s="225"/>
      <c r="G293" s="226"/>
      <c r="H293" s="258"/>
    </row>
    <row r="294" spans="1:8" hidden="1" x14ac:dyDescent="0.2">
      <c r="A294" s="253">
        <v>7</v>
      </c>
      <c r="B294" s="254"/>
      <c r="C294" s="259"/>
      <c r="D294" s="225"/>
      <c r="E294" s="225"/>
      <c r="F294" s="225"/>
      <c r="G294" s="226"/>
      <c r="H294" s="258"/>
    </row>
    <row r="295" spans="1:8" hidden="1" x14ac:dyDescent="0.2">
      <c r="A295" s="253">
        <v>8</v>
      </c>
      <c r="B295" s="254"/>
      <c r="C295" s="280"/>
      <c r="D295" s="225"/>
      <c r="E295" s="225"/>
      <c r="F295" s="225"/>
      <c r="G295" s="226"/>
      <c r="H295" s="224"/>
    </row>
    <row r="296" spans="1:8" x14ac:dyDescent="0.2">
      <c r="A296" s="357" t="s">
        <v>10</v>
      </c>
      <c r="B296" s="345"/>
      <c r="C296" s="345"/>
      <c r="D296" s="345"/>
      <c r="E296" s="345"/>
      <c r="F296" s="346"/>
      <c r="G296" s="260">
        <f>SUM(G288:G295)</f>
        <v>0</v>
      </c>
      <c r="H296" s="278"/>
    </row>
    <row r="297" spans="1:8" s="224" customFormat="1" x14ac:dyDescent="0.2">
      <c r="A297" s="253" t="s">
        <v>0</v>
      </c>
      <c r="B297" s="254">
        <f>B288+1</f>
        <v>46134</v>
      </c>
      <c r="C297" s="259"/>
      <c r="D297" s="230" t="s">
        <v>1646</v>
      </c>
      <c r="E297" s="230" t="s">
        <v>1647</v>
      </c>
      <c r="F297" s="230" t="s">
        <v>1642</v>
      </c>
      <c r="G297" s="231">
        <v>6</v>
      </c>
      <c r="H297" s="256"/>
    </row>
    <row r="298" spans="1:8" s="225" customFormat="1" x14ac:dyDescent="0.2">
      <c r="A298" s="290" t="s">
        <v>1</v>
      </c>
      <c r="B298" s="275"/>
      <c r="C298" s="291"/>
      <c r="D298" s="230" t="s">
        <v>1655</v>
      </c>
      <c r="E298" s="232" t="s">
        <v>1704</v>
      </c>
      <c r="F298" s="230" t="s">
        <v>1642</v>
      </c>
      <c r="G298" s="231">
        <v>48</v>
      </c>
      <c r="H298" s="264"/>
    </row>
    <row r="299" spans="1:8" s="225" customFormat="1" x14ac:dyDescent="0.2">
      <c r="A299" s="290" t="s">
        <v>2</v>
      </c>
      <c r="B299" s="275"/>
      <c r="C299" s="291"/>
      <c r="D299" s="230" t="s">
        <v>1640</v>
      </c>
      <c r="E299" s="230" t="s">
        <v>1705</v>
      </c>
      <c r="F299" s="230" t="s">
        <v>1642</v>
      </c>
      <c r="G299" s="231">
        <v>4</v>
      </c>
      <c r="H299" s="256"/>
    </row>
    <row r="300" spans="1:8" s="225" customFormat="1" x14ac:dyDescent="0.2">
      <c r="A300" s="290" t="s">
        <v>3</v>
      </c>
      <c r="B300" s="275"/>
      <c r="C300" s="291"/>
      <c r="D300" s="230" t="s">
        <v>1079</v>
      </c>
      <c r="E300" s="230" t="s">
        <v>1721</v>
      </c>
      <c r="F300" s="230" t="s">
        <v>1649</v>
      </c>
      <c r="G300" s="231">
        <v>1</v>
      </c>
      <c r="H300" s="256"/>
    </row>
    <row r="301" spans="1:8" s="225" customFormat="1" x14ac:dyDescent="0.2">
      <c r="A301" s="290" t="s">
        <v>4</v>
      </c>
      <c r="B301" s="275"/>
      <c r="C301" s="291"/>
      <c r="D301" s="230" t="s">
        <v>1655</v>
      </c>
      <c r="E301" s="230" t="s">
        <v>1666</v>
      </c>
      <c r="F301" s="230" t="s">
        <v>1661</v>
      </c>
      <c r="G301" s="231">
        <v>6</v>
      </c>
      <c r="H301" s="256"/>
    </row>
    <row r="302" spans="1:8" s="225" customFormat="1" hidden="1" x14ac:dyDescent="0.2">
      <c r="A302" s="290" t="s">
        <v>5</v>
      </c>
      <c r="B302" s="275"/>
      <c r="C302" s="291"/>
      <c r="D302" s="233"/>
      <c r="E302" s="230"/>
      <c r="F302" s="230"/>
      <c r="G302" s="231"/>
      <c r="H302" s="256"/>
    </row>
    <row r="303" spans="1:8" s="225" customFormat="1" hidden="1" x14ac:dyDescent="0.2">
      <c r="A303" s="290" t="s">
        <v>6</v>
      </c>
      <c r="B303" s="275"/>
      <c r="C303" s="292"/>
      <c r="D303" s="292"/>
      <c r="G303" s="226"/>
    </row>
    <row r="304" spans="1:8" x14ac:dyDescent="0.2">
      <c r="A304" s="358" t="s">
        <v>10</v>
      </c>
      <c r="B304" s="347"/>
      <c r="C304" s="347"/>
      <c r="D304" s="347"/>
      <c r="E304" s="347"/>
      <c r="F304" s="348"/>
      <c r="G304" s="262">
        <f>SUM(G297:G303)</f>
        <v>65</v>
      </c>
      <c r="H304" s="293"/>
    </row>
    <row r="305" spans="1:8" s="270" customFormat="1" ht="18" x14ac:dyDescent="0.2">
      <c r="A305" s="349" t="s">
        <v>39</v>
      </c>
      <c r="B305" s="350"/>
      <c r="C305" s="350"/>
      <c r="D305" s="350"/>
      <c r="E305" s="350"/>
      <c r="F305" s="351"/>
      <c r="G305" s="268">
        <f>G278+G287+G296+G304</f>
        <v>253.5</v>
      </c>
      <c r="H305" s="269"/>
    </row>
    <row r="306" spans="1:8" s="270" customFormat="1" ht="18" x14ac:dyDescent="0.2">
      <c r="A306" s="271"/>
      <c r="B306" s="271"/>
      <c r="C306" s="271"/>
      <c r="D306" s="271"/>
      <c r="E306" s="271"/>
      <c r="F306" s="271"/>
      <c r="G306" s="272"/>
    </row>
    <row r="307" spans="1:8" s="270" customFormat="1" ht="18" x14ac:dyDescent="0.2">
      <c r="A307" s="271"/>
      <c r="B307" s="271"/>
      <c r="C307" s="271"/>
      <c r="D307" s="271"/>
      <c r="E307" s="271"/>
      <c r="F307" s="271"/>
      <c r="G307" s="272"/>
    </row>
    <row r="308" spans="1:8" ht="21.95" customHeight="1" x14ac:dyDescent="0.2">
      <c r="A308" s="343" t="s">
        <v>14</v>
      </c>
      <c r="B308" s="343"/>
      <c r="C308" s="343"/>
      <c r="D308" s="343"/>
      <c r="E308" s="343"/>
      <c r="F308" s="343"/>
      <c r="G308" s="343"/>
      <c r="H308" s="343"/>
    </row>
    <row r="309" spans="1:8" s="235" customFormat="1" ht="20.100000000000001" customHeight="1" x14ac:dyDescent="0.2">
      <c r="A309" s="344" t="str">
        <f>A262</f>
        <v>รายงานการสรุปยอดขายของพนักงานขายประจำเดือน เมษายน ปี 2569</v>
      </c>
      <c r="B309" s="344"/>
      <c r="C309" s="344"/>
      <c r="D309" s="344"/>
      <c r="E309" s="344"/>
      <c r="F309" s="344"/>
      <c r="G309" s="344"/>
      <c r="H309" s="344"/>
    </row>
    <row r="310" spans="1:8" s="237" customFormat="1" ht="20.100000000000001" customHeight="1" x14ac:dyDescent="0.35">
      <c r="A310" s="354" t="str">
        <f>$A$3</f>
        <v>พนักงานขาย นายอำนาจ ชัยประภา</v>
      </c>
      <c r="B310" s="354"/>
      <c r="C310" s="354"/>
      <c r="D310" s="354"/>
      <c r="E310" s="236"/>
      <c r="G310" s="238" t="s">
        <v>21</v>
      </c>
      <c r="H310" s="273">
        <f>H263+1</f>
        <v>8</v>
      </c>
    </row>
    <row r="311" spans="1:8" s="237" customFormat="1" ht="20.100000000000001" customHeight="1" x14ac:dyDescent="0.35">
      <c r="A311" s="342"/>
      <c r="B311" s="342"/>
      <c r="C311" s="342"/>
      <c r="D311" s="240"/>
      <c r="E311" s="236"/>
      <c r="F311" s="274">
        <f>$F$4</f>
        <v>46107</v>
      </c>
      <c r="G311" s="242" t="s">
        <v>82</v>
      </c>
      <c r="H311" s="274">
        <f>$H$4</f>
        <v>46136</v>
      </c>
    </row>
    <row r="312" spans="1:8" x14ac:dyDescent="0.2">
      <c r="A312" s="243" t="s">
        <v>23</v>
      </c>
      <c r="B312" s="244" t="s">
        <v>11</v>
      </c>
      <c r="C312" s="245" t="s">
        <v>26</v>
      </c>
      <c r="D312" s="245" t="s">
        <v>83</v>
      </c>
      <c r="E312" s="243" t="s">
        <v>16</v>
      </c>
      <c r="F312" s="243" t="s">
        <v>17</v>
      </c>
      <c r="G312" s="246" t="s">
        <v>18</v>
      </c>
      <c r="H312" s="243" t="s">
        <v>19</v>
      </c>
    </row>
    <row r="313" spans="1:8" x14ac:dyDescent="0.2">
      <c r="A313" s="247"/>
      <c r="B313" s="248"/>
      <c r="C313" s="249"/>
      <c r="D313" s="249"/>
      <c r="E313" s="247"/>
      <c r="F313" s="247"/>
      <c r="G313" s="288" t="s">
        <v>20</v>
      </c>
      <c r="H313" s="247"/>
    </row>
    <row r="314" spans="1:8" x14ac:dyDescent="0.2">
      <c r="A314" s="253" t="s">
        <v>0</v>
      </c>
      <c r="B314" s="254">
        <f>B297+1</f>
        <v>46135</v>
      </c>
      <c r="C314" s="259"/>
      <c r="D314" s="230" t="s">
        <v>1494</v>
      </c>
      <c r="E314" s="230" t="s">
        <v>1739</v>
      </c>
      <c r="F314" s="230" t="s">
        <v>1652</v>
      </c>
      <c r="G314" s="231">
        <v>4</v>
      </c>
      <c r="H314" s="258"/>
    </row>
    <row r="315" spans="1:8" x14ac:dyDescent="0.2">
      <c r="A315" s="253" t="s">
        <v>1</v>
      </c>
      <c r="B315" s="254"/>
      <c r="C315" s="259"/>
      <c r="D315" s="230" t="s">
        <v>1646</v>
      </c>
      <c r="E315" s="232" t="s">
        <v>1647</v>
      </c>
      <c r="F315" s="230" t="s">
        <v>1642</v>
      </c>
      <c r="G315" s="231">
        <v>180</v>
      </c>
      <c r="H315" s="257"/>
    </row>
    <row r="316" spans="1:8" x14ac:dyDescent="0.2">
      <c r="A316" s="253" t="s">
        <v>2</v>
      </c>
      <c r="B316" s="254"/>
      <c r="C316" s="259"/>
      <c r="D316" s="230" t="s">
        <v>1655</v>
      </c>
      <c r="E316" s="232" t="s">
        <v>1704</v>
      </c>
      <c r="F316" s="230" t="s">
        <v>222</v>
      </c>
      <c r="G316" s="231">
        <v>4</v>
      </c>
      <c r="H316" s="258"/>
    </row>
    <row r="317" spans="1:8" x14ac:dyDescent="0.2">
      <c r="A317" s="253" t="s">
        <v>3</v>
      </c>
      <c r="B317" s="254"/>
      <c r="C317" s="259"/>
      <c r="D317" s="230" t="s">
        <v>1655</v>
      </c>
      <c r="E317" s="232" t="s">
        <v>1704</v>
      </c>
      <c r="F317" s="230" t="s">
        <v>1642</v>
      </c>
      <c r="G317" s="231">
        <v>23</v>
      </c>
      <c r="H317" s="258"/>
    </row>
    <row r="318" spans="1:8" x14ac:dyDescent="0.2">
      <c r="A318" s="253" t="s">
        <v>4</v>
      </c>
      <c r="B318" s="254"/>
      <c r="C318" s="259"/>
      <c r="D318" s="230" t="s">
        <v>1740</v>
      </c>
      <c r="E318" s="232" t="s">
        <v>1663</v>
      </c>
      <c r="F318" s="230" t="s">
        <v>1648</v>
      </c>
      <c r="G318" s="231">
        <v>5</v>
      </c>
      <c r="H318" s="258"/>
    </row>
    <row r="319" spans="1:8" x14ac:dyDescent="0.2">
      <c r="A319" s="253"/>
      <c r="B319" s="254"/>
      <c r="C319" s="259"/>
      <c r="D319" s="230" t="s">
        <v>361</v>
      </c>
      <c r="E319" s="232" t="s">
        <v>1673</v>
      </c>
      <c r="F319" s="230" t="s">
        <v>1652</v>
      </c>
      <c r="G319" s="231">
        <v>4</v>
      </c>
      <c r="H319" s="258"/>
    </row>
    <row r="320" spans="1:8" x14ac:dyDescent="0.2">
      <c r="A320" s="253" t="s">
        <v>5</v>
      </c>
      <c r="B320" s="254"/>
      <c r="C320" s="259"/>
      <c r="D320" s="230" t="s">
        <v>361</v>
      </c>
      <c r="E320" s="232" t="s">
        <v>1741</v>
      </c>
      <c r="F320" s="230" t="s">
        <v>1652</v>
      </c>
      <c r="G320" s="231">
        <v>11</v>
      </c>
      <c r="H320" s="258"/>
    </row>
    <row r="321" spans="1:8" x14ac:dyDescent="0.2">
      <c r="A321" s="253" t="s">
        <v>6</v>
      </c>
      <c r="B321" s="254"/>
      <c r="C321" s="259"/>
      <c r="D321" s="230" t="s">
        <v>1657</v>
      </c>
      <c r="E321" s="232" t="s">
        <v>1658</v>
      </c>
      <c r="F321" s="230" t="s">
        <v>1642</v>
      </c>
      <c r="G321" s="231">
        <v>50</v>
      </c>
      <c r="H321" s="258"/>
    </row>
    <row r="322" spans="1:8" x14ac:dyDescent="0.2">
      <c r="A322" s="338" t="s">
        <v>10</v>
      </c>
      <c r="B322" s="339"/>
      <c r="C322" s="339"/>
      <c r="D322" s="345"/>
      <c r="E322" s="345"/>
      <c r="F322" s="346"/>
      <c r="G322" s="260">
        <f>SUM(G314:G321)</f>
        <v>281</v>
      </c>
      <c r="H322" s="278"/>
    </row>
    <row r="323" spans="1:8" x14ac:dyDescent="0.2">
      <c r="A323" s="253" t="s">
        <v>0</v>
      </c>
      <c r="B323" s="254">
        <f>B314+1</f>
        <v>46136</v>
      </c>
      <c r="C323" s="259"/>
      <c r="D323" s="230" t="s">
        <v>1655</v>
      </c>
      <c r="E323" s="230" t="s">
        <v>1704</v>
      </c>
      <c r="F323" s="230" t="s">
        <v>1642</v>
      </c>
      <c r="G323" s="231">
        <v>15</v>
      </c>
      <c r="H323" s="256"/>
    </row>
    <row r="324" spans="1:8" x14ac:dyDescent="0.2">
      <c r="A324" s="253" t="s">
        <v>1</v>
      </c>
      <c r="B324" s="254"/>
      <c r="C324" s="259"/>
      <c r="D324" s="230" t="s">
        <v>1740</v>
      </c>
      <c r="E324" s="230" t="s">
        <v>1663</v>
      </c>
      <c r="F324" s="230" t="s">
        <v>1648</v>
      </c>
      <c r="G324" s="231">
        <v>12</v>
      </c>
      <c r="H324" s="264"/>
    </row>
    <row r="325" spans="1:8" x14ac:dyDescent="0.2">
      <c r="A325" s="253" t="s">
        <v>2</v>
      </c>
      <c r="B325" s="254"/>
      <c r="C325" s="259"/>
      <c r="D325" s="230" t="s">
        <v>361</v>
      </c>
      <c r="E325" s="230" t="s">
        <v>1673</v>
      </c>
      <c r="F325" s="230" t="s">
        <v>1694</v>
      </c>
      <c r="G325" s="231">
        <v>8</v>
      </c>
      <c r="H325" s="256"/>
    </row>
    <row r="326" spans="1:8" x14ac:dyDescent="0.2">
      <c r="A326" s="253" t="s">
        <v>3</v>
      </c>
      <c r="B326" s="254"/>
      <c r="C326" s="259"/>
      <c r="D326" s="230" t="s">
        <v>361</v>
      </c>
      <c r="E326" s="230" t="s">
        <v>1741</v>
      </c>
      <c r="F326" s="230" t="s">
        <v>1652</v>
      </c>
      <c r="G326" s="231">
        <v>4.5</v>
      </c>
      <c r="H326" s="256"/>
    </row>
    <row r="327" spans="1:8" x14ac:dyDescent="0.2">
      <c r="A327" s="253" t="s">
        <v>4</v>
      </c>
      <c r="B327" s="254"/>
      <c r="C327" s="259"/>
      <c r="D327" s="230" t="s">
        <v>1657</v>
      </c>
      <c r="E327" s="230" t="s">
        <v>1658</v>
      </c>
      <c r="F327" s="230" t="s">
        <v>222</v>
      </c>
      <c r="G327" s="231">
        <v>6</v>
      </c>
      <c r="H327" s="258"/>
    </row>
    <row r="328" spans="1:8" hidden="1" x14ac:dyDescent="0.2">
      <c r="A328" s="253" t="s">
        <v>5</v>
      </c>
      <c r="B328" s="254"/>
      <c r="C328" s="259"/>
      <c r="D328" s="230"/>
      <c r="E328" s="230"/>
      <c r="F328" s="230"/>
      <c r="G328" s="231"/>
      <c r="H328" s="258"/>
    </row>
    <row r="329" spans="1:8" hidden="1" x14ac:dyDescent="0.2">
      <c r="A329" s="253">
        <v>7</v>
      </c>
      <c r="B329" s="254"/>
      <c r="C329" s="259"/>
      <c r="D329" s="230"/>
      <c r="E329" s="230"/>
      <c r="F329" s="230"/>
      <c r="G329" s="231"/>
      <c r="H329" s="258"/>
    </row>
    <row r="330" spans="1:8" hidden="1" x14ac:dyDescent="0.2">
      <c r="A330" s="253">
        <v>8</v>
      </c>
      <c r="B330" s="254"/>
      <c r="C330" s="259"/>
      <c r="D330" s="230"/>
      <c r="E330" s="230"/>
      <c r="F330" s="230"/>
      <c r="G330" s="231"/>
      <c r="H330" s="258"/>
    </row>
    <row r="331" spans="1:8" hidden="1" x14ac:dyDescent="0.2">
      <c r="A331" s="253">
        <v>9</v>
      </c>
      <c r="B331" s="254"/>
      <c r="C331" s="259"/>
      <c r="D331" s="230"/>
      <c r="E331" s="230"/>
      <c r="F331" s="230"/>
      <c r="G331" s="231"/>
      <c r="H331" s="258"/>
    </row>
    <row r="332" spans="1:8" x14ac:dyDescent="0.2">
      <c r="A332" s="338" t="s">
        <v>10</v>
      </c>
      <c r="B332" s="339"/>
      <c r="C332" s="339"/>
      <c r="D332" s="345"/>
      <c r="E332" s="345"/>
      <c r="F332" s="346"/>
      <c r="G332" s="260">
        <f>SUM(G323:G331)</f>
        <v>45.5</v>
      </c>
      <c r="H332" s="261"/>
    </row>
    <row r="333" spans="1:8" x14ac:dyDescent="0.2">
      <c r="A333" s="253" t="s">
        <v>0</v>
      </c>
      <c r="B333" s="254">
        <f>B323+1</f>
        <v>46137</v>
      </c>
      <c r="C333" s="259"/>
      <c r="D333" s="225"/>
      <c r="E333" s="225"/>
      <c r="F333" s="225"/>
      <c r="G333" s="226"/>
      <c r="H333" s="258"/>
    </row>
    <row r="334" spans="1:8" x14ac:dyDescent="0.2">
      <c r="A334" s="253" t="s">
        <v>1</v>
      </c>
      <c r="B334" s="254"/>
      <c r="C334" s="259"/>
      <c r="D334" s="225"/>
      <c r="E334" s="225"/>
      <c r="F334" s="225"/>
      <c r="G334" s="226"/>
      <c r="H334" s="258"/>
    </row>
    <row r="335" spans="1:8" x14ac:dyDescent="0.2">
      <c r="A335" s="253" t="s">
        <v>2</v>
      </c>
      <c r="B335" s="254"/>
      <c r="C335" s="280"/>
      <c r="D335" s="280"/>
      <c r="E335" s="224"/>
      <c r="F335" s="224"/>
      <c r="G335" s="286"/>
      <c r="H335" s="224"/>
    </row>
    <row r="336" spans="1:8" x14ac:dyDescent="0.2">
      <c r="A336" s="253" t="s">
        <v>3</v>
      </c>
      <c r="B336" s="254"/>
      <c r="C336" s="280"/>
      <c r="D336" s="280"/>
      <c r="E336" s="224"/>
      <c r="F336" s="224"/>
      <c r="G336" s="286"/>
      <c r="H336" s="224"/>
    </row>
    <row r="337" spans="1:8" x14ac:dyDescent="0.2">
      <c r="A337" s="253" t="s">
        <v>4</v>
      </c>
      <c r="B337" s="254"/>
      <c r="C337" s="280"/>
      <c r="D337" s="280"/>
      <c r="E337" s="224"/>
      <c r="F337" s="224"/>
      <c r="G337" s="286"/>
      <c r="H337" s="224"/>
    </row>
    <row r="338" spans="1:8" x14ac:dyDescent="0.2">
      <c r="A338" s="253" t="s">
        <v>5</v>
      </c>
      <c r="B338" s="254"/>
      <c r="C338" s="280"/>
      <c r="D338" s="280"/>
      <c r="E338" s="224"/>
      <c r="F338" s="224"/>
      <c r="G338" s="286"/>
      <c r="H338" s="224"/>
    </row>
    <row r="339" spans="1:8" x14ac:dyDescent="0.2">
      <c r="A339" s="253" t="s">
        <v>6</v>
      </c>
      <c r="B339" s="254"/>
      <c r="C339" s="280"/>
      <c r="D339" s="280"/>
      <c r="E339" s="224"/>
      <c r="F339" s="224"/>
      <c r="G339" s="286"/>
      <c r="H339" s="224"/>
    </row>
    <row r="340" spans="1:8" x14ac:dyDescent="0.2">
      <c r="A340" s="338" t="s">
        <v>10</v>
      </c>
      <c r="B340" s="339"/>
      <c r="C340" s="339"/>
      <c r="D340" s="345"/>
      <c r="E340" s="345"/>
      <c r="F340" s="346"/>
      <c r="G340" s="260">
        <f>SUM(G333:G339)</f>
        <v>0</v>
      </c>
      <c r="H340" s="261"/>
    </row>
    <row r="341" spans="1:8" x14ac:dyDescent="0.2">
      <c r="A341" s="253" t="s">
        <v>0</v>
      </c>
      <c r="B341" s="254">
        <f>B333+1</f>
        <v>46138</v>
      </c>
      <c r="C341" s="259"/>
      <c r="D341" s="225"/>
      <c r="E341" s="225"/>
      <c r="F341" s="225"/>
      <c r="G341" s="226"/>
      <c r="H341" s="258"/>
    </row>
    <row r="342" spans="1:8" x14ac:dyDescent="0.2">
      <c r="A342" s="253" t="s">
        <v>1</v>
      </c>
      <c r="B342" s="254"/>
      <c r="C342" s="259"/>
      <c r="D342" s="225"/>
      <c r="E342" s="225"/>
      <c r="F342" s="225"/>
      <c r="G342" s="226"/>
      <c r="H342" s="258"/>
    </row>
    <row r="343" spans="1:8" x14ac:dyDescent="0.2">
      <c r="A343" s="253" t="s">
        <v>2</v>
      </c>
      <c r="B343" s="254"/>
      <c r="C343" s="280"/>
      <c r="D343" s="280"/>
      <c r="E343" s="224"/>
      <c r="F343" s="224"/>
      <c r="G343" s="286"/>
      <c r="H343" s="224"/>
    </row>
    <row r="344" spans="1:8" x14ac:dyDescent="0.2">
      <c r="A344" s="253" t="s">
        <v>3</v>
      </c>
      <c r="B344" s="254"/>
      <c r="C344" s="280"/>
      <c r="D344" s="280"/>
      <c r="E344" s="224"/>
      <c r="F344" s="224"/>
      <c r="G344" s="286"/>
      <c r="H344" s="224"/>
    </row>
    <row r="345" spans="1:8" x14ac:dyDescent="0.2">
      <c r="A345" s="253" t="s">
        <v>4</v>
      </c>
      <c r="B345" s="254"/>
      <c r="C345" s="280"/>
      <c r="D345" s="280"/>
      <c r="E345" s="224"/>
      <c r="F345" s="224"/>
      <c r="G345" s="286"/>
      <c r="H345" s="224"/>
    </row>
    <row r="346" spans="1:8" x14ac:dyDescent="0.2">
      <c r="A346" s="253" t="s">
        <v>5</v>
      </c>
      <c r="B346" s="254"/>
      <c r="C346" s="280"/>
      <c r="D346" s="280"/>
      <c r="E346" s="224"/>
      <c r="F346" s="224"/>
      <c r="G346" s="286"/>
      <c r="H346" s="224"/>
    </row>
    <row r="347" spans="1:8" x14ac:dyDescent="0.2">
      <c r="A347" s="253" t="s">
        <v>6</v>
      </c>
      <c r="B347" s="254"/>
      <c r="C347" s="280"/>
      <c r="D347" s="280"/>
      <c r="E347" s="224"/>
      <c r="F347" s="224"/>
      <c r="G347" s="286"/>
      <c r="H347" s="224"/>
    </row>
    <row r="348" spans="1:8" x14ac:dyDescent="0.2">
      <c r="A348" s="338" t="s">
        <v>10</v>
      </c>
      <c r="B348" s="339"/>
      <c r="C348" s="339"/>
      <c r="D348" s="345"/>
      <c r="E348" s="345"/>
      <c r="F348" s="346"/>
      <c r="G348" s="260">
        <f>SUM(G341:G347)</f>
        <v>0</v>
      </c>
      <c r="H348" s="261"/>
    </row>
    <row r="349" spans="1:8" x14ac:dyDescent="0.2">
      <c r="A349" s="253" t="s">
        <v>0</v>
      </c>
      <c r="B349" s="254">
        <f>B341+1</f>
        <v>46139</v>
      </c>
      <c r="C349" s="259"/>
      <c r="D349" s="225"/>
      <c r="E349" s="225"/>
      <c r="F349" s="225"/>
      <c r="G349" s="226"/>
      <c r="H349" s="258"/>
    </row>
    <row r="350" spans="1:8" x14ac:dyDescent="0.2">
      <c r="A350" s="253" t="s">
        <v>1</v>
      </c>
      <c r="B350" s="254"/>
      <c r="C350" s="259"/>
      <c r="D350" s="225"/>
      <c r="E350" s="225"/>
      <c r="F350" s="225"/>
      <c r="G350" s="226"/>
      <c r="H350" s="258"/>
    </row>
    <row r="351" spans="1:8" x14ac:dyDescent="0.2">
      <c r="A351" s="253" t="s">
        <v>2</v>
      </c>
      <c r="B351" s="254"/>
      <c r="C351" s="280"/>
      <c r="D351" s="280"/>
      <c r="E351" s="224"/>
      <c r="F351" s="224"/>
      <c r="G351" s="286"/>
      <c r="H351" s="224"/>
    </row>
    <row r="352" spans="1:8" x14ac:dyDescent="0.2">
      <c r="A352" s="253" t="s">
        <v>3</v>
      </c>
      <c r="B352" s="254"/>
      <c r="C352" s="280"/>
      <c r="D352" s="280"/>
      <c r="E352" s="224"/>
      <c r="F352" s="224"/>
      <c r="G352" s="286"/>
      <c r="H352" s="224"/>
    </row>
    <row r="353" spans="1:8" x14ac:dyDescent="0.2">
      <c r="A353" s="253" t="s">
        <v>4</v>
      </c>
      <c r="B353" s="254"/>
      <c r="C353" s="280"/>
      <c r="D353" s="280"/>
      <c r="E353" s="224"/>
      <c r="F353" s="224"/>
      <c r="G353" s="286"/>
      <c r="H353" s="224"/>
    </row>
    <row r="354" spans="1:8" x14ac:dyDescent="0.2">
      <c r="A354" s="253" t="s">
        <v>5</v>
      </c>
      <c r="B354" s="254"/>
      <c r="C354" s="280"/>
      <c r="D354" s="280"/>
      <c r="E354" s="224"/>
      <c r="F354" s="224"/>
      <c r="G354" s="286"/>
      <c r="H354" s="224"/>
    </row>
    <row r="355" spans="1:8" x14ac:dyDescent="0.2">
      <c r="A355" s="253" t="s">
        <v>6</v>
      </c>
      <c r="B355" s="254"/>
      <c r="C355" s="280"/>
      <c r="D355" s="280"/>
      <c r="E355" s="224"/>
      <c r="F355" s="224"/>
      <c r="G355" s="286"/>
      <c r="H355" s="224"/>
    </row>
    <row r="356" spans="1:8" x14ac:dyDescent="0.2">
      <c r="A356" s="338" t="s">
        <v>10</v>
      </c>
      <c r="B356" s="339"/>
      <c r="C356" s="339"/>
      <c r="D356" s="345"/>
      <c r="E356" s="345"/>
      <c r="F356" s="346"/>
      <c r="G356" s="260">
        <f>SUM(G349:G355)</f>
        <v>0</v>
      </c>
      <c r="H356" s="261"/>
    </row>
    <row r="357" spans="1:8" x14ac:dyDescent="0.2">
      <c r="A357" s="253" t="s">
        <v>0</v>
      </c>
      <c r="B357" s="254">
        <f>B349+1</f>
        <v>46140</v>
      </c>
      <c r="C357" s="259"/>
      <c r="D357" s="225"/>
      <c r="E357" s="225"/>
      <c r="F357" s="225"/>
      <c r="G357" s="226"/>
      <c r="H357" s="258"/>
    </row>
    <row r="358" spans="1:8" x14ac:dyDescent="0.2">
      <c r="A358" s="253" t="s">
        <v>1</v>
      </c>
      <c r="B358" s="254"/>
      <c r="C358" s="259"/>
      <c r="D358" s="225"/>
      <c r="E358" s="225"/>
      <c r="F358" s="225"/>
      <c r="G358" s="226"/>
      <c r="H358" s="258"/>
    </row>
    <row r="359" spans="1:8" x14ac:dyDescent="0.2">
      <c r="A359" s="253" t="s">
        <v>2</v>
      </c>
      <c r="B359" s="254"/>
      <c r="C359" s="280"/>
      <c r="D359" s="280"/>
      <c r="E359" s="224"/>
      <c r="F359" s="224"/>
      <c r="G359" s="286"/>
      <c r="H359" s="224"/>
    </row>
    <row r="360" spans="1:8" x14ac:dyDescent="0.2">
      <c r="A360" s="253" t="s">
        <v>3</v>
      </c>
      <c r="B360" s="254"/>
      <c r="C360" s="280"/>
      <c r="D360" s="280"/>
      <c r="E360" s="224"/>
      <c r="F360" s="224"/>
      <c r="G360" s="286"/>
      <c r="H360" s="224"/>
    </row>
    <row r="361" spans="1:8" x14ac:dyDescent="0.2">
      <c r="A361" s="253" t="s">
        <v>4</v>
      </c>
      <c r="B361" s="254"/>
      <c r="C361" s="280"/>
      <c r="D361" s="280"/>
      <c r="E361" s="224"/>
      <c r="F361" s="224"/>
      <c r="G361" s="286"/>
      <c r="H361" s="224"/>
    </row>
    <row r="362" spans="1:8" x14ac:dyDescent="0.2">
      <c r="A362" s="253" t="s">
        <v>5</v>
      </c>
      <c r="B362" s="254"/>
      <c r="C362" s="280"/>
      <c r="D362" s="280"/>
      <c r="E362" s="224"/>
      <c r="F362" s="224"/>
      <c r="G362" s="286"/>
      <c r="H362" s="224"/>
    </row>
    <row r="363" spans="1:8" x14ac:dyDescent="0.2">
      <c r="A363" s="253" t="s">
        <v>6</v>
      </c>
      <c r="B363" s="254"/>
      <c r="C363" s="280"/>
      <c r="D363" s="280"/>
      <c r="E363" s="224"/>
      <c r="F363" s="224"/>
      <c r="G363" s="286"/>
      <c r="H363" s="224"/>
    </row>
    <row r="364" spans="1:8" x14ac:dyDescent="0.2">
      <c r="A364" s="338" t="s">
        <v>10</v>
      </c>
      <c r="B364" s="339"/>
      <c r="C364" s="339"/>
      <c r="D364" s="345"/>
      <c r="E364" s="345"/>
      <c r="F364" s="346"/>
      <c r="G364" s="260">
        <f>SUM(G357:G363)</f>
        <v>0</v>
      </c>
      <c r="H364" s="261"/>
    </row>
    <row r="365" spans="1:8" x14ac:dyDescent="0.2">
      <c r="A365" s="253" t="s">
        <v>0</v>
      </c>
      <c r="B365" s="254">
        <f>B357+1</f>
        <v>46141</v>
      </c>
      <c r="C365" s="259"/>
      <c r="D365" s="225"/>
      <c r="E365" s="225"/>
      <c r="F365" s="225"/>
      <c r="G365" s="226"/>
      <c r="H365" s="258"/>
    </row>
    <row r="366" spans="1:8" x14ac:dyDescent="0.2">
      <c r="A366" s="253" t="s">
        <v>1</v>
      </c>
      <c r="B366" s="254"/>
      <c r="C366" s="259"/>
      <c r="D366" s="225"/>
      <c r="E366" s="225"/>
      <c r="F366" s="225"/>
      <c r="G366" s="226"/>
      <c r="H366" s="257"/>
    </row>
    <row r="367" spans="1:8" x14ac:dyDescent="0.2">
      <c r="A367" s="253" t="s">
        <v>2</v>
      </c>
      <c r="B367" s="254"/>
      <c r="C367" s="280"/>
      <c r="D367" s="280"/>
      <c r="E367" s="224"/>
      <c r="F367" s="224"/>
      <c r="G367" s="281"/>
      <c r="H367" s="224"/>
    </row>
    <row r="368" spans="1:8" x14ac:dyDescent="0.2">
      <c r="A368" s="253" t="s">
        <v>3</v>
      </c>
      <c r="B368" s="254"/>
      <c r="C368" s="280"/>
      <c r="D368" s="280"/>
      <c r="E368" s="224"/>
      <c r="F368" s="224"/>
      <c r="G368" s="281"/>
      <c r="H368" s="224"/>
    </row>
    <row r="369" spans="1:8" x14ac:dyDescent="0.2">
      <c r="A369" s="253" t="s">
        <v>4</v>
      </c>
      <c r="B369" s="254"/>
      <c r="C369" s="280"/>
      <c r="D369" s="280"/>
      <c r="E369" s="224"/>
      <c r="F369" s="224"/>
      <c r="G369" s="281"/>
      <c r="H369" s="224"/>
    </row>
    <row r="370" spans="1:8" x14ac:dyDescent="0.2">
      <c r="A370" s="253" t="s">
        <v>5</v>
      </c>
      <c r="B370" s="254"/>
      <c r="C370" s="280"/>
      <c r="D370" s="280"/>
      <c r="E370" s="224"/>
      <c r="F370" s="224"/>
      <c r="G370" s="281"/>
      <c r="H370" s="224"/>
    </row>
    <row r="371" spans="1:8" x14ac:dyDescent="0.2">
      <c r="A371" s="253" t="s">
        <v>6</v>
      </c>
      <c r="B371" s="254"/>
      <c r="C371" s="280"/>
      <c r="D371" s="280"/>
      <c r="E371" s="224"/>
      <c r="F371" s="224"/>
      <c r="G371" s="281"/>
      <c r="H371" s="224"/>
    </row>
    <row r="372" spans="1:8" x14ac:dyDescent="0.2">
      <c r="A372" s="338" t="s">
        <v>10</v>
      </c>
      <c r="B372" s="339"/>
      <c r="C372" s="339"/>
      <c r="D372" s="339"/>
      <c r="E372" s="339"/>
      <c r="F372" s="352"/>
      <c r="G372" s="267">
        <f>SUM(G365:G371)</f>
        <v>0</v>
      </c>
      <c r="H372" s="261"/>
    </row>
    <row r="373" spans="1:8" s="270" customFormat="1" ht="18" x14ac:dyDescent="0.2">
      <c r="A373" s="349" t="s">
        <v>39</v>
      </c>
      <c r="B373" s="350"/>
      <c r="C373" s="350"/>
      <c r="D373" s="350"/>
      <c r="E373" s="350"/>
      <c r="F373" s="351"/>
      <c r="G373" s="268">
        <f>G322+G332+G340+G348+G356+G364+G372</f>
        <v>326.5</v>
      </c>
      <c r="H373" s="269"/>
    </row>
    <row r="374" spans="1:8" s="270" customFormat="1" ht="21" x14ac:dyDescent="0.2">
      <c r="A374" s="359" t="s">
        <v>84</v>
      </c>
      <c r="B374" s="359"/>
      <c r="C374" s="359"/>
      <c r="D374" s="359"/>
      <c r="E374" s="359"/>
      <c r="F374" s="359"/>
      <c r="G374" s="294">
        <f>G41+G86+G127+G171+G212+G258+G305+G373</f>
        <v>2322</v>
      </c>
      <c r="H374" s="295" t="s">
        <v>85</v>
      </c>
    </row>
    <row r="375" spans="1:8" s="270" customFormat="1" ht="18" x14ac:dyDescent="0.2">
      <c r="A375" s="271"/>
      <c r="B375" s="271"/>
      <c r="C375" s="271"/>
      <c r="D375" s="271"/>
      <c r="E375" s="271"/>
      <c r="F375" s="271"/>
      <c r="G375" s="272"/>
    </row>
  </sheetData>
  <mergeCells count="76">
    <mergeCell ref="A171:F171"/>
    <mergeCell ref="A174:H174"/>
    <mergeCell ref="A92:C92"/>
    <mergeCell ref="A133:C133"/>
    <mergeCell ref="A144:F144"/>
    <mergeCell ref="A152:F152"/>
    <mergeCell ref="A160:F160"/>
    <mergeCell ref="A170:F170"/>
    <mergeCell ref="A126:F126"/>
    <mergeCell ref="A127:F127"/>
    <mergeCell ref="A130:H130"/>
    <mergeCell ref="A131:H131"/>
    <mergeCell ref="A102:F102"/>
    <mergeCell ref="A110:F110"/>
    <mergeCell ref="A118:F118"/>
    <mergeCell ref="A332:F332"/>
    <mergeCell ref="A340:F340"/>
    <mergeCell ref="A372:F372"/>
    <mergeCell ref="A373:F373"/>
    <mergeCell ref="A374:F374"/>
    <mergeCell ref="A348:F348"/>
    <mergeCell ref="A356:F356"/>
    <mergeCell ref="A364:F364"/>
    <mergeCell ref="A311:C311"/>
    <mergeCell ref="A322:F322"/>
    <mergeCell ref="A287:F287"/>
    <mergeCell ref="A296:F296"/>
    <mergeCell ref="A304:F304"/>
    <mergeCell ref="A305:F305"/>
    <mergeCell ref="A308:H308"/>
    <mergeCell ref="A309:H309"/>
    <mergeCell ref="A310:D310"/>
    <mergeCell ref="A264:C264"/>
    <mergeCell ref="A278:F278"/>
    <mergeCell ref="A241:F241"/>
    <mergeCell ref="A249:F249"/>
    <mergeCell ref="A257:F257"/>
    <mergeCell ref="A258:F258"/>
    <mergeCell ref="A261:H261"/>
    <mergeCell ref="A262:H262"/>
    <mergeCell ref="A263:D263"/>
    <mergeCell ref="A90:H90"/>
    <mergeCell ref="A218:C218"/>
    <mergeCell ref="A228:F228"/>
    <mergeCell ref="A195:F195"/>
    <mergeCell ref="A203:F203"/>
    <mergeCell ref="A211:F211"/>
    <mergeCell ref="A212:F212"/>
    <mergeCell ref="A215:H215"/>
    <mergeCell ref="A216:H216"/>
    <mergeCell ref="A91:D91"/>
    <mergeCell ref="A132:D132"/>
    <mergeCell ref="A176:D176"/>
    <mergeCell ref="A217:D217"/>
    <mergeCell ref="A175:H175"/>
    <mergeCell ref="A177:C177"/>
    <mergeCell ref="A187:F187"/>
    <mergeCell ref="A66:F66"/>
    <mergeCell ref="A76:F76"/>
    <mergeCell ref="A85:F85"/>
    <mergeCell ref="A86:F86"/>
    <mergeCell ref="A89:H89"/>
    <mergeCell ref="A57:F57"/>
    <mergeCell ref="A47:C47"/>
    <mergeCell ref="A1:H1"/>
    <mergeCell ref="A2:H2"/>
    <mergeCell ref="A4:C4"/>
    <mergeCell ref="A14:F14"/>
    <mergeCell ref="A24:F24"/>
    <mergeCell ref="A32:F32"/>
    <mergeCell ref="A41:F41"/>
    <mergeCell ref="A44:H44"/>
    <mergeCell ref="A45:H45"/>
    <mergeCell ref="A40:F40"/>
    <mergeCell ref="A3:D3"/>
    <mergeCell ref="A46:D46"/>
  </mergeCells>
  <pageMargins left="0.59055118110236227" right="0.39370078740157483" top="0.74803149606299213" bottom="0.74803149606299213" header="0.31496062992125984" footer="0.31496062992125984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3"/>
  <sheetViews>
    <sheetView zoomScale="140" zoomScaleNormal="140" workbookViewId="0">
      <selection activeCell="D26" sqref="D26"/>
    </sheetView>
  </sheetViews>
  <sheetFormatPr defaultColWidth="9" defaultRowHeight="17.25" x14ac:dyDescent="0.2"/>
  <cols>
    <col min="1" max="1" width="4" style="1" bestFit="1" customWidth="1"/>
    <col min="2" max="2" width="10.625" style="7" customWidth="1"/>
    <col min="3" max="3" width="12.625" style="10" hidden="1" customWidth="1"/>
    <col min="4" max="4" width="32" style="297" customWidth="1"/>
    <col min="5" max="5" width="28.875" style="234" customWidth="1"/>
    <col min="6" max="6" width="10.625" style="234" customWidth="1"/>
    <col min="7" max="7" width="7.625" style="298" customWidth="1"/>
    <col min="8" max="8" width="15.625" style="1" customWidth="1"/>
    <col min="9" max="16384" width="9" style="1"/>
  </cols>
  <sheetData>
    <row r="1" spans="1:8" ht="21.95" customHeight="1" x14ac:dyDescent="0.2">
      <c r="A1" s="319" t="s">
        <v>14</v>
      </c>
      <c r="B1" s="319"/>
      <c r="C1" s="319"/>
      <c r="D1" s="319"/>
      <c r="E1" s="319"/>
      <c r="F1" s="319"/>
      <c r="G1" s="319"/>
      <c r="H1" s="319"/>
    </row>
    <row r="2" spans="1:8" s="9" customFormat="1" ht="20.100000000000001" customHeight="1" x14ac:dyDescent="0.2">
      <c r="A2" s="335" t="str">
        <f>'เซลล์ (งานเครดิต)'!A2:H2</f>
        <v>รายงานการสรุปยอดขายของพนักงานขายประจำเดือน เมษายน ปี 2569</v>
      </c>
      <c r="B2" s="335"/>
      <c r="C2" s="335"/>
      <c r="D2" s="335"/>
      <c r="E2" s="335"/>
      <c r="F2" s="335"/>
      <c r="G2" s="335"/>
      <c r="H2" s="335"/>
    </row>
    <row r="3" spans="1:8" s="3" customFormat="1" ht="20.100000000000001" customHeight="1" x14ac:dyDescent="0.4">
      <c r="A3" s="320" t="s">
        <v>96</v>
      </c>
      <c r="B3" s="320"/>
      <c r="C3" s="320"/>
      <c r="D3" s="320"/>
      <c r="E3" s="236"/>
      <c r="F3" s="237"/>
      <c r="G3" s="238" t="s">
        <v>21</v>
      </c>
      <c r="H3" s="37">
        <v>1</v>
      </c>
    </row>
    <row r="4" spans="1:8" s="3" customFormat="1" ht="20.100000000000001" customHeight="1" x14ac:dyDescent="0.35">
      <c r="A4" s="311"/>
      <c r="B4" s="311"/>
      <c r="C4" s="311"/>
      <c r="D4" s="240"/>
      <c r="E4" s="236"/>
      <c r="F4" s="241">
        <f>'เซลล์ (งานเครดิต)'!F4</f>
        <v>46107</v>
      </c>
      <c r="G4" s="242" t="s">
        <v>82</v>
      </c>
      <c r="H4" s="36">
        <f>'เซลล์ (งานเครดิต)'!H4</f>
        <v>46136</v>
      </c>
    </row>
    <row r="5" spans="1:8" x14ac:dyDescent="0.2">
      <c r="A5" s="12" t="s">
        <v>23</v>
      </c>
      <c r="B5" s="13" t="s">
        <v>11</v>
      </c>
      <c r="C5" s="14" t="s">
        <v>26</v>
      </c>
      <c r="D5" s="245" t="s">
        <v>83</v>
      </c>
      <c r="E5" s="243" t="s">
        <v>16</v>
      </c>
      <c r="F5" s="243" t="s">
        <v>17</v>
      </c>
      <c r="G5" s="246" t="s">
        <v>18</v>
      </c>
      <c r="H5" s="12" t="s">
        <v>19</v>
      </c>
    </row>
    <row r="6" spans="1:8" x14ac:dyDescent="0.2">
      <c r="A6" s="15"/>
      <c r="B6" s="16"/>
      <c r="C6" s="17"/>
      <c r="D6" s="250"/>
      <c r="E6" s="251"/>
      <c r="F6" s="251"/>
      <c r="G6" s="252" t="s">
        <v>20</v>
      </c>
      <c r="H6" s="87"/>
    </row>
    <row r="7" spans="1:8" x14ac:dyDescent="0.2">
      <c r="A7" s="8" t="s">
        <v>0</v>
      </c>
      <c r="B7" s="5">
        <f>'เซลล์ (งานเครดิต)'!B7</f>
        <v>46107</v>
      </c>
      <c r="C7" s="94"/>
      <c r="D7" s="227" t="s">
        <v>1643</v>
      </c>
      <c r="E7" s="227" t="s">
        <v>1644</v>
      </c>
      <c r="F7" s="227" t="s">
        <v>1645</v>
      </c>
      <c r="G7" s="228">
        <v>5.5</v>
      </c>
      <c r="H7" s="225"/>
    </row>
    <row r="8" spans="1:8" x14ac:dyDescent="0.2">
      <c r="A8" s="8" t="s">
        <v>1</v>
      </c>
      <c r="B8" s="5"/>
      <c r="C8" s="94"/>
      <c r="D8" s="227" t="s">
        <v>1650</v>
      </c>
      <c r="E8" s="227" t="s">
        <v>1651</v>
      </c>
      <c r="F8" s="227" t="s">
        <v>1652</v>
      </c>
      <c r="G8" s="228">
        <v>4</v>
      </c>
      <c r="H8" s="229"/>
    </row>
    <row r="9" spans="1:8" x14ac:dyDescent="0.2">
      <c r="A9" s="8" t="s">
        <v>2</v>
      </c>
      <c r="B9" s="5"/>
      <c r="C9" s="94"/>
      <c r="D9" s="227" t="s">
        <v>1653</v>
      </c>
      <c r="E9" s="227" t="s">
        <v>1654</v>
      </c>
      <c r="F9" s="227" t="s">
        <v>1652</v>
      </c>
      <c r="G9" s="228">
        <v>3</v>
      </c>
      <c r="H9" s="225"/>
    </row>
    <row r="10" spans="1:8" x14ac:dyDescent="0.2">
      <c r="A10" s="8" t="s">
        <v>3</v>
      </c>
      <c r="B10" s="5"/>
      <c r="C10" s="94"/>
      <c r="D10" s="227" t="s">
        <v>1659</v>
      </c>
      <c r="E10" s="227" t="s">
        <v>1660</v>
      </c>
      <c r="F10" s="227" t="s">
        <v>1661</v>
      </c>
      <c r="G10" s="228">
        <v>5</v>
      </c>
      <c r="H10" s="225"/>
    </row>
    <row r="11" spans="1:8" hidden="1" x14ac:dyDescent="0.2">
      <c r="A11" s="8" t="s">
        <v>4</v>
      </c>
      <c r="B11" s="5"/>
      <c r="C11" s="94"/>
      <c r="D11" s="225"/>
      <c r="E11" s="225"/>
      <c r="F11" s="225"/>
      <c r="G11" s="226"/>
      <c r="H11" s="225"/>
    </row>
    <row r="12" spans="1:8" hidden="1" x14ac:dyDescent="0.2">
      <c r="A12" s="8" t="s">
        <v>5</v>
      </c>
      <c r="B12" s="5"/>
      <c r="C12" s="83"/>
      <c r="D12" s="225"/>
      <c r="E12" s="225"/>
      <c r="F12" s="225"/>
      <c r="G12" s="226"/>
      <c r="H12" s="225"/>
    </row>
    <row r="13" spans="1:8" hidden="1" x14ac:dyDescent="0.2">
      <c r="A13" s="8" t="s">
        <v>6</v>
      </c>
      <c r="B13" s="5"/>
      <c r="C13" s="83"/>
      <c r="D13" s="225"/>
      <c r="E13" s="225"/>
      <c r="F13" s="225"/>
      <c r="G13" s="226"/>
      <c r="H13" s="85"/>
    </row>
    <row r="14" spans="1:8" hidden="1" x14ac:dyDescent="0.2">
      <c r="A14" s="8" t="s">
        <v>7</v>
      </c>
      <c r="B14" s="5"/>
      <c r="C14" s="83"/>
      <c r="D14" s="225"/>
      <c r="E14" s="225"/>
      <c r="F14" s="225"/>
      <c r="G14" s="226"/>
      <c r="H14" s="85"/>
    </row>
    <row r="15" spans="1:8" hidden="1" x14ac:dyDescent="0.2">
      <c r="A15" s="8" t="s">
        <v>8</v>
      </c>
      <c r="B15" s="5"/>
      <c r="C15" s="83"/>
      <c r="D15" s="225"/>
      <c r="E15" s="225"/>
      <c r="F15" s="225"/>
      <c r="G15" s="226"/>
      <c r="H15" s="85"/>
    </row>
    <row r="16" spans="1:8" x14ac:dyDescent="0.2">
      <c r="A16" s="312" t="s">
        <v>10</v>
      </c>
      <c r="B16" s="313"/>
      <c r="C16" s="313"/>
      <c r="D16" s="363"/>
      <c r="E16" s="363"/>
      <c r="F16" s="364"/>
      <c r="G16" s="260">
        <f>SUM(G7:G15)</f>
        <v>17.5</v>
      </c>
      <c r="H16" s="11"/>
    </row>
    <row r="17" spans="1:8" x14ac:dyDescent="0.2">
      <c r="A17" s="8" t="s">
        <v>0</v>
      </c>
      <c r="B17" s="5">
        <f>B7+1</f>
        <v>46108</v>
      </c>
      <c r="C17" s="83"/>
      <c r="D17" s="230" t="s">
        <v>1664</v>
      </c>
      <c r="E17" s="230" t="s">
        <v>1665</v>
      </c>
      <c r="F17" s="230" t="s">
        <v>1652</v>
      </c>
      <c r="G17" s="231">
        <v>16</v>
      </c>
      <c r="H17" s="85"/>
    </row>
    <row r="18" spans="1:8" x14ac:dyDescent="0.2">
      <c r="A18" s="8" t="s">
        <v>1</v>
      </c>
      <c r="B18" s="5"/>
      <c r="C18" s="83"/>
      <c r="D18" s="230" t="s">
        <v>1669</v>
      </c>
      <c r="E18" s="230" t="s">
        <v>1670</v>
      </c>
      <c r="F18" s="230" t="s">
        <v>1652</v>
      </c>
      <c r="G18" s="231">
        <v>15</v>
      </c>
      <c r="H18" s="85"/>
    </row>
    <row r="19" spans="1:8" hidden="1" x14ac:dyDescent="0.2">
      <c r="A19" s="8" t="s">
        <v>2</v>
      </c>
      <c r="B19" s="5"/>
      <c r="C19" s="83"/>
      <c r="D19" s="225"/>
      <c r="E19" s="225"/>
      <c r="F19" s="225"/>
      <c r="G19" s="226"/>
      <c r="H19" s="85"/>
    </row>
    <row r="20" spans="1:8" hidden="1" x14ac:dyDescent="0.2">
      <c r="A20" s="8" t="s">
        <v>3</v>
      </c>
      <c r="B20" s="5"/>
      <c r="C20" s="83"/>
      <c r="D20" s="225"/>
      <c r="E20" s="225"/>
      <c r="F20" s="225"/>
      <c r="G20" s="226"/>
      <c r="H20" s="85"/>
    </row>
    <row r="21" spans="1:8" hidden="1" x14ac:dyDescent="0.2">
      <c r="A21" s="8" t="s">
        <v>4</v>
      </c>
      <c r="B21" s="5"/>
      <c r="C21" s="83"/>
      <c r="D21" s="225"/>
      <c r="E21" s="225"/>
      <c r="F21" s="225"/>
      <c r="G21" s="226"/>
      <c r="H21" s="85"/>
    </row>
    <row r="22" spans="1:8" hidden="1" x14ac:dyDescent="0.2">
      <c r="A22" s="8">
        <v>6</v>
      </c>
      <c r="B22" s="5"/>
      <c r="C22" s="83"/>
      <c r="D22" s="225"/>
      <c r="E22" s="225"/>
      <c r="F22" s="225"/>
      <c r="G22" s="226"/>
      <c r="H22" s="85"/>
    </row>
    <row r="23" spans="1:8" hidden="1" x14ac:dyDescent="0.2">
      <c r="A23" s="8">
        <v>7</v>
      </c>
      <c r="B23" s="5"/>
      <c r="C23" s="83"/>
      <c r="D23" s="225"/>
      <c r="E23" s="225"/>
      <c r="F23" s="225"/>
      <c r="G23" s="226"/>
      <c r="H23" s="85"/>
    </row>
    <row r="24" spans="1:8" hidden="1" x14ac:dyDescent="0.2">
      <c r="A24" s="8">
        <v>8</v>
      </c>
      <c r="B24" s="5"/>
      <c r="C24" s="83"/>
      <c r="D24" s="225"/>
      <c r="E24" s="225"/>
      <c r="F24" s="225"/>
      <c r="G24" s="226"/>
      <c r="H24" s="85"/>
    </row>
    <row r="25" spans="1:8" x14ac:dyDescent="0.2">
      <c r="A25" s="312" t="s">
        <v>10</v>
      </c>
      <c r="B25" s="313"/>
      <c r="C25" s="313"/>
      <c r="D25" s="361"/>
      <c r="E25" s="361"/>
      <c r="F25" s="362"/>
      <c r="G25" s="262">
        <f>SUM(G17:G24)</f>
        <v>31</v>
      </c>
      <c r="H25" s="11"/>
    </row>
    <row r="26" spans="1:8" x14ac:dyDescent="0.2">
      <c r="A26" s="8" t="s">
        <v>0</v>
      </c>
      <c r="B26" s="5">
        <f>B17+1</f>
        <v>46109</v>
      </c>
      <c r="C26" s="83"/>
      <c r="D26" s="230" t="s">
        <v>1671</v>
      </c>
      <c r="E26" s="230" t="s">
        <v>1672</v>
      </c>
      <c r="F26" s="230" t="s">
        <v>1652</v>
      </c>
      <c r="G26" s="231">
        <v>3</v>
      </c>
      <c r="H26" s="92"/>
    </row>
    <row r="27" spans="1:8" x14ac:dyDescent="0.2">
      <c r="A27" s="8" t="s">
        <v>1</v>
      </c>
      <c r="B27" s="5"/>
      <c r="C27" s="83"/>
      <c r="D27" s="230" t="s">
        <v>1664</v>
      </c>
      <c r="E27" s="230" t="s">
        <v>1665</v>
      </c>
      <c r="F27" s="230" t="s">
        <v>1652</v>
      </c>
      <c r="G27" s="231">
        <v>16</v>
      </c>
      <c r="H27" s="95"/>
    </row>
    <row r="28" spans="1:8" x14ac:dyDescent="0.2">
      <c r="A28" s="8" t="s">
        <v>2</v>
      </c>
      <c r="B28" s="5"/>
      <c r="C28" s="83"/>
      <c r="D28" s="230" t="s">
        <v>1671</v>
      </c>
      <c r="E28" s="230" t="s">
        <v>1674</v>
      </c>
      <c r="F28" s="230" t="s">
        <v>1652</v>
      </c>
      <c r="G28" s="231">
        <v>4</v>
      </c>
      <c r="H28" s="85"/>
    </row>
    <row r="29" spans="1:8" x14ac:dyDescent="0.2">
      <c r="A29" s="8" t="s">
        <v>3</v>
      </c>
      <c r="B29" s="5"/>
      <c r="C29" s="83"/>
      <c r="D29" s="230" t="s">
        <v>1675</v>
      </c>
      <c r="E29" s="230" t="s">
        <v>1676</v>
      </c>
      <c r="F29" s="230" t="s">
        <v>1642</v>
      </c>
      <c r="G29" s="231">
        <v>30.5</v>
      </c>
      <c r="H29" s="85"/>
    </row>
    <row r="30" spans="1:8" x14ac:dyDescent="0.2">
      <c r="A30" s="8" t="s">
        <v>4</v>
      </c>
      <c r="B30" s="5"/>
      <c r="C30" s="83"/>
      <c r="D30" s="230" t="s">
        <v>1675</v>
      </c>
      <c r="E30" s="230" t="s">
        <v>1677</v>
      </c>
      <c r="F30" s="230" t="s">
        <v>1642</v>
      </c>
      <c r="G30" s="231">
        <v>2.5</v>
      </c>
      <c r="H30" s="85"/>
    </row>
    <row r="31" spans="1:8" x14ac:dyDescent="0.2">
      <c r="A31" s="8" t="s">
        <v>5</v>
      </c>
      <c r="B31" s="5"/>
      <c r="C31" s="83"/>
      <c r="D31" s="230" t="s">
        <v>1678</v>
      </c>
      <c r="E31" s="230" t="s">
        <v>1679</v>
      </c>
      <c r="F31" s="230" t="s">
        <v>1645</v>
      </c>
      <c r="G31" s="231">
        <v>16.5</v>
      </c>
      <c r="H31" s="85"/>
    </row>
    <row r="32" spans="1:8" x14ac:dyDescent="0.2">
      <c r="A32" s="8" t="s">
        <v>6</v>
      </c>
      <c r="B32" s="5"/>
      <c r="C32" s="83"/>
      <c r="D32" s="230" t="s">
        <v>1669</v>
      </c>
      <c r="E32" s="230" t="s">
        <v>1670</v>
      </c>
      <c r="F32" s="230" t="s">
        <v>1652</v>
      </c>
      <c r="G32" s="231">
        <v>21.5</v>
      </c>
      <c r="H32" s="85"/>
    </row>
    <row r="33" spans="1:8" x14ac:dyDescent="0.2">
      <c r="A33" s="8" t="s">
        <v>7</v>
      </c>
      <c r="B33" s="5"/>
      <c r="C33" s="83"/>
      <c r="D33" s="230" t="s">
        <v>1680</v>
      </c>
      <c r="E33" s="230" t="s">
        <v>1681</v>
      </c>
      <c r="F33" s="230" t="s">
        <v>1648</v>
      </c>
      <c r="G33" s="231">
        <v>6</v>
      </c>
      <c r="H33" s="85"/>
    </row>
    <row r="34" spans="1:8" x14ac:dyDescent="0.2">
      <c r="A34" s="8" t="s">
        <v>8</v>
      </c>
      <c r="B34" s="5"/>
      <c r="C34" s="83"/>
      <c r="D34" s="230" t="s">
        <v>1680</v>
      </c>
      <c r="E34" s="230" t="s">
        <v>1681</v>
      </c>
      <c r="F34" s="230" t="s">
        <v>1642</v>
      </c>
      <c r="G34" s="231">
        <v>27</v>
      </c>
      <c r="H34" s="85"/>
    </row>
    <row r="35" spans="1:8" hidden="1" x14ac:dyDescent="0.2">
      <c r="A35" s="8" t="s">
        <v>9</v>
      </c>
      <c r="B35" s="5"/>
      <c r="C35" s="83"/>
      <c r="D35" s="232"/>
      <c r="E35" s="232"/>
      <c r="F35" s="230"/>
      <c r="G35" s="231"/>
      <c r="H35" s="85"/>
    </row>
    <row r="36" spans="1:8" x14ac:dyDescent="0.2">
      <c r="A36" s="312" t="s">
        <v>10</v>
      </c>
      <c r="B36" s="313"/>
      <c r="C36" s="313"/>
      <c r="D36" s="313"/>
      <c r="E36" s="313"/>
      <c r="F36" s="314"/>
      <c r="G36" s="267">
        <f>SUM(G26:G35)</f>
        <v>127</v>
      </c>
      <c r="H36" s="11"/>
    </row>
    <row r="37" spans="1:8" x14ac:dyDescent="0.2">
      <c r="A37" s="8" t="s">
        <v>0</v>
      </c>
      <c r="B37" s="5">
        <f>B26+1</f>
        <v>46110</v>
      </c>
      <c r="C37" s="83"/>
      <c r="D37" s="230" t="s">
        <v>1643</v>
      </c>
      <c r="E37" s="230" t="s">
        <v>1682</v>
      </c>
      <c r="F37" s="230" t="s">
        <v>1645</v>
      </c>
      <c r="G37" s="231">
        <v>2.5</v>
      </c>
      <c r="H37" s="54"/>
    </row>
    <row r="38" spans="1:8" x14ac:dyDescent="0.2">
      <c r="A38" s="8" t="s">
        <v>1</v>
      </c>
      <c r="B38" s="5"/>
      <c r="C38" s="83"/>
      <c r="D38" s="230" t="s">
        <v>1683</v>
      </c>
      <c r="E38" s="230" t="s">
        <v>1684</v>
      </c>
      <c r="F38" s="230" t="s">
        <v>1652</v>
      </c>
      <c r="G38" s="231">
        <v>3</v>
      </c>
      <c r="H38" s="84"/>
    </row>
    <row r="39" spans="1:8" x14ac:dyDescent="0.2">
      <c r="A39" s="8" t="s">
        <v>2</v>
      </c>
      <c r="B39" s="5"/>
      <c r="C39" s="83"/>
      <c r="D39" s="230" t="s">
        <v>1685</v>
      </c>
      <c r="E39" s="230" t="s">
        <v>1686</v>
      </c>
      <c r="F39" s="230" t="s">
        <v>1652</v>
      </c>
      <c r="G39" s="231">
        <v>4.5</v>
      </c>
      <c r="H39" s="54"/>
    </row>
    <row r="40" spans="1:8" x14ac:dyDescent="0.2">
      <c r="A40" s="8" t="s">
        <v>3</v>
      </c>
      <c r="B40" s="5"/>
      <c r="C40" s="83"/>
      <c r="D40" s="230" t="s">
        <v>1687</v>
      </c>
      <c r="E40" s="230" t="s">
        <v>1688</v>
      </c>
      <c r="F40" s="230" t="s">
        <v>1642</v>
      </c>
      <c r="G40" s="231">
        <v>105.5</v>
      </c>
      <c r="H40" s="54"/>
    </row>
    <row r="41" spans="1:8" hidden="1" x14ac:dyDescent="0.2">
      <c r="A41" s="8" t="s">
        <v>4</v>
      </c>
      <c r="B41" s="5"/>
      <c r="C41" s="83"/>
      <c r="D41" s="225"/>
      <c r="E41" s="225"/>
      <c r="F41" s="225"/>
      <c r="G41" s="226"/>
      <c r="H41" s="85"/>
    </row>
    <row r="42" spans="1:8" hidden="1" x14ac:dyDescent="0.2">
      <c r="A42" s="8" t="s">
        <v>5</v>
      </c>
      <c r="B42" s="5"/>
      <c r="C42" s="83"/>
      <c r="D42" s="225"/>
      <c r="E42" s="225"/>
      <c r="F42" s="225"/>
      <c r="G42" s="226"/>
      <c r="H42" s="85"/>
    </row>
    <row r="43" spans="1:8" hidden="1" x14ac:dyDescent="0.2">
      <c r="A43" s="8" t="s">
        <v>6</v>
      </c>
      <c r="B43" s="5"/>
      <c r="C43" s="83"/>
      <c r="D43" s="225"/>
      <c r="E43" s="225"/>
      <c r="F43" s="225"/>
      <c r="G43" s="226"/>
      <c r="H43" s="85"/>
    </row>
    <row r="44" spans="1:8" hidden="1" x14ac:dyDescent="0.2">
      <c r="A44" s="8" t="s">
        <v>7</v>
      </c>
      <c r="B44" s="5"/>
      <c r="C44" s="83"/>
      <c r="D44" s="225"/>
      <c r="E44" s="225"/>
      <c r="F44" s="225"/>
      <c r="G44" s="226"/>
      <c r="H44" s="85"/>
    </row>
    <row r="45" spans="1:8" x14ac:dyDescent="0.2">
      <c r="A45" s="312" t="s">
        <v>10</v>
      </c>
      <c r="B45" s="313"/>
      <c r="C45" s="313"/>
      <c r="D45" s="313"/>
      <c r="E45" s="313"/>
      <c r="F45" s="314"/>
      <c r="G45" s="267">
        <f>SUM(G37:G44)</f>
        <v>115.5</v>
      </c>
      <c r="H45" s="11"/>
    </row>
    <row r="46" spans="1:8" s="23" customFormat="1" ht="18" x14ac:dyDescent="0.2">
      <c r="A46" s="315" t="s">
        <v>39</v>
      </c>
      <c r="B46" s="316"/>
      <c r="C46" s="316"/>
      <c r="D46" s="316"/>
      <c r="E46" s="316"/>
      <c r="F46" s="317"/>
      <c r="G46" s="268">
        <f>G16+G25+G36+G45</f>
        <v>291</v>
      </c>
      <c r="H46" s="22"/>
    </row>
    <row r="47" spans="1:8" s="23" customFormat="1" ht="18" x14ac:dyDescent="0.2">
      <c r="A47" s="33"/>
      <c r="B47" s="33"/>
      <c r="C47" s="33"/>
      <c r="D47" s="271"/>
      <c r="E47" s="271"/>
      <c r="F47" s="271"/>
      <c r="G47" s="272"/>
    </row>
    <row r="48" spans="1:8" s="23" customFormat="1" ht="18" x14ac:dyDescent="0.2">
      <c r="A48" s="33"/>
      <c r="B48" s="33"/>
      <c r="C48" s="33"/>
      <c r="D48" s="271"/>
      <c r="E48" s="271"/>
      <c r="F48" s="271"/>
      <c r="G48" s="272"/>
    </row>
    <row r="49" spans="1:8" ht="21.95" customHeight="1" x14ac:dyDescent="0.2">
      <c r="A49" s="319" t="s">
        <v>14</v>
      </c>
      <c r="B49" s="319"/>
      <c r="C49" s="319"/>
      <c r="D49" s="319"/>
      <c r="E49" s="319"/>
      <c r="F49" s="319"/>
      <c r="G49" s="319"/>
      <c r="H49" s="319"/>
    </row>
    <row r="50" spans="1:8" s="9" customFormat="1" ht="20.100000000000001" customHeight="1" x14ac:dyDescent="0.2">
      <c r="A50" s="335" t="str">
        <f>A2</f>
        <v>รายงานการสรุปยอดขายของพนักงานขายประจำเดือน เมษายน ปี 2569</v>
      </c>
      <c r="B50" s="335"/>
      <c r="C50" s="335"/>
      <c r="D50" s="335"/>
      <c r="E50" s="335"/>
      <c r="F50" s="335"/>
      <c r="G50" s="335"/>
      <c r="H50" s="335"/>
    </row>
    <row r="51" spans="1:8" s="3" customFormat="1" ht="20.100000000000001" customHeight="1" x14ac:dyDescent="0.35">
      <c r="A51" s="318" t="str">
        <f>$A$3</f>
        <v>พนักงานขาย นายอำนาจ ชัยประภา</v>
      </c>
      <c r="B51" s="318"/>
      <c r="C51" s="318"/>
      <c r="D51" s="318"/>
      <c r="E51" s="236"/>
      <c r="F51" s="237"/>
      <c r="G51" s="238" t="s">
        <v>21</v>
      </c>
      <c r="H51" s="35">
        <f>H3+1</f>
        <v>2</v>
      </c>
    </row>
    <row r="52" spans="1:8" s="3" customFormat="1" ht="20.100000000000001" customHeight="1" x14ac:dyDescent="0.35">
      <c r="A52" s="311"/>
      <c r="B52" s="311"/>
      <c r="C52" s="311"/>
      <c r="D52" s="240"/>
      <c r="E52" s="236"/>
      <c r="F52" s="274">
        <f>$F$4</f>
        <v>46107</v>
      </c>
      <c r="G52" s="242" t="s">
        <v>82</v>
      </c>
      <c r="H52" s="34">
        <f>$H$4</f>
        <v>46136</v>
      </c>
    </row>
    <row r="53" spans="1:8" x14ac:dyDescent="0.2">
      <c r="A53" s="12" t="s">
        <v>23</v>
      </c>
      <c r="B53" s="13" t="s">
        <v>11</v>
      </c>
      <c r="C53" s="14" t="s">
        <v>26</v>
      </c>
      <c r="D53" s="245" t="s">
        <v>83</v>
      </c>
      <c r="E53" s="243" t="s">
        <v>16</v>
      </c>
      <c r="F53" s="243" t="s">
        <v>17</v>
      </c>
      <c r="G53" s="246" t="s">
        <v>18</v>
      </c>
      <c r="H53" s="12" t="s">
        <v>19</v>
      </c>
    </row>
    <row r="54" spans="1:8" x14ac:dyDescent="0.2">
      <c r="A54" s="15"/>
      <c r="B54" s="16"/>
      <c r="C54" s="17"/>
      <c r="D54" s="250"/>
      <c r="E54" s="251"/>
      <c r="F54" s="251"/>
      <c r="G54" s="252" t="s">
        <v>20</v>
      </c>
      <c r="H54" s="15"/>
    </row>
    <row r="55" spans="1:8" x14ac:dyDescent="0.2">
      <c r="A55" s="8" t="s">
        <v>0</v>
      </c>
      <c r="B55" s="89">
        <f>B37+1</f>
        <v>46111</v>
      </c>
      <c r="C55" s="90"/>
      <c r="D55" s="230" t="s">
        <v>1689</v>
      </c>
      <c r="E55" s="230" t="s">
        <v>1690</v>
      </c>
      <c r="F55" s="230" t="s">
        <v>1642</v>
      </c>
      <c r="G55" s="231">
        <v>44</v>
      </c>
      <c r="H55" s="92"/>
    </row>
    <row r="56" spans="1:8" x14ac:dyDescent="0.2">
      <c r="A56" s="8" t="s">
        <v>1</v>
      </c>
      <c r="B56" s="89"/>
      <c r="C56" s="90"/>
      <c r="D56" s="230" t="s">
        <v>1671</v>
      </c>
      <c r="E56" s="230" t="s">
        <v>1672</v>
      </c>
      <c r="F56" s="230" t="s">
        <v>1652</v>
      </c>
      <c r="G56" s="231">
        <v>8</v>
      </c>
      <c r="H56" s="95"/>
    </row>
    <row r="57" spans="1:8" x14ac:dyDescent="0.2">
      <c r="A57" s="8" t="s">
        <v>2</v>
      </c>
      <c r="B57" s="89"/>
      <c r="C57" s="90"/>
      <c r="D57" s="230" t="s">
        <v>1691</v>
      </c>
      <c r="E57" s="230" t="s">
        <v>1692</v>
      </c>
      <c r="F57" s="230" t="s">
        <v>1652</v>
      </c>
      <c r="G57" s="231">
        <v>3.5</v>
      </c>
      <c r="H57" s="92"/>
    </row>
    <row r="58" spans="1:8" x14ac:dyDescent="0.2">
      <c r="A58" s="8" t="s">
        <v>3</v>
      </c>
      <c r="B58" s="89"/>
      <c r="C58" s="90"/>
      <c r="D58" s="230" t="s">
        <v>1671</v>
      </c>
      <c r="E58" s="230" t="s">
        <v>1693</v>
      </c>
      <c r="F58" s="230" t="s">
        <v>1652</v>
      </c>
      <c r="G58" s="231">
        <v>5</v>
      </c>
      <c r="H58" s="92"/>
    </row>
    <row r="59" spans="1:8" x14ac:dyDescent="0.2">
      <c r="A59" s="8" t="s">
        <v>4</v>
      </c>
      <c r="B59" s="89"/>
      <c r="C59" s="90"/>
      <c r="D59" s="230" t="s">
        <v>1669</v>
      </c>
      <c r="E59" s="230" t="s">
        <v>1696</v>
      </c>
      <c r="F59" s="230" t="s">
        <v>1652</v>
      </c>
      <c r="G59" s="231">
        <v>20</v>
      </c>
      <c r="H59" s="92"/>
    </row>
    <row r="60" spans="1:8" hidden="1" x14ac:dyDescent="0.2">
      <c r="A60" s="8" t="s">
        <v>5</v>
      </c>
      <c r="B60" s="89"/>
      <c r="C60" s="90"/>
      <c r="D60" s="230"/>
      <c r="E60" s="232"/>
      <c r="F60" s="230"/>
      <c r="G60" s="231"/>
      <c r="H60" s="92"/>
    </row>
    <row r="61" spans="1:8" hidden="1" x14ac:dyDescent="0.2">
      <c r="A61" s="8" t="s">
        <v>6</v>
      </c>
      <c r="B61" s="5"/>
      <c r="C61" s="83"/>
      <c r="D61" s="225"/>
      <c r="E61" s="225"/>
      <c r="F61" s="225"/>
      <c r="G61" s="226"/>
      <c r="H61" s="85"/>
    </row>
    <row r="62" spans="1:8" x14ac:dyDescent="0.2">
      <c r="A62" s="312" t="s">
        <v>10</v>
      </c>
      <c r="B62" s="313"/>
      <c r="C62" s="313"/>
      <c r="D62" s="361"/>
      <c r="E62" s="361"/>
      <c r="F62" s="362"/>
      <c r="G62" s="262">
        <f>SUM(G55:G61)</f>
        <v>80.5</v>
      </c>
      <c r="H62" s="11"/>
    </row>
    <row r="63" spans="1:8" x14ac:dyDescent="0.2">
      <c r="A63" s="8" t="s">
        <v>0</v>
      </c>
      <c r="B63" s="89">
        <f>B55+1</f>
        <v>46112</v>
      </c>
      <c r="C63" s="90"/>
      <c r="D63" s="230" t="s">
        <v>1675</v>
      </c>
      <c r="E63" s="230" t="s">
        <v>1697</v>
      </c>
      <c r="F63" s="230" t="s">
        <v>1642</v>
      </c>
      <c r="G63" s="231">
        <v>106</v>
      </c>
      <c r="H63" s="92"/>
    </row>
    <row r="64" spans="1:8" x14ac:dyDescent="0.2">
      <c r="A64" s="8" t="s">
        <v>1</v>
      </c>
      <c r="B64" s="89"/>
      <c r="C64" s="90"/>
      <c r="D64" s="230" t="s">
        <v>1680</v>
      </c>
      <c r="E64" s="230" t="s">
        <v>1681</v>
      </c>
      <c r="F64" s="230" t="s">
        <v>1648</v>
      </c>
      <c r="G64" s="231">
        <v>6</v>
      </c>
      <c r="H64" s="95"/>
    </row>
    <row r="65" spans="1:8" x14ac:dyDescent="0.2">
      <c r="A65" s="8" t="s">
        <v>2</v>
      </c>
      <c r="B65" s="89"/>
      <c r="C65" s="90"/>
      <c r="D65" s="230" t="s">
        <v>1700</v>
      </c>
      <c r="E65" s="230" t="s">
        <v>1660</v>
      </c>
      <c r="F65" s="230" t="s">
        <v>1652</v>
      </c>
      <c r="G65" s="231">
        <v>5</v>
      </c>
      <c r="H65" s="92"/>
    </row>
    <row r="66" spans="1:8" hidden="1" x14ac:dyDescent="0.2">
      <c r="A66" s="8" t="s">
        <v>3</v>
      </c>
      <c r="B66" s="89"/>
      <c r="C66" s="90"/>
      <c r="D66" s="225"/>
      <c r="E66" s="225"/>
      <c r="F66" s="225"/>
      <c r="G66" s="226"/>
      <c r="H66" s="92"/>
    </row>
    <row r="67" spans="1:8" hidden="1" x14ac:dyDescent="0.2">
      <c r="A67" s="8">
        <v>5</v>
      </c>
      <c r="B67" s="89"/>
      <c r="C67" s="90"/>
      <c r="D67" s="225"/>
      <c r="E67" s="225"/>
      <c r="F67" s="225"/>
      <c r="G67" s="226"/>
      <c r="H67" s="92"/>
    </row>
    <row r="68" spans="1:8" hidden="1" x14ac:dyDescent="0.2">
      <c r="A68" s="8">
        <v>6</v>
      </c>
      <c r="B68" s="89"/>
      <c r="C68" s="90"/>
      <c r="D68" s="225"/>
      <c r="E68" s="263"/>
      <c r="F68" s="225"/>
      <c r="G68" s="226"/>
      <c r="H68" s="92"/>
    </row>
    <row r="69" spans="1:8" hidden="1" x14ac:dyDescent="0.2">
      <c r="A69" s="8">
        <v>7</v>
      </c>
      <c r="B69" s="5"/>
      <c r="C69" s="83"/>
      <c r="D69" s="225"/>
      <c r="E69" s="225"/>
      <c r="F69" s="225"/>
      <c r="G69" s="226"/>
      <c r="H69" s="85"/>
    </row>
    <row r="70" spans="1:8" hidden="1" x14ac:dyDescent="0.2">
      <c r="A70" s="8">
        <v>8</v>
      </c>
      <c r="B70" s="5"/>
      <c r="C70" s="83"/>
      <c r="D70" s="225"/>
      <c r="E70" s="225"/>
      <c r="F70" s="225"/>
      <c r="G70" s="226"/>
      <c r="H70" s="85"/>
    </row>
    <row r="71" spans="1:8" x14ac:dyDescent="0.2">
      <c r="A71" s="312" t="s">
        <v>10</v>
      </c>
      <c r="B71" s="313"/>
      <c r="C71" s="313"/>
      <c r="D71" s="365"/>
      <c r="E71" s="365"/>
      <c r="F71" s="366"/>
      <c r="G71" s="277">
        <f>SUM(G63:G70)</f>
        <v>117</v>
      </c>
      <c r="H71" s="11"/>
    </row>
    <row r="72" spans="1:8" x14ac:dyDescent="0.2">
      <c r="A72" s="8" t="s">
        <v>0</v>
      </c>
      <c r="B72" s="5">
        <f>B63+1</f>
        <v>46113</v>
      </c>
      <c r="C72" s="83"/>
      <c r="D72" s="230" t="s">
        <v>1689</v>
      </c>
      <c r="E72" s="230" t="s">
        <v>1690</v>
      </c>
      <c r="F72" s="230" t="s">
        <v>1652</v>
      </c>
      <c r="G72" s="231">
        <v>8</v>
      </c>
      <c r="H72" s="85"/>
    </row>
    <row r="73" spans="1:8" x14ac:dyDescent="0.2">
      <c r="A73" s="8" t="s">
        <v>1</v>
      </c>
      <c r="B73" s="5"/>
      <c r="C73" s="83"/>
      <c r="D73" s="230" t="s">
        <v>1680</v>
      </c>
      <c r="E73" s="230" t="s">
        <v>1681</v>
      </c>
      <c r="F73" s="230" t="s">
        <v>1642</v>
      </c>
      <c r="G73" s="231">
        <v>20</v>
      </c>
      <c r="H73" s="85"/>
    </row>
    <row r="74" spans="1:8" hidden="1" x14ac:dyDescent="0.2">
      <c r="A74" s="8" t="s">
        <v>2</v>
      </c>
      <c r="B74" s="5"/>
      <c r="C74" s="83"/>
      <c r="D74" s="230"/>
      <c r="E74" s="230"/>
      <c r="F74" s="230"/>
      <c r="G74" s="231"/>
      <c r="H74" s="85"/>
    </row>
    <row r="75" spans="1:8" hidden="1" x14ac:dyDescent="0.2">
      <c r="A75" s="8" t="s">
        <v>3</v>
      </c>
      <c r="B75" s="5"/>
      <c r="C75" s="83"/>
      <c r="D75" s="225"/>
      <c r="E75" s="225"/>
      <c r="F75" s="225"/>
      <c r="G75" s="226"/>
      <c r="H75" s="85"/>
    </row>
    <row r="76" spans="1:8" hidden="1" x14ac:dyDescent="0.2">
      <c r="A76" s="8" t="s">
        <v>4</v>
      </c>
      <c r="B76" s="5"/>
      <c r="C76" s="20"/>
      <c r="D76" s="225"/>
      <c r="E76" s="225"/>
      <c r="F76" s="225"/>
      <c r="G76" s="226"/>
      <c r="H76" s="6"/>
    </row>
    <row r="77" spans="1:8" hidden="1" x14ac:dyDescent="0.2">
      <c r="A77" s="8" t="s">
        <v>5</v>
      </c>
      <c r="B77" s="5"/>
      <c r="C77" s="20"/>
      <c r="D77" s="280"/>
      <c r="E77" s="224"/>
      <c r="F77" s="224"/>
      <c r="G77" s="286"/>
      <c r="H77" s="6"/>
    </row>
    <row r="78" spans="1:8" hidden="1" x14ac:dyDescent="0.2">
      <c r="A78" s="8" t="s">
        <v>6</v>
      </c>
      <c r="B78" s="5"/>
      <c r="C78" s="20"/>
      <c r="D78" s="280"/>
      <c r="E78" s="224"/>
      <c r="F78" s="224"/>
      <c r="G78" s="286"/>
      <c r="H78" s="6"/>
    </row>
    <row r="79" spans="1:8" x14ac:dyDescent="0.2">
      <c r="A79" s="312" t="s">
        <v>10</v>
      </c>
      <c r="B79" s="313"/>
      <c r="C79" s="313"/>
      <c r="D79" s="313"/>
      <c r="E79" s="313"/>
      <c r="F79" s="314"/>
      <c r="G79" s="267">
        <f>SUM(G72:G78)</f>
        <v>28</v>
      </c>
      <c r="H79" s="11"/>
    </row>
    <row r="80" spans="1:8" x14ac:dyDescent="0.2">
      <c r="A80" s="8" t="s">
        <v>0</v>
      </c>
      <c r="B80" s="5">
        <f>B72+1</f>
        <v>46114</v>
      </c>
      <c r="C80" s="83"/>
      <c r="D80" s="230" t="s">
        <v>1664</v>
      </c>
      <c r="E80" s="230" t="s">
        <v>1665</v>
      </c>
      <c r="F80" s="230" t="s">
        <v>1652</v>
      </c>
      <c r="G80" s="231">
        <v>6.5</v>
      </c>
      <c r="H80" s="85"/>
    </row>
    <row r="81" spans="1:8" x14ac:dyDescent="0.2">
      <c r="A81" s="8" t="s">
        <v>1</v>
      </c>
      <c r="B81" s="5"/>
      <c r="C81" s="83"/>
      <c r="D81" s="230" t="s">
        <v>1702</v>
      </c>
      <c r="E81" s="230" t="s">
        <v>1703</v>
      </c>
      <c r="F81" s="230" t="s">
        <v>1642</v>
      </c>
      <c r="G81" s="231">
        <v>2</v>
      </c>
      <c r="H81" s="86"/>
    </row>
    <row r="82" spans="1:8" x14ac:dyDescent="0.2">
      <c r="A82" s="8" t="s">
        <v>2</v>
      </c>
      <c r="B82" s="5"/>
      <c r="C82" s="83"/>
      <c r="D82" s="230" t="s">
        <v>1659</v>
      </c>
      <c r="E82" s="230" t="s">
        <v>1660</v>
      </c>
      <c r="F82" s="230" t="s">
        <v>184</v>
      </c>
      <c r="G82" s="231">
        <v>1</v>
      </c>
      <c r="H82" s="85"/>
    </row>
    <row r="83" spans="1:8" x14ac:dyDescent="0.2">
      <c r="A83" s="8">
        <v>4</v>
      </c>
      <c r="B83" s="5"/>
      <c r="C83" s="83"/>
      <c r="D83" s="230" t="s">
        <v>1700</v>
      </c>
      <c r="E83" s="230" t="s">
        <v>1660</v>
      </c>
      <c r="F83" s="230" t="s">
        <v>1642</v>
      </c>
      <c r="G83" s="231">
        <v>4.75</v>
      </c>
      <c r="H83" s="85"/>
    </row>
    <row r="84" spans="1:8" x14ac:dyDescent="0.2">
      <c r="A84" s="8">
        <v>5</v>
      </c>
      <c r="B84" s="5"/>
      <c r="C84" s="83"/>
      <c r="D84" s="230" t="s">
        <v>1659</v>
      </c>
      <c r="E84" s="230" t="s">
        <v>1660</v>
      </c>
      <c r="F84" s="230" t="s">
        <v>632</v>
      </c>
      <c r="G84" s="231">
        <v>95</v>
      </c>
      <c r="H84" s="85"/>
    </row>
    <row r="85" spans="1:8" hidden="1" x14ac:dyDescent="0.2">
      <c r="A85" s="8">
        <v>6</v>
      </c>
      <c r="B85" s="5"/>
      <c r="C85" s="83"/>
      <c r="D85" s="230"/>
      <c r="E85" s="230"/>
      <c r="F85" s="230"/>
      <c r="G85" s="231"/>
      <c r="H85" s="85"/>
    </row>
    <row r="86" spans="1:8" hidden="1" x14ac:dyDescent="0.2">
      <c r="A86" s="8">
        <v>7</v>
      </c>
      <c r="B86" s="5"/>
      <c r="C86" s="83"/>
      <c r="D86" s="225"/>
      <c r="E86" s="225"/>
      <c r="F86" s="225"/>
      <c r="G86" s="226"/>
      <c r="H86" s="85"/>
    </row>
    <row r="87" spans="1:8" hidden="1" x14ac:dyDescent="0.2">
      <c r="A87" s="8">
        <v>8</v>
      </c>
      <c r="B87" s="5"/>
      <c r="C87" s="83"/>
      <c r="D87" s="225"/>
      <c r="E87" s="225"/>
      <c r="F87" s="225"/>
      <c r="G87" s="226"/>
      <c r="H87" s="85"/>
    </row>
    <row r="88" spans="1:8" x14ac:dyDescent="0.2">
      <c r="A88" s="312" t="s">
        <v>10</v>
      </c>
      <c r="B88" s="313"/>
      <c r="C88" s="313"/>
      <c r="D88" s="361"/>
      <c r="E88" s="361"/>
      <c r="F88" s="362"/>
      <c r="G88" s="262">
        <f>SUM(G80:G87)</f>
        <v>109.25</v>
      </c>
      <c r="H88" s="11"/>
    </row>
    <row r="89" spans="1:8" s="23" customFormat="1" ht="18" x14ac:dyDescent="0.2">
      <c r="A89" s="315" t="s">
        <v>39</v>
      </c>
      <c r="B89" s="316"/>
      <c r="C89" s="316"/>
      <c r="D89" s="316"/>
      <c r="E89" s="316"/>
      <c r="F89" s="317"/>
      <c r="G89" s="268">
        <f>G62+G71+G79+G88</f>
        <v>334.75</v>
      </c>
      <c r="H89" s="22"/>
    </row>
    <row r="90" spans="1:8" s="23" customFormat="1" ht="18" x14ac:dyDescent="0.2">
      <c r="A90" s="33"/>
      <c r="B90" s="33"/>
      <c r="C90" s="33"/>
      <c r="D90" s="271"/>
      <c r="E90" s="271"/>
      <c r="F90" s="271"/>
      <c r="G90" s="272"/>
    </row>
    <row r="91" spans="1:8" s="23" customFormat="1" ht="18" x14ac:dyDescent="0.2">
      <c r="A91" s="33"/>
      <c r="B91" s="33"/>
      <c r="C91" s="33"/>
      <c r="D91" s="271"/>
      <c r="E91" s="271"/>
      <c r="F91" s="271"/>
      <c r="G91" s="272"/>
    </row>
    <row r="92" spans="1:8" ht="21.95" customHeight="1" x14ac:dyDescent="0.2">
      <c r="A92" s="319" t="s">
        <v>14</v>
      </c>
      <c r="B92" s="319"/>
      <c r="C92" s="319"/>
      <c r="D92" s="319"/>
      <c r="E92" s="319"/>
      <c r="F92" s="319"/>
      <c r="G92" s="319"/>
      <c r="H92" s="319"/>
    </row>
    <row r="93" spans="1:8" s="9" customFormat="1" ht="20.100000000000001" customHeight="1" x14ac:dyDescent="0.2">
      <c r="A93" s="335" t="str">
        <f>A50</f>
        <v>รายงานการสรุปยอดขายของพนักงานขายประจำเดือน เมษายน ปี 2569</v>
      </c>
      <c r="B93" s="335"/>
      <c r="C93" s="335"/>
      <c r="D93" s="335"/>
      <c r="E93" s="335"/>
      <c r="F93" s="335"/>
      <c r="G93" s="335"/>
      <c r="H93" s="335"/>
    </row>
    <row r="94" spans="1:8" s="3" customFormat="1" ht="20.100000000000001" customHeight="1" x14ac:dyDescent="0.35">
      <c r="A94" s="318" t="str">
        <f>$A$3</f>
        <v>พนักงานขาย นายอำนาจ ชัยประภา</v>
      </c>
      <c r="B94" s="318"/>
      <c r="C94" s="318"/>
      <c r="D94" s="318"/>
      <c r="E94" s="236"/>
      <c r="F94" s="237"/>
      <c r="G94" s="238" t="s">
        <v>21</v>
      </c>
      <c r="H94" s="35">
        <f>H51+1</f>
        <v>3</v>
      </c>
    </row>
    <row r="95" spans="1:8" s="3" customFormat="1" ht="20.100000000000001" customHeight="1" x14ac:dyDescent="0.35">
      <c r="A95" s="311"/>
      <c r="B95" s="311"/>
      <c r="C95" s="311"/>
      <c r="D95" s="240"/>
      <c r="E95" s="236"/>
      <c r="F95" s="274">
        <f>$F$4</f>
        <v>46107</v>
      </c>
      <c r="G95" s="242" t="s">
        <v>82</v>
      </c>
      <c r="H95" s="34">
        <f>$H$4</f>
        <v>46136</v>
      </c>
    </row>
    <row r="96" spans="1:8" x14ac:dyDescent="0.2">
      <c r="A96" s="12" t="s">
        <v>23</v>
      </c>
      <c r="B96" s="13" t="s">
        <v>11</v>
      </c>
      <c r="C96" s="14" t="s">
        <v>26</v>
      </c>
      <c r="D96" s="245" t="s">
        <v>83</v>
      </c>
      <c r="E96" s="243" t="s">
        <v>16</v>
      </c>
      <c r="F96" s="243" t="s">
        <v>17</v>
      </c>
      <c r="G96" s="246" t="s">
        <v>18</v>
      </c>
      <c r="H96" s="12" t="s">
        <v>19</v>
      </c>
    </row>
    <row r="97" spans="1:8" x14ac:dyDescent="0.2">
      <c r="A97" s="87"/>
      <c r="B97" s="136"/>
      <c r="C97" s="91"/>
      <c r="D97" s="250"/>
      <c r="E97" s="251"/>
      <c r="F97" s="251"/>
      <c r="G97" s="252" t="s">
        <v>20</v>
      </c>
      <c r="H97" s="15"/>
    </row>
    <row r="98" spans="1:8" x14ac:dyDescent="0.2">
      <c r="A98" s="97" t="s">
        <v>0</v>
      </c>
      <c r="B98" s="89">
        <f>B80+1</f>
        <v>46115</v>
      </c>
      <c r="C98" s="90"/>
      <c r="D98" s="230" t="s">
        <v>1675</v>
      </c>
      <c r="E98" s="230" t="s">
        <v>1697</v>
      </c>
      <c r="F98" s="230" t="s">
        <v>1642</v>
      </c>
      <c r="G98" s="231">
        <v>131</v>
      </c>
      <c r="H98" s="85"/>
    </row>
    <row r="99" spans="1:8" x14ac:dyDescent="0.2">
      <c r="A99" s="97" t="s">
        <v>1</v>
      </c>
      <c r="B99" s="89"/>
      <c r="C99" s="90"/>
      <c r="D99" s="230" t="s">
        <v>1659</v>
      </c>
      <c r="E99" s="230" t="s">
        <v>1660</v>
      </c>
      <c r="F99" s="230" t="s">
        <v>1661</v>
      </c>
      <c r="G99" s="231">
        <v>3</v>
      </c>
      <c r="H99" s="86"/>
    </row>
    <row r="100" spans="1:8" hidden="1" x14ac:dyDescent="0.2">
      <c r="A100" s="97" t="s">
        <v>2</v>
      </c>
      <c r="B100" s="89"/>
      <c r="C100" s="93"/>
      <c r="D100" s="225"/>
      <c r="E100" s="263"/>
      <c r="F100" s="225"/>
      <c r="G100" s="226"/>
      <c r="H100" s="85"/>
    </row>
    <row r="101" spans="1:8" hidden="1" x14ac:dyDescent="0.2">
      <c r="A101" s="97" t="s">
        <v>3</v>
      </c>
      <c r="B101" s="89"/>
      <c r="C101" s="93"/>
      <c r="D101" s="225"/>
      <c r="E101" s="225"/>
      <c r="F101" s="225"/>
      <c r="G101" s="226"/>
      <c r="H101" s="85"/>
    </row>
    <row r="102" spans="1:8" hidden="1" x14ac:dyDescent="0.2">
      <c r="A102" s="97" t="s">
        <v>4</v>
      </c>
      <c r="B102" s="89"/>
      <c r="C102" s="93"/>
      <c r="D102" s="225"/>
      <c r="E102" s="225"/>
      <c r="F102" s="225"/>
      <c r="G102" s="226"/>
      <c r="H102" s="85"/>
    </row>
    <row r="103" spans="1:8" hidden="1" x14ac:dyDescent="0.2">
      <c r="A103" s="97" t="s">
        <v>5</v>
      </c>
      <c r="B103" s="89"/>
      <c r="C103" s="93"/>
      <c r="D103" s="225"/>
      <c r="E103" s="225"/>
      <c r="F103" s="225"/>
      <c r="G103" s="226"/>
      <c r="H103" s="85"/>
    </row>
    <row r="104" spans="1:8" hidden="1" x14ac:dyDescent="0.2">
      <c r="A104" s="97" t="s">
        <v>6</v>
      </c>
      <c r="B104" s="89"/>
      <c r="C104" s="93"/>
      <c r="D104" s="225"/>
      <c r="E104" s="225"/>
      <c r="F104" s="225"/>
      <c r="G104" s="226"/>
      <c r="H104" s="85"/>
    </row>
    <row r="105" spans="1:8" x14ac:dyDescent="0.2">
      <c r="A105" s="367" t="s">
        <v>10</v>
      </c>
      <c r="B105" s="367"/>
      <c r="C105" s="367"/>
      <c r="D105" s="367"/>
      <c r="E105" s="367"/>
      <c r="F105" s="367"/>
      <c r="G105" s="301">
        <f>SUM(G98:G104)</f>
        <v>134</v>
      </c>
      <c r="H105" s="135"/>
    </row>
    <row r="106" spans="1:8" x14ac:dyDescent="0.2">
      <c r="A106" s="97" t="s">
        <v>0</v>
      </c>
      <c r="B106" s="89">
        <f>B98+1</f>
        <v>46116</v>
      </c>
      <c r="C106" s="90"/>
      <c r="D106" s="230" t="s">
        <v>1671</v>
      </c>
      <c r="E106" s="230" t="s">
        <v>1672</v>
      </c>
      <c r="F106" s="230" t="s">
        <v>1652</v>
      </c>
      <c r="G106" s="231">
        <v>4</v>
      </c>
      <c r="H106" s="92"/>
    </row>
    <row r="107" spans="1:8" x14ac:dyDescent="0.2">
      <c r="A107" s="97" t="s">
        <v>1</v>
      </c>
      <c r="B107" s="89"/>
      <c r="C107" s="90"/>
      <c r="D107" s="230" t="s">
        <v>1664</v>
      </c>
      <c r="E107" s="230" t="s">
        <v>1665</v>
      </c>
      <c r="F107" s="230" t="s">
        <v>1652</v>
      </c>
      <c r="G107" s="231">
        <v>6.5</v>
      </c>
      <c r="H107" s="95"/>
    </row>
    <row r="108" spans="1:8" x14ac:dyDescent="0.2">
      <c r="A108" s="97" t="s">
        <v>2</v>
      </c>
      <c r="B108" s="89"/>
      <c r="C108" s="90"/>
      <c r="D108" s="230" t="s">
        <v>1706</v>
      </c>
      <c r="E108" s="230" t="s">
        <v>1707</v>
      </c>
      <c r="F108" s="230" t="s">
        <v>1652</v>
      </c>
      <c r="G108" s="231">
        <v>7</v>
      </c>
      <c r="H108" s="92"/>
    </row>
    <row r="109" spans="1:8" x14ac:dyDescent="0.2">
      <c r="A109" s="97" t="s">
        <v>3</v>
      </c>
      <c r="B109" s="89"/>
      <c r="C109" s="90"/>
      <c r="D109" s="230" t="s">
        <v>1708</v>
      </c>
      <c r="E109" s="230" t="s">
        <v>1709</v>
      </c>
      <c r="F109" s="230" t="s">
        <v>1652</v>
      </c>
      <c r="G109" s="231">
        <v>7</v>
      </c>
      <c r="H109" s="92"/>
    </row>
    <row r="110" spans="1:8" x14ac:dyDescent="0.2">
      <c r="A110" s="97" t="s">
        <v>4</v>
      </c>
      <c r="B110" s="89"/>
      <c r="C110" s="90"/>
      <c r="D110" s="230" t="s">
        <v>1710</v>
      </c>
      <c r="E110" s="230" t="s">
        <v>1711</v>
      </c>
      <c r="F110" s="230" t="s">
        <v>1649</v>
      </c>
      <c r="G110" s="231">
        <v>15</v>
      </c>
      <c r="H110" s="92"/>
    </row>
    <row r="111" spans="1:8" x14ac:dyDescent="0.2">
      <c r="A111" s="97" t="s">
        <v>5</v>
      </c>
      <c r="B111" s="89"/>
      <c r="C111" s="90"/>
      <c r="D111" s="230" t="s">
        <v>1712</v>
      </c>
      <c r="E111" s="230" t="s">
        <v>1713</v>
      </c>
      <c r="F111" s="230" t="s">
        <v>1649</v>
      </c>
      <c r="G111" s="231">
        <v>8</v>
      </c>
      <c r="H111" s="92"/>
    </row>
    <row r="112" spans="1:8" x14ac:dyDescent="0.2">
      <c r="A112" s="97" t="s">
        <v>6</v>
      </c>
      <c r="B112" s="89"/>
      <c r="C112" s="90"/>
      <c r="D112" s="230" t="s">
        <v>1687</v>
      </c>
      <c r="E112" s="230" t="s">
        <v>1688</v>
      </c>
      <c r="F112" s="230" t="s">
        <v>1648</v>
      </c>
      <c r="G112" s="231">
        <v>6</v>
      </c>
      <c r="H112" s="299"/>
    </row>
    <row r="113" spans="1:8" x14ac:dyDescent="0.2">
      <c r="A113" s="97" t="s">
        <v>7</v>
      </c>
      <c r="B113" s="89"/>
      <c r="C113" s="90"/>
      <c r="D113" s="230" t="s">
        <v>1687</v>
      </c>
      <c r="E113" s="230" t="s">
        <v>1688</v>
      </c>
      <c r="F113" s="230" t="s">
        <v>1649</v>
      </c>
      <c r="G113" s="231">
        <v>10</v>
      </c>
      <c r="H113" s="299"/>
    </row>
    <row r="114" spans="1:8" x14ac:dyDescent="0.2">
      <c r="A114" s="97" t="s">
        <v>8</v>
      </c>
      <c r="B114" s="89"/>
      <c r="C114" s="90"/>
      <c r="D114" s="230" t="s">
        <v>1669</v>
      </c>
      <c r="E114" s="230" t="s">
        <v>1670</v>
      </c>
      <c r="F114" s="230" t="s">
        <v>1652</v>
      </c>
      <c r="G114" s="231">
        <v>19</v>
      </c>
      <c r="H114" s="118"/>
    </row>
    <row r="115" spans="1:8" x14ac:dyDescent="0.2">
      <c r="A115" s="97" t="s">
        <v>9</v>
      </c>
      <c r="B115" s="89"/>
      <c r="C115" s="90"/>
      <c r="D115" s="230" t="s">
        <v>1680</v>
      </c>
      <c r="E115" s="230" t="s">
        <v>1681</v>
      </c>
      <c r="F115" s="230" t="s">
        <v>1648</v>
      </c>
      <c r="G115" s="231">
        <v>6</v>
      </c>
      <c r="H115" s="85"/>
    </row>
    <row r="116" spans="1:8" x14ac:dyDescent="0.2">
      <c r="A116" s="367" t="s">
        <v>10</v>
      </c>
      <c r="B116" s="367"/>
      <c r="C116" s="367"/>
      <c r="D116" s="367"/>
      <c r="E116" s="367"/>
      <c r="F116" s="367"/>
      <c r="G116" s="301">
        <f>SUM(G106:G115)</f>
        <v>88.5</v>
      </c>
      <c r="H116" s="135"/>
    </row>
    <row r="117" spans="1:8" x14ac:dyDescent="0.2">
      <c r="A117" s="97" t="s">
        <v>0</v>
      </c>
      <c r="B117" s="89">
        <f>B106+1</f>
        <v>46117</v>
      </c>
      <c r="C117" s="90"/>
      <c r="D117" s="230" t="s">
        <v>1675</v>
      </c>
      <c r="E117" s="230" t="s">
        <v>1697</v>
      </c>
      <c r="F117" s="230" t="s">
        <v>1642</v>
      </c>
      <c r="G117" s="231">
        <v>56</v>
      </c>
      <c r="H117" s="85"/>
    </row>
    <row r="118" spans="1:8" x14ac:dyDescent="0.2">
      <c r="A118" s="97" t="s">
        <v>1</v>
      </c>
      <c r="B118" s="89"/>
      <c r="C118" s="90"/>
      <c r="D118" s="230" t="s">
        <v>1671</v>
      </c>
      <c r="E118" s="230" t="s">
        <v>1693</v>
      </c>
      <c r="F118" s="230" t="s">
        <v>1652</v>
      </c>
      <c r="G118" s="231">
        <v>5</v>
      </c>
      <c r="H118" s="85"/>
    </row>
    <row r="119" spans="1:8" x14ac:dyDescent="0.2">
      <c r="A119" s="97" t="s">
        <v>2</v>
      </c>
      <c r="B119" s="89"/>
      <c r="C119" s="90"/>
      <c r="D119" s="230" t="s">
        <v>1716</v>
      </c>
      <c r="E119" s="230" t="s">
        <v>1717</v>
      </c>
      <c r="F119" s="230" t="s">
        <v>1652</v>
      </c>
      <c r="G119" s="231">
        <v>3</v>
      </c>
      <c r="H119" s="85"/>
    </row>
    <row r="120" spans="1:8" x14ac:dyDescent="0.2">
      <c r="A120" s="97" t="s">
        <v>3</v>
      </c>
      <c r="B120" s="89"/>
      <c r="C120" s="90"/>
      <c r="D120" s="230" t="s">
        <v>1659</v>
      </c>
      <c r="E120" s="230" t="s">
        <v>1660</v>
      </c>
      <c r="F120" s="230" t="s">
        <v>1661</v>
      </c>
      <c r="G120" s="231">
        <v>8.75</v>
      </c>
      <c r="H120" s="85"/>
    </row>
    <row r="121" spans="1:8" hidden="1" x14ac:dyDescent="0.2">
      <c r="A121" s="97" t="s">
        <v>4</v>
      </c>
      <c r="B121" s="89"/>
      <c r="C121" s="93"/>
      <c r="D121" s="225"/>
      <c r="E121" s="225"/>
      <c r="F121" s="225"/>
      <c r="G121" s="226"/>
      <c r="H121" s="85"/>
    </row>
    <row r="122" spans="1:8" hidden="1" x14ac:dyDescent="0.2">
      <c r="A122" s="97" t="s">
        <v>5</v>
      </c>
      <c r="B122" s="89"/>
      <c r="C122" s="93"/>
      <c r="D122" s="225"/>
      <c r="E122" s="225"/>
      <c r="F122" s="225"/>
      <c r="G122" s="226"/>
      <c r="H122" s="85"/>
    </row>
    <row r="123" spans="1:8" hidden="1" x14ac:dyDescent="0.2">
      <c r="A123" s="97" t="s">
        <v>6</v>
      </c>
      <c r="B123" s="89"/>
      <c r="C123" s="93"/>
      <c r="D123" s="225"/>
      <c r="E123" s="225"/>
      <c r="F123" s="225"/>
      <c r="G123" s="226"/>
      <c r="H123" s="85"/>
    </row>
    <row r="124" spans="1:8" hidden="1" x14ac:dyDescent="0.2">
      <c r="A124" s="97" t="s">
        <v>7</v>
      </c>
      <c r="B124" s="89"/>
      <c r="C124" s="93"/>
      <c r="D124" s="225"/>
      <c r="E124" s="225"/>
      <c r="F124" s="225"/>
      <c r="G124" s="226"/>
      <c r="H124" s="85"/>
    </row>
    <row r="125" spans="1:8" hidden="1" x14ac:dyDescent="0.2">
      <c r="A125" s="97" t="s">
        <v>8</v>
      </c>
      <c r="B125" s="89"/>
      <c r="C125" s="93"/>
      <c r="D125" s="225"/>
      <c r="E125" s="225"/>
      <c r="F125" s="225"/>
      <c r="G125" s="226"/>
      <c r="H125" s="85"/>
    </row>
    <row r="126" spans="1:8" x14ac:dyDescent="0.2">
      <c r="A126" s="367" t="s">
        <v>10</v>
      </c>
      <c r="B126" s="367"/>
      <c r="C126" s="367"/>
      <c r="D126" s="367"/>
      <c r="E126" s="367"/>
      <c r="F126" s="367"/>
      <c r="G126" s="301">
        <f>SUM(G117:G125)</f>
        <v>72.75</v>
      </c>
      <c r="H126" s="135"/>
    </row>
    <row r="127" spans="1:8" x14ac:dyDescent="0.2">
      <c r="A127" s="97" t="s">
        <v>0</v>
      </c>
      <c r="B127" s="89">
        <f>B117+1</f>
        <v>46118</v>
      </c>
      <c r="C127" s="90"/>
      <c r="D127" s="230" t="s">
        <v>1675</v>
      </c>
      <c r="E127" s="230" t="s">
        <v>1676</v>
      </c>
      <c r="F127" s="230" t="s">
        <v>1642</v>
      </c>
      <c r="G127" s="231">
        <v>6</v>
      </c>
      <c r="H127" s="85"/>
    </row>
    <row r="128" spans="1:8" hidden="1" x14ac:dyDescent="0.2">
      <c r="A128" s="97" t="s">
        <v>1</v>
      </c>
      <c r="B128" s="89"/>
      <c r="C128" s="93"/>
      <c r="D128" s="225"/>
      <c r="E128" s="225"/>
      <c r="F128" s="225"/>
      <c r="G128" s="226"/>
      <c r="H128" s="86"/>
    </row>
    <row r="129" spans="1:8" hidden="1" x14ac:dyDescent="0.2">
      <c r="A129" s="97" t="s">
        <v>2</v>
      </c>
      <c r="B129" s="89"/>
      <c r="C129" s="93"/>
      <c r="D129" s="225"/>
      <c r="E129" s="225"/>
      <c r="F129" s="225"/>
      <c r="G129" s="226"/>
      <c r="H129" s="85"/>
    </row>
    <row r="130" spans="1:8" hidden="1" x14ac:dyDescent="0.2">
      <c r="A130" s="97" t="s">
        <v>3</v>
      </c>
      <c r="B130" s="89"/>
      <c r="C130" s="93"/>
      <c r="D130" s="225"/>
      <c r="E130" s="225"/>
      <c r="F130" s="225"/>
      <c r="G130" s="226"/>
      <c r="H130" s="85"/>
    </row>
    <row r="131" spans="1:8" hidden="1" x14ac:dyDescent="0.2">
      <c r="A131" s="97" t="s">
        <v>4</v>
      </c>
      <c r="B131" s="89"/>
      <c r="C131" s="93"/>
      <c r="D131" s="225"/>
      <c r="E131" s="225"/>
      <c r="F131" s="225"/>
      <c r="G131" s="226"/>
      <c r="H131" s="85"/>
    </row>
    <row r="132" spans="1:8" hidden="1" x14ac:dyDescent="0.2">
      <c r="A132" s="97" t="s">
        <v>5</v>
      </c>
      <c r="B132" s="89"/>
      <c r="C132" s="93"/>
      <c r="D132" s="225"/>
      <c r="E132" s="225"/>
      <c r="F132" s="225"/>
      <c r="G132" s="226"/>
      <c r="H132" s="85"/>
    </row>
    <row r="133" spans="1:8" hidden="1" x14ac:dyDescent="0.2">
      <c r="A133" s="97" t="s">
        <v>6</v>
      </c>
      <c r="B133" s="89"/>
      <c r="C133" s="93"/>
      <c r="D133" s="225"/>
      <c r="E133" s="225"/>
      <c r="F133" s="225"/>
      <c r="G133" s="226"/>
      <c r="H133" s="85"/>
    </row>
    <row r="134" spans="1:8" hidden="1" x14ac:dyDescent="0.2">
      <c r="A134" s="97" t="s">
        <v>7</v>
      </c>
      <c r="B134" s="89"/>
      <c r="C134" s="93"/>
      <c r="D134" s="225"/>
      <c r="E134" s="225"/>
      <c r="F134" s="225"/>
      <c r="G134" s="226"/>
      <c r="H134" s="85"/>
    </row>
    <row r="135" spans="1:8" hidden="1" x14ac:dyDescent="0.2">
      <c r="A135" s="97"/>
      <c r="B135" s="89"/>
      <c r="C135" s="93"/>
      <c r="D135" s="225"/>
      <c r="E135" s="225"/>
      <c r="F135" s="225"/>
      <c r="G135" s="226"/>
      <c r="H135" s="85"/>
    </row>
    <row r="136" spans="1:8" hidden="1" x14ac:dyDescent="0.2">
      <c r="A136" s="97" t="s">
        <v>8</v>
      </c>
      <c r="B136" s="89"/>
      <c r="C136" s="93"/>
      <c r="D136" s="225"/>
      <c r="E136" s="225"/>
      <c r="F136" s="225"/>
      <c r="G136" s="226"/>
      <c r="H136" s="85"/>
    </row>
    <row r="137" spans="1:8" x14ac:dyDescent="0.2">
      <c r="A137" s="368" t="s">
        <v>10</v>
      </c>
      <c r="B137" s="361"/>
      <c r="C137" s="361"/>
      <c r="D137" s="361"/>
      <c r="E137" s="361"/>
      <c r="F137" s="362"/>
      <c r="G137" s="262">
        <f>SUM(G127:G136)</f>
        <v>6</v>
      </c>
      <c r="H137" s="11"/>
    </row>
    <row r="138" spans="1:8" s="23" customFormat="1" ht="18" x14ac:dyDescent="0.2">
      <c r="A138" s="315" t="s">
        <v>39</v>
      </c>
      <c r="B138" s="316"/>
      <c r="C138" s="316"/>
      <c r="D138" s="316"/>
      <c r="E138" s="316"/>
      <c r="F138" s="317"/>
      <c r="G138" s="268">
        <f>G105+G116+G126+G137</f>
        <v>301.25</v>
      </c>
      <c r="H138" s="22"/>
    </row>
    <row r="139" spans="1:8" s="23" customFormat="1" ht="18" x14ac:dyDescent="0.2">
      <c r="A139" s="33"/>
      <c r="B139" s="33"/>
      <c r="C139" s="33"/>
      <c r="D139" s="271"/>
      <c r="E139" s="271"/>
      <c r="F139" s="271"/>
      <c r="G139" s="272"/>
    </row>
    <row r="140" spans="1:8" s="23" customFormat="1" ht="18" x14ac:dyDescent="0.2">
      <c r="A140" s="33"/>
      <c r="B140" s="33"/>
      <c r="C140" s="33"/>
      <c r="D140" s="271"/>
      <c r="E140" s="271"/>
      <c r="F140" s="271"/>
      <c r="G140" s="272"/>
    </row>
    <row r="141" spans="1:8" ht="21.95" customHeight="1" x14ac:dyDescent="0.2">
      <c r="A141" s="319" t="s">
        <v>14</v>
      </c>
      <c r="B141" s="319"/>
      <c r="C141" s="319"/>
      <c r="D141" s="319"/>
      <c r="E141" s="319"/>
      <c r="F141" s="319"/>
      <c r="G141" s="319"/>
      <c r="H141" s="319"/>
    </row>
    <row r="142" spans="1:8" s="9" customFormat="1" ht="20.100000000000001" customHeight="1" x14ac:dyDescent="0.2">
      <c r="A142" s="335" t="str">
        <f>A93</f>
        <v>รายงานการสรุปยอดขายของพนักงานขายประจำเดือน เมษายน ปี 2569</v>
      </c>
      <c r="B142" s="335"/>
      <c r="C142" s="335"/>
      <c r="D142" s="335"/>
      <c r="E142" s="335"/>
      <c r="F142" s="335"/>
      <c r="G142" s="335"/>
      <c r="H142" s="335"/>
    </row>
    <row r="143" spans="1:8" s="3" customFormat="1" ht="20.100000000000001" customHeight="1" x14ac:dyDescent="0.35">
      <c r="A143" s="318" t="str">
        <f>$A$3</f>
        <v>พนักงานขาย นายอำนาจ ชัยประภา</v>
      </c>
      <c r="B143" s="318"/>
      <c r="C143" s="318"/>
      <c r="D143" s="318"/>
      <c r="E143" s="236"/>
      <c r="F143" s="237"/>
      <c r="G143" s="238" t="s">
        <v>21</v>
      </c>
      <c r="H143" s="35">
        <f>H94+1</f>
        <v>4</v>
      </c>
    </row>
    <row r="144" spans="1:8" s="3" customFormat="1" ht="20.100000000000001" customHeight="1" x14ac:dyDescent="0.35">
      <c r="A144" s="311"/>
      <c r="B144" s="311"/>
      <c r="C144" s="311"/>
      <c r="D144" s="240"/>
      <c r="E144" s="236"/>
      <c r="F144" s="274">
        <f>$F$4</f>
        <v>46107</v>
      </c>
      <c r="G144" s="242" t="s">
        <v>82</v>
      </c>
      <c r="H144" s="34">
        <f>$H$4</f>
        <v>46136</v>
      </c>
    </row>
    <row r="145" spans="1:8" x14ac:dyDescent="0.2">
      <c r="A145" s="12" t="s">
        <v>23</v>
      </c>
      <c r="B145" s="13" t="s">
        <v>11</v>
      </c>
      <c r="C145" s="14" t="s">
        <v>26</v>
      </c>
      <c r="D145" s="245" t="s">
        <v>83</v>
      </c>
      <c r="E145" s="243" t="s">
        <v>16</v>
      </c>
      <c r="F145" s="243" t="s">
        <v>17</v>
      </c>
      <c r="G145" s="246" t="s">
        <v>18</v>
      </c>
      <c r="H145" s="12" t="s">
        <v>19</v>
      </c>
    </row>
    <row r="146" spans="1:8" x14ac:dyDescent="0.2">
      <c r="A146" s="15"/>
      <c r="B146" s="16"/>
      <c r="C146" s="17"/>
      <c r="D146" s="250"/>
      <c r="E146" s="251"/>
      <c r="F146" s="251"/>
      <c r="G146" s="252" t="s">
        <v>20</v>
      </c>
      <c r="H146" s="15"/>
    </row>
    <row r="147" spans="1:8" x14ac:dyDescent="0.2">
      <c r="A147" s="8" t="s">
        <v>0</v>
      </c>
      <c r="B147" s="5">
        <f>B127+1</f>
        <v>46119</v>
      </c>
      <c r="C147" s="83"/>
      <c r="D147" s="230" t="s">
        <v>1675</v>
      </c>
      <c r="E147" s="230" t="s">
        <v>1697</v>
      </c>
      <c r="F147" s="230" t="s">
        <v>1642</v>
      </c>
      <c r="G147" s="231">
        <v>75.5</v>
      </c>
      <c r="H147" s="85"/>
    </row>
    <row r="148" spans="1:8" x14ac:dyDescent="0.2">
      <c r="A148" s="8" t="s">
        <v>1</v>
      </c>
      <c r="B148" s="5"/>
      <c r="C148" s="83"/>
      <c r="D148" s="230" t="s">
        <v>1671</v>
      </c>
      <c r="E148" s="230" t="s">
        <v>1693</v>
      </c>
      <c r="F148" s="230" t="s">
        <v>1652</v>
      </c>
      <c r="G148" s="231">
        <v>8</v>
      </c>
      <c r="H148" s="86"/>
    </row>
    <row r="149" spans="1:8" x14ac:dyDescent="0.2">
      <c r="A149" s="8" t="s">
        <v>2</v>
      </c>
      <c r="B149" s="5"/>
      <c r="C149" s="83"/>
      <c r="D149" s="230" t="s">
        <v>1716</v>
      </c>
      <c r="E149" s="230" t="s">
        <v>1719</v>
      </c>
      <c r="F149" s="230" t="s">
        <v>1652</v>
      </c>
      <c r="G149" s="231">
        <v>11</v>
      </c>
      <c r="H149" s="85"/>
    </row>
    <row r="150" spans="1:8" x14ac:dyDescent="0.2">
      <c r="A150" s="8" t="s">
        <v>3</v>
      </c>
      <c r="B150" s="5"/>
      <c r="C150" s="83"/>
      <c r="D150" s="230" t="s">
        <v>1712</v>
      </c>
      <c r="E150" s="230" t="s">
        <v>1720</v>
      </c>
      <c r="F150" s="230" t="s">
        <v>1649</v>
      </c>
      <c r="G150" s="231">
        <v>8</v>
      </c>
      <c r="H150" s="85"/>
    </row>
    <row r="151" spans="1:8" x14ac:dyDescent="0.2">
      <c r="A151" s="8" t="s">
        <v>4</v>
      </c>
      <c r="B151" s="5"/>
      <c r="C151" s="83"/>
      <c r="D151" s="230" t="s">
        <v>1678</v>
      </c>
      <c r="E151" s="230" t="s">
        <v>1679</v>
      </c>
      <c r="F151" s="230" t="s">
        <v>1645</v>
      </c>
      <c r="G151" s="231">
        <v>13</v>
      </c>
      <c r="H151" s="85"/>
    </row>
    <row r="152" spans="1:8" x14ac:dyDescent="0.2">
      <c r="A152" s="8" t="s">
        <v>5</v>
      </c>
      <c r="B152" s="5"/>
      <c r="C152" s="83"/>
      <c r="D152" s="230" t="s">
        <v>1669</v>
      </c>
      <c r="E152" s="230" t="s">
        <v>1670</v>
      </c>
      <c r="F152" s="230" t="s">
        <v>1652</v>
      </c>
      <c r="G152" s="231">
        <v>16</v>
      </c>
      <c r="H152" s="85"/>
    </row>
    <row r="153" spans="1:8" hidden="1" x14ac:dyDescent="0.2">
      <c r="A153" s="8" t="s">
        <v>6</v>
      </c>
      <c r="B153" s="5"/>
      <c r="C153" s="83"/>
      <c r="D153" s="230"/>
      <c r="E153" s="230"/>
      <c r="F153" s="230"/>
      <c r="G153" s="231"/>
      <c r="H153" s="85"/>
    </row>
    <row r="154" spans="1:8" hidden="1" x14ac:dyDescent="0.2">
      <c r="A154" s="8" t="s">
        <v>7</v>
      </c>
      <c r="B154" s="5"/>
      <c r="C154" s="83"/>
      <c r="D154" s="225"/>
      <c r="E154" s="225"/>
      <c r="F154" s="225"/>
      <c r="G154" s="226"/>
      <c r="H154" s="85"/>
    </row>
    <row r="155" spans="1:8" x14ac:dyDescent="0.2">
      <c r="A155" s="312" t="s">
        <v>10</v>
      </c>
      <c r="B155" s="313"/>
      <c r="C155" s="313"/>
      <c r="D155" s="361"/>
      <c r="E155" s="361"/>
      <c r="F155" s="362"/>
      <c r="G155" s="262">
        <f>SUM(G147:G154)</f>
        <v>131.5</v>
      </c>
      <c r="H155" s="11"/>
    </row>
    <row r="156" spans="1:8" x14ac:dyDescent="0.2">
      <c r="A156" s="8" t="s">
        <v>0</v>
      </c>
      <c r="B156" s="5">
        <f>B147+1</f>
        <v>46120</v>
      </c>
      <c r="C156" s="83"/>
      <c r="D156" s="230" t="s">
        <v>1671</v>
      </c>
      <c r="E156" s="232" t="s">
        <v>1672</v>
      </c>
      <c r="F156" s="230" t="s">
        <v>1652</v>
      </c>
      <c r="G156" s="231">
        <v>4.5</v>
      </c>
      <c r="H156" s="85"/>
    </row>
    <row r="157" spans="1:8" x14ac:dyDescent="0.2">
      <c r="A157" s="8" t="s">
        <v>1</v>
      </c>
      <c r="B157" s="5"/>
      <c r="C157" s="83"/>
      <c r="D157" s="230" t="s">
        <v>1706</v>
      </c>
      <c r="E157" s="232" t="s">
        <v>1707</v>
      </c>
      <c r="F157" s="230" t="s">
        <v>1652</v>
      </c>
      <c r="G157" s="231">
        <v>8</v>
      </c>
      <c r="H157" s="86"/>
    </row>
    <row r="158" spans="1:8" x14ac:dyDescent="0.2">
      <c r="A158" s="8" t="s">
        <v>2</v>
      </c>
      <c r="B158" s="5"/>
      <c r="C158" s="83"/>
      <c r="D158" s="230" t="s">
        <v>1671</v>
      </c>
      <c r="E158" s="232" t="s">
        <v>1722</v>
      </c>
      <c r="F158" s="230" t="s">
        <v>1652</v>
      </c>
      <c r="G158" s="231">
        <v>10.5</v>
      </c>
      <c r="H158" s="85"/>
    </row>
    <row r="159" spans="1:8" x14ac:dyDescent="0.2">
      <c r="A159" s="8" t="s">
        <v>3</v>
      </c>
      <c r="B159" s="5"/>
      <c r="C159" s="83"/>
      <c r="D159" s="230" t="s">
        <v>1683</v>
      </c>
      <c r="E159" s="232" t="s">
        <v>1723</v>
      </c>
      <c r="F159" s="230" t="s">
        <v>1652</v>
      </c>
      <c r="G159" s="231">
        <v>13</v>
      </c>
      <c r="H159" s="85"/>
    </row>
    <row r="160" spans="1:8" x14ac:dyDescent="0.2">
      <c r="A160" s="8" t="s">
        <v>4</v>
      </c>
      <c r="B160" s="5"/>
      <c r="C160" s="83"/>
      <c r="D160" s="230" t="s">
        <v>1724</v>
      </c>
      <c r="E160" s="232" t="s">
        <v>1725</v>
      </c>
      <c r="F160" s="230" t="s">
        <v>1726</v>
      </c>
      <c r="G160" s="231">
        <v>2</v>
      </c>
      <c r="H160" s="85"/>
    </row>
    <row r="161" spans="1:8" x14ac:dyDescent="0.2">
      <c r="A161" s="8" t="s">
        <v>5</v>
      </c>
      <c r="B161" s="5"/>
      <c r="C161" s="83"/>
      <c r="D161" s="230" t="s">
        <v>1712</v>
      </c>
      <c r="E161" s="232" t="s">
        <v>1720</v>
      </c>
      <c r="F161" s="230" t="s">
        <v>1649</v>
      </c>
      <c r="G161" s="231">
        <v>10</v>
      </c>
      <c r="H161" s="85"/>
    </row>
    <row r="162" spans="1:8" x14ac:dyDescent="0.2">
      <c r="A162" s="8" t="s">
        <v>6</v>
      </c>
      <c r="B162" s="5"/>
      <c r="C162" s="83"/>
      <c r="D162" s="230" t="s">
        <v>1680</v>
      </c>
      <c r="E162" s="232" t="s">
        <v>1681</v>
      </c>
      <c r="F162" s="230" t="s">
        <v>1648</v>
      </c>
      <c r="G162" s="231">
        <v>5</v>
      </c>
      <c r="H162" s="85"/>
    </row>
    <row r="163" spans="1:8" x14ac:dyDescent="0.2">
      <c r="A163" s="8" t="s">
        <v>7</v>
      </c>
      <c r="B163" s="5"/>
      <c r="C163" s="83"/>
      <c r="D163" s="230" t="s">
        <v>1680</v>
      </c>
      <c r="E163" s="232" t="s">
        <v>1681</v>
      </c>
      <c r="F163" s="230" t="s">
        <v>1642</v>
      </c>
      <c r="G163" s="231">
        <v>16</v>
      </c>
      <c r="H163" s="85"/>
    </row>
    <row r="164" spans="1:8" hidden="1" x14ac:dyDescent="0.2">
      <c r="A164" s="8" t="s">
        <v>8</v>
      </c>
      <c r="B164" s="5"/>
      <c r="C164" s="83"/>
      <c r="D164" s="225"/>
      <c r="E164" s="225"/>
      <c r="F164" s="225"/>
      <c r="G164" s="226"/>
      <c r="H164" s="85"/>
    </row>
    <row r="165" spans="1:8" x14ac:dyDescent="0.2">
      <c r="A165" s="312" t="s">
        <v>10</v>
      </c>
      <c r="B165" s="313"/>
      <c r="C165" s="313"/>
      <c r="D165" s="361"/>
      <c r="E165" s="361"/>
      <c r="F165" s="362"/>
      <c r="G165" s="262">
        <f>SUM(G156:G164)</f>
        <v>69</v>
      </c>
      <c r="H165" s="11"/>
    </row>
    <row r="166" spans="1:8" x14ac:dyDescent="0.2">
      <c r="A166" s="8" t="s">
        <v>0</v>
      </c>
      <c r="B166" s="5">
        <f>B156+1</f>
        <v>46121</v>
      </c>
      <c r="C166" s="83"/>
      <c r="D166" s="230" t="s">
        <v>1675</v>
      </c>
      <c r="E166" s="230" t="s">
        <v>1697</v>
      </c>
      <c r="F166" s="230" t="s">
        <v>1642</v>
      </c>
      <c r="G166" s="231">
        <v>82</v>
      </c>
      <c r="H166" s="92"/>
    </row>
    <row r="167" spans="1:8" x14ac:dyDescent="0.2">
      <c r="A167" s="8" t="s">
        <v>1</v>
      </c>
      <c r="B167" s="5"/>
      <c r="C167" s="83"/>
      <c r="D167" s="230" t="s">
        <v>1671</v>
      </c>
      <c r="E167" s="230" t="s">
        <v>1672</v>
      </c>
      <c r="F167" s="230" t="s">
        <v>1652</v>
      </c>
      <c r="G167" s="231">
        <v>4</v>
      </c>
      <c r="H167" s="92"/>
    </row>
    <row r="168" spans="1:8" x14ac:dyDescent="0.2">
      <c r="A168" s="8" t="s">
        <v>2</v>
      </c>
      <c r="B168" s="5"/>
      <c r="C168" s="83"/>
      <c r="D168" s="230" t="s">
        <v>1664</v>
      </c>
      <c r="E168" s="230" t="s">
        <v>1665</v>
      </c>
      <c r="F168" s="230" t="s">
        <v>1652</v>
      </c>
      <c r="G168" s="231">
        <v>4</v>
      </c>
      <c r="H168" s="92"/>
    </row>
    <row r="169" spans="1:8" x14ac:dyDescent="0.2">
      <c r="A169" s="8" t="s">
        <v>3</v>
      </c>
      <c r="B169" s="5"/>
      <c r="C169" s="83"/>
      <c r="D169" s="230" t="s">
        <v>1683</v>
      </c>
      <c r="E169" s="230" t="s">
        <v>1723</v>
      </c>
      <c r="F169" s="230" t="s">
        <v>1652</v>
      </c>
      <c r="G169" s="231">
        <v>6</v>
      </c>
      <c r="H169" s="92"/>
    </row>
    <row r="170" spans="1:8" x14ac:dyDescent="0.2">
      <c r="A170" s="8" t="s">
        <v>4</v>
      </c>
      <c r="B170" s="5"/>
      <c r="C170" s="83"/>
      <c r="D170" s="230" t="s">
        <v>1728</v>
      </c>
      <c r="E170" s="230" t="s">
        <v>1729</v>
      </c>
      <c r="F170" s="230" t="s">
        <v>1726</v>
      </c>
      <c r="G170" s="231">
        <v>6</v>
      </c>
      <c r="H170" s="85"/>
    </row>
    <row r="171" spans="1:8" x14ac:dyDescent="0.2">
      <c r="A171" s="8" t="s">
        <v>5</v>
      </c>
      <c r="B171" s="5"/>
      <c r="C171" s="83"/>
      <c r="D171" s="230" t="s">
        <v>1712</v>
      </c>
      <c r="E171" s="230" t="s">
        <v>1713</v>
      </c>
      <c r="F171" s="230" t="s">
        <v>1649</v>
      </c>
      <c r="G171" s="231">
        <v>10</v>
      </c>
      <c r="H171" s="85"/>
    </row>
    <row r="172" spans="1:8" x14ac:dyDescent="0.2">
      <c r="A172" s="8">
        <v>7</v>
      </c>
      <c r="B172" s="5"/>
      <c r="C172" s="83"/>
      <c r="D172" s="230" t="s">
        <v>1730</v>
      </c>
      <c r="E172" s="230" t="s">
        <v>1731</v>
      </c>
      <c r="F172" s="230" t="s">
        <v>1649</v>
      </c>
      <c r="G172" s="231">
        <v>12</v>
      </c>
      <c r="H172" s="85"/>
    </row>
    <row r="173" spans="1:8" x14ac:dyDescent="0.2">
      <c r="A173" s="8">
        <v>8</v>
      </c>
      <c r="B173" s="5"/>
      <c r="C173" s="83"/>
      <c r="D173" s="230" t="s">
        <v>1659</v>
      </c>
      <c r="E173" s="230" t="s">
        <v>1660</v>
      </c>
      <c r="F173" s="230" t="s">
        <v>632</v>
      </c>
      <c r="G173" s="231">
        <v>95</v>
      </c>
      <c r="H173" s="85"/>
    </row>
    <row r="174" spans="1:8" x14ac:dyDescent="0.2">
      <c r="A174" s="312" t="s">
        <v>10</v>
      </c>
      <c r="B174" s="313"/>
      <c r="C174" s="313"/>
      <c r="D174" s="313"/>
      <c r="E174" s="313"/>
      <c r="F174" s="314"/>
      <c r="G174" s="267">
        <f>SUM(G166:G173)</f>
        <v>219</v>
      </c>
      <c r="H174" s="11"/>
    </row>
    <row r="175" spans="1:8" x14ac:dyDescent="0.2">
      <c r="A175" s="8" t="s">
        <v>0</v>
      </c>
      <c r="B175" s="5">
        <f>B166+1</f>
        <v>46122</v>
      </c>
      <c r="C175" s="83"/>
      <c r="D175" s="230" t="s">
        <v>1664</v>
      </c>
      <c r="E175" s="230" t="s">
        <v>1665</v>
      </c>
      <c r="F175" s="230" t="s">
        <v>1652</v>
      </c>
      <c r="G175" s="231">
        <v>24</v>
      </c>
      <c r="H175" s="92"/>
    </row>
    <row r="176" spans="1:8" x14ac:dyDescent="0.2">
      <c r="A176" s="8" t="s">
        <v>1</v>
      </c>
      <c r="B176" s="5"/>
      <c r="C176" s="83"/>
      <c r="D176" s="230" t="s">
        <v>1706</v>
      </c>
      <c r="E176" s="230" t="s">
        <v>1707</v>
      </c>
      <c r="F176" s="230" t="s">
        <v>1652</v>
      </c>
      <c r="G176" s="231">
        <v>19</v>
      </c>
      <c r="H176" s="95"/>
    </row>
    <row r="177" spans="1:8" x14ac:dyDescent="0.2">
      <c r="A177" s="8" t="s">
        <v>2</v>
      </c>
      <c r="B177" s="5"/>
      <c r="C177" s="83"/>
      <c r="D177" s="230" t="s">
        <v>1669</v>
      </c>
      <c r="E177" s="230" t="s">
        <v>1696</v>
      </c>
      <c r="F177" s="230" t="s">
        <v>1652</v>
      </c>
      <c r="G177" s="231">
        <v>13</v>
      </c>
      <c r="H177" s="92"/>
    </row>
    <row r="178" spans="1:8" x14ac:dyDescent="0.2">
      <c r="A178" s="8" t="s">
        <v>3</v>
      </c>
      <c r="B178" s="5"/>
      <c r="C178" s="83"/>
      <c r="D178" s="230" t="s">
        <v>1659</v>
      </c>
      <c r="E178" s="230" t="s">
        <v>1660</v>
      </c>
      <c r="F178" s="230" t="s">
        <v>1661</v>
      </c>
      <c r="G178" s="231">
        <v>6.5</v>
      </c>
      <c r="H178" s="92"/>
    </row>
    <row r="179" spans="1:8" hidden="1" x14ac:dyDescent="0.2">
      <c r="A179" s="8" t="s">
        <v>4</v>
      </c>
      <c r="B179" s="5"/>
      <c r="C179" s="83"/>
      <c r="D179" s="230"/>
      <c r="E179" s="230"/>
      <c r="F179" s="230"/>
      <c r="G179" s="231"/>
      <c r="H179" s="92"/>
    </row>
    <row r="180" spans="1:8" hidden="1" x14ac:dyDescent="0.2">
      <c r="A180" s="8" t="s">
        <v>5</v>
      </c>
      <c r="B180" s="5"/>
      <c r="C180" s="83"/>
      <c r="D180" s="225"/>
      <c r="E180" s="225"/>
      <c r="F180" s="225"/>
      <c r="G180" s="226"/>
      <c r="H180" s="92"/>
    </row>
    <row r="181" spans="1:8" hidden="1" x14ac:dyDescent="0.2">
      <c r="A181" s="8" t="s">
        <v>6</v>
      </c>
      <c r="B181" s="5"/>
      <c r="C181" s="83"/>
      <c r="D181" s="225"/>
      <c r="E181" s="225"/>
      <c r="F181" s="225"/>
      <c r="G181" s="226"/>
      <c r="H181" s="92"/>
    </row>
    <row r="182" spans="1:8" hidden="1" x14ac:dyDescent="0.2">
      <c r="A182" s="8" t="s">
        <v>7</v>
      </c>
      <c r="B182" s="5"/>
      <c r="C182" s="83"/>
      <c r="D182" s="225"/>
      <c r="E182" s="225"/>
      <c r="F182" s="225"/>
      <c r="G182" s="226"/>
      <c r="H182" s="92"/>
    </row>
    <row r="183" spans="1:8" hidden="1" x14ac:dyDescent="0.2">
      <c r="A183" s="8" t="s">
        <v>8</v>
      </c>
      <c r="B183" s="5"/>
      <c r="C183" s="83"/>
      <c r="D183" s="225"/>
      <c r="E183" s="225"/>
      <c r="F183" s="225"/>
      <c r="G183" s="226"/>
      <c r="H183" s="92"/>
    </row>
    <row r="184" spans="1:8" hidden="1" x14ac:dyDescent="0.2">
      <c r="A184" s="8" t="s">
        <v>9</v>
      </c>
      <c r="B184" s="5"/>
      <c r="C184" s="83"/>
      <c r="D184" s="225"/>
      <c r="E184" s="225"/>
      <c r="F184" s="225"/>
      <c r="G184" s="226"/>
      <c r="H184" s="92"/>
    </row>
    <row r="185" spans="1:8" hidden="1" x14ac:dyDescent="0.2">
      <c r="A185" s="8" t="s">
        <v>99</v>
      </c>
      <c r="B185" s="5"/>
      <c r="C185" s="83"/>
      <c r="D185" s="225"/>
      <c r="E185" s="225"/>
      <c r="F185" s="225"/>
      <c r="G185" s="226"/>
      <c r="H185" s="92"/>
    </row>
    <row r="186" spans="1:8" hidden="1" x14ac:dyDescent="0.2">
      <c r="A186" s="8" t="s">
        <v>100</v>
      </c>
      <c r="B186" s="5"/>
      <c r="C186" s="83"/>
      <c r="D186" s="225"/>
      <c r="E186" s="225"/>
      <c r="F186" s="225"/>
      <c r="G186" s="226"/>
      <c r="H186" s="92"/>
    </row>
    <row r="187" spans="1:8" hidden="1" x14ac:dyDescent="0.2">
      <c r="A187" s="8" t="s">
        <v>104</v>
      </c>
      <c r="B187" s="5"/>
      <c r="C187" s="83"/>
      <c r="D187" s="225"/>
      <c r="E187" s="225"/>
      <c r="F187" s="226"/>
      <c r="G187" s="226"/>
      <c r="H187" s="92"/>
    </row>
    <row r="188" spans="1:8" x14ac:dyDescent="0.2">
      <c r="A188" s="312" t="s">
        <v>10</v>
      </c>
      <c r="B188" s="313"/>
      <c r="C188" s="313"/>
      <c r="D188" s="361"/>
      <c r="E188" s="361"/>
      <c r="F188" s="362"/>
      <c r="G188" s="262">
        <f>SUM(G175:G187)</f>
        <v>62.5</v>
      </c>
      <c r="H188" s="11"/>
    </row>
    <row r="189" spans="1:8" s="23" customFormat="1" ht="18" x14ac:dyDescent="0.2">
      <c r="A189" s="315" t="s">
        <v>39</v>
      </c>
      <c r="B189" s="316"/>
      <c r="C189" s="316"/>
      <c r="D189" s="316"/>
      <c r="E189" s="316"/>
      <c r="F189" s="317"/>
      <c r="G189" s="268">
        <f>G155+G165+G174+G188</f>
        <v>482</v>
      </c>
      <c r="H189" s="22"/>
    </row>
    <row r="190" spans="1:8" s="23" customFormat="1" ht="18" x14ac:dyDescent="0.2">
      <c r="A190" s="33"/>
      <c r="B190" s="33"/>
      <c r="C190" s="33"/>
      <c r="D190" s="271"/>
      <c r="E190" s="271"/>
      <c r="F190" s="271"/>
      <c r="G190" s="272"/>
    </row>
    <row r="191" spans="1:8" s="23" customFormat="1" ht="18" x14ac:dyDescent="0.2">
      <c r="A191" s="33"/>
      <c r="B191" s="33"/>
      <c r="C191" s="33"/>
      <c r="D191" s="271"/>
      <c r="E191" s="271"/>
      <c r="F191" s="271"/>
      <c r="G191" s="272"/>
    </row>
    <row r="192" spans="1:8" ht="21.95" customHeight="1" x14ac:dyDescent="0.2">
      <c r="A192" s="319" t="s">
        <v>14</v>
      </c>
      <c r="B192" s="319"/>
      <c r="C192" s="319"/>
      <c r="D192" s="319"/>
      <c r="E192" s="319"/>
      <c r="F192" s="319"/>
      <c r="G192" s="319"/>
      <c r="H192" s="319"/>
    </row>
    <row r="193" spans="1:8" s="9" customFormat="1" ht="20.100000000000001" customHeight="1" x14ac:dyDescent="0.2">
      <c r="A193" s="335" t="str">
        <f>A142</f>
        <v>รายงานการสรุปยอดขายของพนักงานขายประจำเดือน เมษายน ปี 2569</v>
      </c>
      <c r="B193" s="335"/>
      <c r="C193" s="335"/>
      <c r="D193" s="335"/>
      <c r="E193" s="335"/>
      <c r="F193" s="335"/>
      <c r="G193" s="335"/>
      <c r="H193" s="335"/>
    </row>
    <row r="194" spans="1:8" s="3" customFormat="1" ht="20.100000000000001" customHeight="1" x14ac:dyDescent="0.35">
      <c r="A194" s="318" t="str">
        <f>$A$3</f>
        <v>พนักงานขาย นายอำนาจ ชัยประภา</v>
      </c>
      <c r="B194" s="318"/>
      <c r="C194" s="318"/>
      <c r="D194" s="318"/>
      <c r="E194" s="236"/>
      <c r="F194" s="237"/>
      <c r="G194" s="238" t="s">
        <v>21</v>
      </c>
      <c r="H194" s="35">
        <f>H143+1</f>
        <v>5</v>
      </c>
    </row>
    <row r="195" spans="1:8" s="3" customFormat="1" ht="20.100000000000001" customHeight="1" x14ac:dyDescent="0.35">
      <c r="A195" s="311"/>
      <c r="B195" s="311"/>
      <c r="C195" s="311"/>
      <c r="D195" s="240"/>
      <c r="E195" s="236"/>
      <c r="F195" s="274">
        <f>$F$4</f>
        <v>46107</v>
      </c>
      <c r="G195" s="242" t="s">
        <v>82</v>
      </c>
      <c r="H195" s="34">
        <f>$H$4</f>
        <v>46136</v>
      </c>
    </row>
    <row r="196" spans="1:8" x14ac:dyDescent="0.2">
      <c r="A196" s="12" t="s">
        <v>23</v>
      </c>
      <c r="B196" s="13" t="s">
        <v>11</v>
      </c>
      <c r="C196" s="14" t="s">
        <v>26</v>
      </c>
      <c r="D196" s="245" t="s">
        <v>83</v>
      </c>
      <c r="E196" s="243" t="s">
        <v>16</v>
      </c>
      <c r="F196" s="243" t="s">
        <v>17</v>
      </c>
      <c r="G196" s="246" t="s">
        <v>18</v>
      </c>
      <c r="H196" s="12" t="s">
        <v>19</v>
      </c>
    </row>
    <row r="197" spans="1:8" x14ac:dyDescent="0.2">
      <c r="A197" s="15"/>
      <c r="B197" s="16"/>
      <c r="C197" s="17"/>
      <c r="D197" s="249"/>
      <c r="E197" s="247"/>
      <c r="F197" s="247"/>
      <c r="G197" s="288" t="s">
        <v>20</v>
      </c>
      <c r="H197" s="15"/>
    </row>
    <row r="198" spans="1:8" x14ac:dyDescent="0.2">
      <c r="A198" s="8" t="s">
        <v>0</v>
      </c>
      <c r="B198" s="5">
        <f>B175+1</f>
        <v>46123</v>
      </c>
      <c r="C198" s="83"/>
      <c r="D198" s="230" t="s">
        <v>1675</v>
      </c>
      <c r="E198" s="230" t="s">
        <v>1697</v>
      </c>
      <c r="F198" s="230" t="s">
        <v>1642</v>
      </c>
      <c r="G198" s="231">
        <v>117</v>
      </c>
      <c r="H198" s="92"/>
    </row>
    <row r="199" spans="1:8" hidden="1" x14ac:dyDescent="0.2">
      <c r="A199" s="8" t="s">
        <v>1</v>
      </c>
      <c r="B199" s="5"/>
      <c r="C199" s="83"/>
      <c r="D199" s="225"/>
      <c r="E199" s="225"/>
      <c r="F199" s="225"/>
      <c r="G199" s="226"/>
      <c r="H199" s="95"/>
    </row>
    <row r="200" spans="1:8" hidden="1" x14ac:dyDescent="0.2">
      <c r="A200" s="8" t="s">
        <v>2</v>
      </c>
      <c r="B200" s="5"/>
      <c r="C200" s="83"/>
      <c r="D200" s="225"/>
      <c r="E200" s="225"/>
      <c r="F200" s="225"/>
      <c r="G200" s="226"/>
      <c r="H200" s="92"/>
    </row>
    <row r="201" spans="1:8" hidden="1" x14ac:dyDescent="0.2">
      <c r="A201" s="8" t="s">
        <v>3</v>
      </c>
      <c r="B201" s="5"/>
      <c r="C201" s="83"/>
      <c r="D201" s="225"/>
      <c r="E201" s="225"/>
      <c r="F201" s="225"/>
      <c r="G201" s="226"/>
      <c r="H201" s="85"/>
    </row>
    <row r="202" spans="1:8" hidden="1" x14ac:dyDescent="0.2">
      <c r="A202" s="8" t="s">
        <v>4</v>
      </c>
      <c r="B202" s="5"/>
      <c r="C202" s="83"/>
      <c r="D202" s="225"/>
      <c r="E202" s="225"/>
      <c r="F202" s="225"/>
      <c r="G202" s="226"/>
      <c r="H202" s="85"/>
    </row>
    <row r="203" spans="1:8" hidden="1" x14ac:dyDescent="0.2">
      <c r="A203" s="8" t="s">
        <v>5</v>
      </c>
      <c r="B203" s="5"/>
      <c r="C203" s="83"/>
      <c r="D203" s="225"/>
      <c r="E203" s="225"/>
      <c r="F203" s="226"/>
      <c r="G203" s="226"/>
      <c r="H203" s="85"/>
    </row>
    <row r="204" spans="1:8" hidden="1" x14ac:dyDescent="0.2">
      <c r="A204" s="8" t="s">
        <v>6</v>
      </c>
      <c r="B204" s="5"/>
      <c r="C204" s="83"/>
      <c r="D204" s="225"/>
      <c r="E204" s="225"/>
      <c r="F204" s="226"/>
      <c r="G204" s="226"/>
      <c r="H204" s="85"/>
    </row>
    <row r="205" spans="1:8" x14ac:dyDescent="0.2">
      <c r="A205" s="312" t="s">
        <v>10</v>
      </c>
      <c r="B205" s="313"/>
      <c r="C205" s="313"/>
      <c r="D205" s="313"/>
      <c r="E205" s="313"/>
      <c r="F205" s="314"/>
      <c r="G205" s="267">
        <f>SUM(G198:G204)</f>
        <v>117</v>
      </c>
      <c r="H205" s="11"/>
    </row>
    <row r="206" spans="1:8" x14ac:dyDescent="0.2">
      <c r="A206" s="8" t="s">
        <v>0</v>
      </c>
      <c r="B206" s="5">
        <f>B198+1</f>
        <v>46124</v>
      </c>
      <c r="C206" s="83"/>
      <c r="D206" s="225"/>
      <c r="E206" s="225"/>
      <c r="F206" s="225"/>
      <c r="G206" s="226"/>
      <c r="H206" s="92"/>
    </row>
    <row r="207" spans="1:8" hidden="1" x14ac:dyDescent="0.2">
      <c r="A207" s="8" t="s">
        <v>1</v>
      </c>
      <c r="B207" s="5"/>
      <c r="C207" s="83"/>
      <c r="D207" s="225"/>
      <c r="E207" s="225"/>
      <c r="F207" s="225"/>
      <c r="G207" s="226"/>
      <c r="H207" s="95"/>
    </row>
    <row r="208" spans="1:8" hidden="1" x14ac:dyDescent="0.2">
      <c r="A208" s="8" t="s">
        <v>2</v>
      </c>
      <c r="B208" s="5"/>
      <c r="C208" s="83"/>
      <c r="D208" s="225"/>
      <c r="E208" s="225"/>
      <c r="F208" s="225"/>
      <c r="G208" s="226"/>
      <c r="H208" s="92"/>
    </row>
    <row r="209" spans="1:8" hidden="1" x14ac:dyDescent="0.2">
      <c r="A209" s="8" t="s">
        <v>3</v>
      </c>
      <c r="B209" s="5"/>
      <c r="C209" s="83"/>
      <c r="D209" s="225"/>
      <c r="E209" s="225"/>
      <c r="F209" s="225"/>
      <c r="G209" s="226"/>
      <c r="H209" s="85"/>
    </row>
    <row r="210" spans="1:8" hidden="1" x14ac:dyDescent="0.2">
      <c r="A210" s="8" t="s">
        <v>4</v>
      </c>
      <c r="B210" s="5"/>
      <c r="C210" s="83"/>
      <c r="D210" s="225"/>
      <c r="E210" s="263"/>
      <c r="F210" s="225"/>
      <c r="G210" s="226"/>
      <c r="H210" s="85"/>
    </row>
    <row r="211" spans="1:8" hidden="1" x14ac:dyDescent="0.2">
      <c r="A211" s="8" t="s">
        <v>5</v>
      </c>
      <c r="B211" s="5"/>
      <c r="C211" s="83"/>
      <c r="D211" s="225"/>
      <c r="E211" s="225"/>
      <c r="F211" s="225"/>
      <c r="G211" s="226"/>
      <c r="H211" s="85"/>
    </row>
    <row r="212" spans="1:8" hidden="1" x14ac:dyDescent="0.2">
      <c r="A212" s="8" t="s">
        <v>6</v>
      </c>
      <c r="B212" s="5"/>
      <c r="C212" s="83"/>
      <c r="D212" s="225"/>
      <c r="E212" s="302"/>
      <c r="F212" s="225"/>
      <c r="G212" s="226"/>
      <c r="H212" s="85"/>
    </row>
    <row r="213" spans="1:8" x14ac:dyDescent="0.2">
      <c r="A213" s="312" t="s">
        <v>10</v>
      </c>
      <c r="B213" s="313"/>
      <c r="C213" s="313"/>
      <c r="D213" s="313"/>
      <c r="E213" s="313"/>
      <c r="F213" s="314"/>
      <c r="G213" s="267">
        <f>SUM(G206:G212)</f>
        <v>0</v>
      </c>
      <c r="H213" s="11"/>
    </row>
    <row r="214" spans="1:8" x14ac:dyDescent="0.2">
      <c r="A214" s="8" t="s">
        <v>0</v>
      </c>
      <c r="B214" s="5">
        <f>B206+1</f>
        <v>46125</v>
      </c>
      <c r="C214" s="83"/>
      <c r="D214" s="225"/>
      <c r="E214" s="225"/>
      <c r="F214" s="225"/>
      <c r="G214" s="226"/>
      <c r="H214" s="92"/>
    </row>
    <row r="215" spans="1:8" hidden="1" x14ac:dyDescent="0.2">
      <c r="A215" s="8" t="s">
        <v>1</v>
      </c>
      <c r="B215" s="5"/>
      <c r="C215" s="83"/>
      <c r="D215" s="225"/>
      <c r="E215" s="225"/>
      <c r="F215" s="225"/>
      <c r="G215" s="226"/>
      <c r="H215" s="92"/>
    </row>
    <row r="216" spans="1:8" hidden="1" x14ac:dyDescent="0.2">
      <c r="A216" s="8" t="s">
        <v>2</v>
      </c>
      <c r="B216" s="5"/>
      <c r="C216" s="83"/>
      <c r="D216" s="225"/>
      <c r="E216" s="225"/>
      <c r="F216" s="225"/>
      <c r="G216" s="226"/>
      <c r="H216" s="92"/>
    </row>
    <row r="217" spans="1:8" hidden="1" x14ac:dyDescent="0.2">
      <c r="A217" s="8" t="s">
        <v>3</v>
      </c>
      <c r="B217" s="5"/>
      <c r="C217" s="83"/>
      <c r="D217" s="225"/>
      <c r="E217" s="225"/>
      <c r="F217" s="225"/>
      <c r="G217" s="226"/>
      <c r="H217" s="92"/>
    </row>
    <row r="218" spans="1:8" hidden="1" x14ac:dyDescent="0.2">
      <c r="A218" s="8" t="s">
        <v>4</v>
      </c>
      <c r="B218" s="5"/>
      <c r="C218" s="83"/>
      <c r="D218" s="225"/>
      <c r="E218" s="225"/>
      <c r="F218" s="225"/>
      <c r="G218" s="226"/>
      <c r="H218" s="92"/>
    </row>
    <row r="219" spans="1:8" hidden="1" x14ac:dyDescent="0.2">
      <c r="A219" s="8" t="s">
        <v>5</v>
      </c>
      <c r="B219" s="5"/>
      <c r="C219" s="83"/>
      <c r="D219" s="227"/>
      <c r="E219" s="227"/>
      <c r="F219" s="227"/>
      <c r="G219" s="228"/>
      <c r="H219" s="54"/>
    </row>
    <row r="220" spans="1:8" hidden="1" x14ac:dyDescent="0.2">
      <c r="A220" s="8" t="s">
        <v>6</v>
      </c>
      <c r="B220" s="5"/>
      <c r="C220" s="83"/>
      <c r="D220" s="225"/>
      <c r="E220" s="225"/>
      <c r="F220" s="225"/>
      <c r="G220" s="226"/>
      <c r="H220" s="85"/>
    </row>
    <row r="221" spans="1:8" hidden="1" x14ac:dyDescent="0.2">
      <c r="A221" s="8" t="s">
        <v>7</v>
      </c>
      <c r="B221" s="5"/>
      <c r="C221" s="83"/>
      <c r="D221" s="225"/>
      <c r="E221" s="263"/>
      <c r="F221" s="225"/>
      <c r="G221" s="226"/>
      <c r="H221" s="85"/>
    </row>
    <row r="222" spans="1:8" hidden="1" x14ac:dyDescent="0.2">
      <c r="A222" s="8" t="s">
        <v>8</v>
      </c>
      <c r="B222" s="5"/>
      <c r="C222" s="83"/>
      <c r="D222" s="225"/>
      <c r="E222" s="225"/>
      <c r="F222" s="225"/>
      <c r="G222" s="226"/>
      <c r="H222" s="85"/>
    </row>
    <row r="223" spans="1:8" x14ac:dyDescent="0.2">
      <c r="A223" s="312" t="s">
        <v>10</v>
      </c>
      <c r="B223" s="313"/>
      <c r="C223" s="313"/>
      <c r="D223" s="313"/>
      <c r="E223" s="313"/>
      <c r="F223" s="314"/>
      <c r="G223" s="267">
        <f>SUM(G214:G222)</f>
        <v>0</v>
      </c>
      <c r="H223" s="11"/>
    </row>
    <row r="224" spans="1:8" x14ac:dyDescent="0.2">
      <c r="A224" s="8" t="s">
        <v>0</v>
      </c>
      <c r="B224" s="5">
        <f>B214+1</f>
        <v>46126</v>
      </c>
      <c r="C224" s="83"/>
      <c r="D224" s="225"/>
      <c r="E224" s="225"/>
      <c r="F224" s="225"/>
      <c r="G224" s="226"/>
      <c r="H224" s="92"/>
    </row>
    <row r="225" spans="1:8" hidden="1" x14ac:dyDescent="0.2">
      <c r="A225" s="8" t="s">
        <v>1</v>
      </c>
      <c r="B225" s="5"/>
      <c r="C225" s="83"/>
      <c r="D225" s="225"/>
      <c r="E225" s="225"/>
      <c r="F225" s="225"/>
      <c r="G225" s="226"/>
      <c r="H225" s="95"/>
    </row>
    <row r="226" spans="1:8" hidden="1" x14ac:dyDescent="0.2">
      <c r="A226" s="8" t="s">
        <v>2</v>
      </c>
      <c r="B226" s="5"/>
      <c r="C226" s="83"/>
      <c r="D226" s="225"/>
      <c r="E226" s="225"/>
      <c r="F226" s="225"/>
      <c r="G226" s="226"/>
      <c r="H226" s="92"/>
    </row>
    <row r="227" spans="1:8" hidden="1" x14ac:dyDescent="0.2">
      <c r="A227" s="8" t="s">
        <v>3</v>
      </c>
      <c r="B227" s="5"/>
      <c r="C227" s="83"/>
      <c r="D227" s="225"/>
      <c r="E227" s="225"/>
      <c r="F227" s="225"/>
      <c r="G227" s="226"/>
      <c r="H227" s="92"/>
    </row>
    <row r="228" spans="1:8" hidden="1" x14ac:dyDescent="0.2">
      <c r="A228" s="8" t="s">
        <v>4</v>
      </c>
      <c r="B228" s="5"/>
      <c r="C228" s="83"/>
      <c r="D228" s="225"/>
      <c r="E228" s="225"/>
      <c r="F228" s="225"/>
      <c r="G228" s="226"/>
      <c r="H228" s="92"/>
    </row>
    <row r="229" spans="1:8" hidden="1" x14ac:dyDescent="0.2">
      <c r="A229" s="8" t="s">
        <v>5</v>
      </c>
      <c r="B229" s="5"/>
      <c r="C229" s="83"/>
      <c r="D229" s="225"/>
      <c r="E229" s="225"/>
      <c r="F229" s="225"/>
      <c r="G229" s="226"/>
      <c r="H229" s="85"/>
    </row>
    <row r="230" spans="1:8" hidden="1" x14ac:dyDescent="0.2">
      <c r="A230" s="8" t="s">
        <v>6</v>
      </c>
      <c r="B230" s="5"/>
      <c r="C230" s="83"/>
      <c r="D230" s="225"/>
      <c r="E230" s="225"/>
      <c r="F230" s="225"/>
      <c r="G230" s="226"/>
      <c r="H230" s="85"/>
    </row>
    <row r="231" spans="1:8" hidden="1" x14ac:dyDescent="0.2">
      <c r="A231" s="8" t="s">
        <v>7</v>
      </c>
      <c r="B231" s="5"/>
      <c r="C231" s="83"/>
      <c r="D231" s="225"/>
      <c r="E231" s="225"/>
      <c r="F231" s="225"/>
      <c r="G231" s="226"/>
      <c r="H231" s="85"/>
    </row>
    <row r="232" spans="1:8" x14ac:dyDescent="0.2">
      <c r="A232" s="312" t="s">
        <v>10</v>
      </c>
      <c r="B232" s="313"/>
      <c r="C232" s="313"/>
      <c r="D232" s="313"/>
      <c r="E232" s="313"/>
      <c r="F232" s="314"/>
      <c r="G232" s="267">
        <f>SUM(G224:G231)</f>
        <v>0</v>
      </c>
      <c r="H232" s="11"/>
    </row>
    <row r="233" spans="1:8" s="23" customFormat="1" ht="18" x14ac:dyDescent="0.2">
      <c r="A233" s="315" t="s">
        <v>39</v>
      </c>
      <c r="B233" s="316"/>
      <c r="C233" s="316"/>
      <c r="D233" s="316"/>
      <c r="E233" s="316"/>
      <c r="F233" s="317"/>
      <c r="G233" s="268">
        <f>G205+G213+G223+G232</f>
        <v>117</v>
      </c>
      <c r="H233" s="22"/>
    </row>
    <row r="234" spans="1:8" s="23" customFormat="1" ht="18" x14ac:dyDescent="0.2">
      <c r="A234" s="33"/>
      <c r="B234" s="33"/>
      <c r="C234" s="33"/>
      <c r="D234" s="271"/>
      <c r="E234" s="271"/>
      <c r="F234" s="271"/>
      <c r="G234" s="272"/>
    </row>
    <row r="235" spans="1:8" s="23" customFormat="1" ht="18" x14ac:dyDescent="0.2">
      <c r="A235" s="33"/>
      <c r="B235" s="33"/>
      <c r="C235" s="33"/>
      <c r="D235" s="271"/>
      <c r="E235" s="271"/>
      <c r="F235" s="271"/>
      <c r="G235" s="272"/>
    </row>
    <row r="236" spans="1:8" ht="21.95" customHeight="1" x14ac:dyDescent="0.2">
      <c r="A236" s="319" t="s">
        <v>14</v>
      </c>
      <c r="B236" s="319"/>
      <c r="C236" s="319"/>
      <c r="D236" s="319"/>
      <c r="E236" s="319"/>
      <c r="F236" s="319"/>
      <c r="G236" s="319"/>
      <c r="H236" s="319"/>
    </row>
    <row r="237" spans="1:8" s="9" customFormat="1" ht="20.100000000000001" customHeight="1" x14ac:dyDescent="0.2">
      <c r="A237" s="335" t="str">
        <f>A193</f>
        <v>รายงานการสรุปยอดขายของพนักงานขายประจำเดือน เมษายน ปี 2569</v>
      </c>
      <c r="B237" s="335"/>
      <c r="C237" s="335"/>
      <c r="D237" s="335"/>
      <c r="E237" s="335"/>
      <c r="F237" s="335"/>
      <c r="G237" s="335"/>
      <c r="H237" s="335"/>
    </row>
    <row r="238" spans="1:8" s="3" customFormat="1" ht="20.100000000000001" customHeight="1" x14ac:dyDescent="0.35">
      <c r="A238" s="318" t="str">
        <f>$A$3</f>
        <v>พนักงานขาย นายอำนาจ ชัยประภา</v>
      </c>
      <c r="B238" s="318"/>
      <c r="C238" s="318"/>
      <c r="D238" s="318"/>
      <c r="E238" s="236"/>
      <c r="F238" s="237"/>
      <c r="G238" s="238" t="s">
        <v>21</v>
      </c>
      <c r="H238" s="35">
        <f>H194+1</f>
        <v>6</v>
      </c>
    </row>
    <row r="239" spans="1:8" s="3" customFormat="1" ht="20.100000000000001" customHeight="1" x14ac:dyDescent="0.35">
      <c r="A239" s="311"/>
      <c r="B239" s="311"/>
      <c r="C239" s="311"/>
      <c r="D239" s="240"/>
      <c r="E239" s="236"/>
      <c r="F239" s="274">
        <f>$F$4</f>
        <v>46107</v>
      </c>
      <c r="G239" s="242" t="s">
        <v>82</v>
      </c>
      <c r="H239" s="34">
        <f>$H$4</f>
        <v>46136</v>
      </c>
    </row>
    <row r="240" spans="1:8" x14ac:dyDescent="0.2">
      <c r="A240" s="12" t="s">
        <v>23</v>
      </c>
      <c r="B240" s="13" t="s">
        <v>11</v>
      </c>
      <c r="C240" s="14" t="s">
        <v>26</v>
      </c>
      <c r="D240" s="245" t="s">
        <v>83</v>
      </c>
      <c r="E240" s="243" t="s">
        <v>16</v>
      </c>
      <c r="F240" s="243" t="s">
        <v>17</v>
      </c>
      <c r="G240" s="246" t="s">
        <v>18</v>
      </c>
      <c r="H240" s="12" t="s">
        <v>19</v>
      </c>
    </row>
    <row r="241" spans="1:8" x14ac:dyDescent="0.2">
      <c r="A241" s="15"/>
      <c r="B241" s="16"/>
      <c r="C241" s="17"/>
      <c r="D241" s="250"/>
      <c r="E241" s="251"/>
      <c r="F241" s="251"/>
      <c r="G241" s="252" t="s">
        <v>20</v>
      </c>
      <c r="H241" s="15"/>
    </row>
    <row r="242" spans="1:8" x14ac:dyDescent="0.2">
      <c r="A242" s="8" t="s">
        <v>0</v>
      </c>
      <c r="B242" s="5">
        <f>B224+1</f>
        <v>46127</v>
      </c>
      <c r="C242" s="83"/>
      <c r="D242" s="225"/>
      <c r="E242" s="225"/>
      <c r="F242" s="225"/>
      <c r="G242" s="226"/>
      <c r="H242" s="85"/>
    </row>
    <row r="243" spans="1:8" hidden="1" x14ac:dyDescent="0.2">
      <c r="A243" s="8" t="s">
        <v>1</v>
      </c>
      <c r="B243" s="5"/>
      <c r="C243" s="83"/>
      <c r="D243" s="225"/>
      <c r="E243" s="225"/>
      <c r="F243" s="225"/>
      <c r="G243" s="226"/>
      <c r="H243" s="86"/>
    </row>
    <row r="244" spans="1:8" hidden="1" x14ac:dyDescent="0.2">
      <c r="A244" s="8" t="s">
        <v>2</v>
      </c>
      <c r="B244" s="5"/>
      <c r="C244" s="83"/>
      <c r="D244" s="225"/>
      <c r="E244" s="263"/>
      <c r="F244" s="225"/>
      <c r="G244" s="226"/>
      <c r="H244" s="85"/>
    </row>
    <row r="245" spans="1:8" hidden="1" x14ac:dyDescent="0.2">
      <c r="A245" s="8" t="s">
        <v>3</v>
      </c>
      <c r="B245" s="5"/>
      <c r="C245" s="83"/>
      <c r="D245" s="225"/>
      <c r="E245" s="225"/>
      <c r="F245" s="225"/>
      <c r="G245" s="226"/>
      <c r="H245" s="85"/>
    </row>
    <row r="246" spans="1:8" hidden="1" x14ac:dyDescent="0.2">
      <c r="A246" s="8" t="s">
        <v>4</v>
      </c>
      <c r="B246" s="5"/>
      <c r="C246" s="83"/>
      <c r="D246" s="225"/>
      <c r="E246" s="225"/>
      <c r="F246" s="225"/>
      <c r="G246" s="226"/>
      <c r="H246" s="85"/>
    </row>
    <row r="247" spans="1:8" hidden="1" x14ac:dyDescent="0.2">
      <c r="A247" s="8" t="s">
        <v>5</v>
      </c>
      <c r="B247" s="5"/>
      <c r="C247" s="83"/>
      <c r="D247" s="225"/>
      <c r="E247" s="225"/>
      <c r="F247" s="225"/>
      <c r="G247" s="226"/>
      <c r="H247" s="85"/>
    </row>
    <row r="248" spans="1:8" hidden="1" x14ac:dyDescent="0.2">
      <c r="A248" s="8" t="s">
        <v>6</v>
      </c>
      <c r="B248" s="5"/>
      <c r="C248" s="83"/>
      <c r="D248" s="227"/>
      <c r="E248" s="227"/>
      <c r="F248" s="227"/>
      <c r="G248" s="228"/>
      <c r="H248" s="85"/>
    </row>
    <row r="249" spans="1:8" x14ac:dyDescent="0.2">
      <c r="A249" s="312" t="s">
        <v>10</v>
      </c>
      <c r="B249" s="313"/>
      <c r="C249" s="313"/>
      <c r="D249" s="363"/>
      <c r="E249" s="363"/>
      <c r="F249" s="364"/>
      <c r="G249" s="260">
        <f>SUM(G242:G248)</f>
        <v>0</v>
      </c>
      <c r="H249" s="11"/>
    </row>
    <row r="250" spans="1:8" x14ac:dyDescent="0.2">
      <c r="A250" s="8" t="s">
        <v>0</v>
      </c>
      <c r="B250" s="5">
        <f>B242+1</f>
        <v>46128</v>
      </c>
      <c r="C250" s="83"/>
      <c r="D250" s="225"/>
      <c r="E250" s="225"/>
      <c r="F250" s="225"/>
      <c r="G250" s="226"/>
      <c r="H250" s="85"/>
    </row>
    <row r="251" spans="1:8" hidden="1" x14ac:dyDescent="0.2">
      <c r="A251" s="8" t="s">
        <v>1</v>
      </c>
      <c r="B251" s="5"/>
      <c r="C251" s="83"/>
      <c r="D251" s="225"/>
      <c r="E251" s="225"/>
      <c r="F251" s="225"/>
      <c r="G251" s="226"/>
      <c r="H251" s="86"/>
    </row>
    <row r="252" spans="1:8" hidden="1" x14ac:dyDescent="0.2">
      <c r="A252" s="8" t="s">
        <v>2</v>
      </c>
      <c r="B252" s="5"/>
      <c r="C252" s="83"/>
      <c r="D252" s="225"/>
      <c r="E252" s="225"/>
      <c r="F252" s="225"/>
      <c r="G252" s="226"/>
      <c r="H252" s="85"/>
    </row>
    <row r="253" spans="1:8" hidden="1" x14ac:dyDescent="0.2">
      <c r="A253" s="8" t="s">
        <v>3</v>
      </c>
      <c r="B253" s="5"/>
      <c r="C253" s="83"/>
      <c r="D253" s="225"/>
      <c r="E253" s="225"/>
      <c r="F253" s="225"/>
      <c r="G253" s="226"/>
      <c r="H253" s="85"/>
    </row>
    <row r="254" spans="1:8" hidden="1" x14ac:dyDescent="0.2">
      <c r="A254" s="8" t="s">
        <v>4</v>
      </c>
      <c r="B254" s="5"/>
      <c r="C254" s="83"/>
      <c r="D254" s="225"/>
      <c r="E254" s="225"/>
      <c r="F254" s="225"/>
      <c r="G254" s="226"/>
      <c r="H254" s="85"/>
    </row>
    <row r="255" spans="1:8" hidden="1" x14ac:dyDescent="0.2">
      <c r="A255" s="8" t="s">
        <v>5</v>
      </c>
      <c r="B255" s="5"/>
      <c r="C255" s="83"/>
      <c r="D255" s="265"/>
      <c r="E255" s="265"/>
      <c r="F255" s="265"/>
      <c r="G255" s="266"/>
      <c r="H255" s="85"/>
    </row>
    <row r="256" spans="1:8" hidden="1" x14ac:dyDescent="0.2">
      <c r="A256" s="8" t="s">
        <v>6</v>
      </c>
      <c r="B256" s="5"/>
      <c r="C256" s="83"/>
      <c r="D256" s="225"/>
      <c r="E256" s="225"/>
      <c r="F256" s="225"/>
      <c r="G256" s="226"/>
      <c r="H256" s="86"/>
    </row>
    <row r="257" spans="1:8" hidden="1" x14ac:dyDescent="0.2">
      <c r="A257" s="8" t="s">
        <v>7</v>
      </c>
      <c r="B257" s="5"/>
      <c r="C257" s="83"/>
      <c r="D257" s="225"/>
      <c r="E257" s="225"/>
      <c r="F257" s="225"/>
      <c r="G257" s="226"/>
      <c r="H257" s="85"/>
    </row>
    <row r="258" spans="1:8" hidden="1" x14ac:dyDescent="0.2">
      <c r="A258" s="8" t="s">
        <v>8</v>
      </c>
      <c r="B258" s="5"/>
      <c r="C258" s="83"/>
      <c r="D258" s="265"/>
      <c r="E258" s="265"/>
      <c r="F258" s="265"/>
      <c r="G258" s="266"/>
      <c r="H258" s="85"/>
    </row>
    <row r="259" spans="1:8" hidden="1" x14ac:dyDescent="0.2">
      <c r="A259" s="8" t="s">
        <v>9</v>
      </c>
      <c r="B259" s="5"/>
      <c r="C259" s="83"/>
      <c r="D259" s="225"/>
      <c r="E259" s="225"/>
      <c r="F259" s="225"/>
      <c r="G259" s="226"/>
      <c r="H259" s="85"/>
    </row>
    <row r="260" spans="1:8" hidden="1" x14ac:dyDescent="0.2">
      <c r="A260" s="8" t="s">
        <v>99</v>
      </c>
      <c r="B260" s="5"/>
      <c r="C260" s="83"/>
      <c r="D260" s="225"/>
      <c r="E260" s="225"/>
      <c r="F260" s="225"/>
      <c r="G260" s="226"/>
      <c r="H260" s="85"/>
    </row>
    <row r="261" spans="1:8" hidden="1" x14ac:dyDescent="0.2">
      <c r="A261" s="8" t="s">
        <v>100</v>
      </c>
      <c r="B261" s="5"/>
      <c r="C261" s="83"/>
      <c r="D261" s="225"/>
      <c r="E261" s="225"/>
      <c r="F261" s="225"/>
      <c r="G261" s="226"/>
      <c r="H261" s="85"/>
    </row>
    <row r="262" spans="1:8" x14ac:dyDescent="0.2">
      <c r="A262" s="312" t="s">
        <v>10</v>
      </c>
      <c r="B262" s="313"/>
      <c r="C262" s="313"/>
      <c r="D262" s="363"/>
      <c r="E262" s="363"/>
      <c r="F262" s="364"/>
      <c r="G262" s="260">
        <f>SUM(G250:G261)</f>
        <v>0</v>
      </c>
      <c r="H262" s="11"/>
    </row>
    <row r="263" spans="1:8" x14ac:dyDescent="0.2">
      <c r="A263" s="8" t="s">
        <v>0</v>
      </c>
      <c r="B263" s="5">
        <f>B250+1</f>
        <v>46129</v>
      </c>
      <c r="C263" s="83"/>
      <c r="D263" s="227"/>
      <c r="E263" s="227"/>
      <c r="F263" s="227"/>
      <c r="G263" s="226"/>
      <c r="H263" s="85"/>
    </row>
    <row r="264" spans="1:8" hidden="1" x14ac:dyDescent="0.2">
      <c r="A264" s="8" t="s">
        <v>1</v>
      </c>
      <c r="B264" s="5"/>
      <c r="C264" s="83"/>
      <c r="D264" s="227"/>
      <c r="E264" s="227"/>
      <c r="F264" s="227"/>
      <c r="G264" s="226"/>
      <c r="H264" s="85"/>
    </row>
    <row r="265" spans="1:8" hidden="1" x14ac:dyDescent="0.2">
      <c r="A265" s="8" t="s">
        <v>2</v>
      </c>
      <c r="B265" s="5"/>
      <c r="C265" s="83"/>
      <c r="D265" s="227"/>
      <c r="E265" s="227"/>
      <c r="F265" s="227"/>
      <c r="G265" s="226"/>
      <c r="H265" s="85"/>
    </row>
    <row r="266" spans="1:8" hidden="1" x14ac:dyDescent="0.2">
      <c r="A266" s="8" t="s">
        <v>3</v>
      </c>
      <c r="B266" s="5"/>
      <c r="C266" s="83"/>
      <c r="D266" s="227"/>
      <c r="E266" s="227"/>
      <c r="F266" s="227"/>
      <c r="G266" s="226"/>
      <c r="H266" s="85"/>
    </row>
    <row r="267" spans="1:8" hidden="1" x14ac:dyDescent="0.2">
      <c r="A267" s="8" t="s">
        <v>4</v>
      </c>
      <c r="B267" s="5"/>
      <c r="C267" s="83"/>
      <c r="D267" s="227"/>
      <c r="E267" s="227"/>
      <c r="F267" s="227"/>
      <c r="G267" s="226"/>
      <c r="H267" s="85"/>
    </row>
    <row r="268" spans="1:8" hidden="1" x14ac:dyDescent="0.2">
      <c r="A268" s="8" t="s">
        <v>5</v>
      </c>
      <c r="B268" s="5"/>
      <c r="C268" s="83"/>
      <c r="D268" s="227"/>
      <c r="E268" s="227"/>
      <c r="F268" s="227"/>
      <c r="G268" s="226"/>
      <c r="H268" s="85"/>
    </row>
    <row r="269" spans="1:8" hidden="1" x14ac:dyDescent="0.2">
      <c r="A269" s="8" t="s">
        <v>6</v>
      </c>
      <c r="B269" s="5"/>
      <c r="C269" s="83"/>
      <c r="D269" s="227"/>
      <c r="E269" s="227"/>
      <c r="F269" s="227"/>
      <c r="G269" s="226"/>
      <c r="H269" s="85"/>
    </row>
    <row r="270" spans="1:8" hidden="1" x14ac:dyDescent="0.2">
      <c r="A270" s="8" t="s">
        <v>7</v>
      </c>
      <c r="B270" s="5"/>
      <c r="C270" s="83"/>
      <c r="D270" s="227"/>
      <c r="E270" s="227"/>
      <c r="F270" s="227"/>
      <c r="G270" s="226"/>
      <c r="H270" s="85"/>
    </row>
    <row r="271" spans="1:8" hidden="1" x14ac:dyDescent="0.2">
      <c r="A271" s="8" t="s">
        <v>8</v>
      </c>
      <c r="B271" s="5"/>
      <c r="C271" s="83"/>
      <c r="D271" s="225"/>
      <c r="E271" s="225"/>
      <c r="F271" s="225"/>
      <c r="G271" s="226"/>
      <c r="H271" s="85"/>
    </row>
    <row r="272" spans="1:8" hidden="1" x14ac:dyDescent="0.2">
      <c r="A272" s="8" t="s">
        <v>9</v>
      </c>
      <c r="B272" s="5"/>
      <c r="C272" s="83"/>
      <c r="D272" s="225"/>
      <c r="E272" s="225"/>
      <c r="F272" s="225"/>
      <c r="G272" s="226"/>
      <c r="H272" s="85"/>
    </row>
    <row r="273" spans="1:8" x14ac:dyDescent="0.2">
      <c r="A273" s="369" t="s">
        <v>10</v>
      </c>
      <c r="B273" s="369"/>
      <c r="C273" s="369"/>
      <c r="D273" s="370"/>
      <c r="E273" s="370"/>
      <c r="F273" s="370"/>
      <c r="G273" s="260">
        <f>SUM(G263:G272)</f>
        <v>0</v>
      </c>
      <c r="H273" s="11"/>
    </row>
    <row r="274" spans="1:8" x14ac:dyDescent="0.2">
      <c r="A274" s="8" t="s">
        <v>0</v>
      </c>
      <c r="B274" s="5">
        <f>B263+1</f>
        <v>46130</v>
      </c>
      <c r="C274" s="83"/>
      <c r="D274" s="225"/>
      <c r="E274" s="225"/>
      <c r="F274" s="225"/>
      <c r="G274" s="226"/>
      <c r="H274" s="92"/>
    </row>
    <row r="275" spans="1:8" hidden="1" x14ac:dyDescent="0.2">
      <c r="A275" s="8" t="s">
        <v>1</v>
      </c>
      <c r="B275" s="5"/>
      <c r="C275" s="83"/>
      <c r="D275" s="225"/>
      <c r="E275" s="225"/>
      <c r="F275" s="225"/>
      <c r="G275" s="226"/>
      <c r="H275" s="95"/>
    </row>
    <row r="276" spans="1:8" hidden="1" x14ac:dyDescent="0.2">
      <c r="A276" s="8" t="s">
        <v>2</v>
      </c>
      <c r="B276" s="5"/>
      <c r="C276" s="83"/>
      <c r="D276" s="225"/>
      <c r="E276" s="225"/>
      <c r="F276" s="225"/>
      <c r="G276" s="226"/>
      <c r="H276" s="92"/>
    </row>
    <row r="277" spans="1:8" hidden="1" x14ac:dyDescent="0.2">
      <c r="A277" s="8" t="s">
        <v>3</v>
      </c>
      <c r="B277" s="5"/>
      <c r="C277" s="83"/>
      <c r="D277" s="225"/>
      <c r="E277" s="225"/>
      <c r="F277" s="225"/>
      <c r="G277" s="226"/>
      <c r="H277" s="92"/>
    </row>
    <row r="278" spans="1:8" hidden="1" x14ac:dyDescent="0.2">
      <c r="A278" s="8" t="s">
        <v>4</v>
      </c>
      <c r="B278" s="5"/>
      <c r="C278" s="83"/>
      <c r="D278" s="225"/>
      <c r="E278" s="225"/>
      <c r="F278" s="225"/>
      <c r="G278" s="226"/>
      <c r="H278" s="92"/>
    </row>
    <row r="279" spans="1:8" hidden="1" x14ac:dyDescent="0.2">
      <c r="A279" s="8" t="s">
        <v>5</v>
      </c>
      <c r="B279" s="5"/>
      <c r="C279" s="83"/>
      <c r="D279" s="225"/>
      <c r="E279" s="225"/>
      <c r="F279" s="225"/>
      <c r="G279" s="226"/>
      <c r="H279" s="92"/>
    </row>
    <row r="280" spans="1:8" hidden="1" x14ac:dyDescent="0.2">
      <c r="A280" s="8" t="s">
        <v>6</v>
      </c>
      <c r="B280" s="5"/>
      <c r="C280" s="83"/>
      <c r="D280" s="225"/>
      <c r="E280" s="225"/>
      <c r="F280" s="225"/>
      <c r="G280" s="226"/>
      <c r="H280" s="85"/>
    </row>
    <row r="281" spans="1:8" hidden="1" x14ac:dyDescent="0.2">
      <c r="A281" s="8" t="s">
        <v>7</v>
      </c>
      <c r="B281" s="5"/>
      <c r="C281" s="83"/>
      <c r="D281" s="225"/>
      <c r="E281" s="225"/>
      <c r="F281" s="225"/>
      <c r="G281" s="226"/>
      <c r="H281" s="85"/>
    </row>
    <row r="282" spans="1:8" hidden="1" x14ac:dyDescent="0.2">
      <c r="A282" s="8" t="s">
        <v>8</v>
      </c>
      <c r="B282" s="5"/>
      <c r="C282" s="83"/>
      <c r="D282" s="225"/>
      <c r="E282" s="263"/>
      <c r="F282" s="225"/>
      <c r="G282" s="226"/>
      <c r="H282" s="85"/>
    </row>
    <row r="283" spans="1:8" hidden="1" x14ac:dyDescent="0.2">
      <c r="A283" s="8" t="s">
        <v>9</v>
      </c>
      <c r="B283" s="5"/>
      <c r="C283" s="83"/>
      <c r="D283" s="225"/>
      <c r="E283" s="225"/>
      <c r="F283" s="225"/>
      <c r="G283" s="226"/>
      <c r="H283" s="85"/>
    </row>
    <row r="284" spans="1:8" hidden="1" x14ac:dyDescent="0.2">
      <c r="A284" s="8" t="s">
        <v>99</v>
      </c>
      <c r="B284" s="5"/>
      <c r="C284" s="83"/>
      <c r="D284" s="225"/>
      <c r="E284" s="225"/>
      <c r="F284" s="225"/>
      <c r="G284" s="226"/>
      <c r="H284" s="85"/>
    </row>
    <row r="285" spans="1:8" hidden="1" x14ac:dyDescent="0.2">
      <c r="A285" s="8" t="s">
        <v>100</v>
      </c>
      <c r="B285" s="5"/>
      <c r="C285" s="83"/>
      <c r="D285" s="225"/>
      <c r="E285" s="225"/>
      <c r="F285" s="225"/>
      <c r="G285" s="226"/>
      <c r="H285" s="85"/>
    </row>
    <row r="286" spans="1:8" x14ac:dyDescent="0.2">
      <c r="A286" s="312" t="s">
        <v>10</v>
      </c>
      <c r="B286" s="313"/>
      <c r="C286" s="313"/>
      <c r="D286" s="313"/>
      <c r="E286" s="313"/>
      <c r="F286" s="314"/>
      <c r="G286" s="267">
        <f>SUM(G274:G285)</f>
        <v>0</v>
      </c>
      <c r="H286" s="11"/>
    </row>
    <row r="287" spans="1:8" s="23" customFormat="1" ht="18" x14ac:dyDescent="0.2">
      <c r="A287" s="315" t="s">
        <v>39</v>
      </c>
      <c r="B287" s="316"/>
      <c r="C287" s="316"/>
      <c r="D287" s="316"/>
      <c r="E287" s="316"/>
      <c r="F287" s="317"/>
      <c r="G287" s="268">
        <f>G249+G262+G273+G286</f>
        <v>0</v>
      </c>
      <c r="H287" s="22"/>
    </row>
    <row r="288" spans="1:8" s="23" customFormat="1" ht="18" x14ac:dyDescent="0.2">
      <c r="A288" s="33"/>
      <c r="B288" s="33"/>
      <c r="C288" s="33"/>
      <c r="D288" s="271"/>
      <c r="E288" s="271"/>
      <c r="F288" s="271"/>
      <c r="G288" s="272"/>
    </row>
    <row r="289" spans="1:8" s="23" customFormat="1" ht="18" x14ac:dyDescent="0.2">
      <c r="A289" s="33"/>
      <c r="B289" s="33"/>
      <c r="C289" s="33"/>
      <c r="D289" s="271"/>
      <c r="E289" s="271"/>
      <c r="F289" s="271"/>
      <c r="G289" s="272"/>
    </row>
    <row r="290" spans="1:8" ht="21.95" customHeight="1" x14ac:dyDescent="0.2">
      <c r="A290" s="319" t="s">
        <v>14</v>
      </c>
      <c r="B290" s="319"/>
      <c r="C290" s="319"/>
      <c r="D290" s="319"/>
      <c r="E290" s="319"/>
      <c r="F290" s="319"/>
      <c r="G290" s="319"/>
      <c r="H290" s="319"/>
    </row>
    <row r="291" spans="1:8" s="9" customFormat="1" ht="20.100000000000001" customHeight="1" x14ac:dyDescent="0.2">
      <c r="A291" s="335" t="str">
        <f>A237</f>
        <v>รายงานการสรุปยอดขายของพนักงานขายประจำเดือน เมษายน ปี 2569</v>
      </c>
      <c r="B291" s="335"/>
      <c r="C291" s="335"/>
      <c r="D291" s="335"/>
      <c r="E291" s="335"/>
      <c r="F291" s="335"/>
      <c r="G291" s="335"/>
      <c r="H291" s="335"/>
    </row>
    <row r="292" spans="1:8" s="3" customFormat="1" ht="20.100000000000001" customHeight="1" x14ac:dyDescent="0.35">
      <c r="A292" s="318" t="str">
        <f>$A$3</f>
        <v>พนักงานขาย นายอำนาจ ชัยประภา</v>
      </c>
      <c r="B292" s="318"/>
      <c r="C292" s="318"/>
      <c r="D292" s="318"/>
      <c r="E292" s="236"/>
      <c r="F292" s="237"/>
      <c r="G292" s="238" t="s">
        <v>21</v>
      </c>
      <c r="H292" s="35">
        <f>H238+1</f>
        <v>7</v>
      </c>
    </row>
    <row r="293" spans="1:8" s="3" customFormat="1" ht="20.100000000000001" customHeight="1" x14ac:dyDescent="0.35">
      <c r="A293" s="311"/>
      <c r="B293" s="311"/>
      <c r="C293" s="311"/>
      <c r="D293" s="240"/>
      <c r="E293" s="236"/>
      <c r="F293" s="274">
        <f>$F$4</f>
        <v>46107</v>
      </c>
      <c r="G293" s="242" t="s">
        <v>82</v>
      </c>
      <c r="H293" s="34">
        <f>$H$4</f>
        <v>46136</v>
      </c>
    </row>
    <row r="294" spans="1:8" x14ac:dyDescent="0.2">
      <c r="A294" s="12" t="s">
        <v>23</v>
      </c>
      <c r="B294" s="13" t="s">
        <v>11</v>
      </c>
      <c r="C294" s="14" t="s">
        <v>26</v>
      </c>
      <c r="D294" s="245" t="s">
        <v>83</v>
      </c>
      <c r="E294" s="243" t="s">
        <v>16</v>
      </c>
      <c r="F294" s="243" t="s">
        <v>17</v>
      </c>
      <c r="G294" s="246" t="s">
        <v>18</v>
      </c>
      <c r="H294" s="12" t="s">
        <v>19</v>
      </c>
    </row>
    <row r="295" spans="1:8" x14ac:dyDescent="0.2">
      <c r="A295" s="15"/>
      <c r="B295" s="16"/>
      <c r="C295" s="17"/>
      <c r="D295" s="250"/>
      <c r="E295" s="251"/>
      <c r="F295" s="251"/>
      <c r="G295" s="252" t="s">
        <v>20</v>
      </c>
      <c r="H295" s="15"/>
    </row>
    <row r="296" spans="1:8" x14ac:dyDescent="0.2">
      <c r="A296" s="8" t="s">
        <v>0</v>
      </c>
      <c r="B296" s="5">
        <f>B274+1</f>
        <v>46131</v>
      </c>
      <c r="C296" s="83"/>
      <c r="D296" s="225"/>
      <c r="E296" s="225"/>
      <c r="F296" s="225"/>
      <c r="G296" s="226"/>
      <c r="H296" s="85"/>
    </row>
    <row r="297" spans="1:8" hidden="1" x14ac:dyDescent="0.2">
      <c r="A297" s="8" t="s">
        <v>1</v>
      </c>
      <c r="B297" s="5"/>
      <c r="C297" s="83"/>
      <c r="D297" s="225"/>
      <c r="E297" s="225"/>
      <c r="F297" s="225"/>
      <c r="G297" s="226"/>
      <c r="H297" s="86"/>
    </row>
    <row r="298" spans="1:8" hidden="1" x14ac:dyDescent="0.2">
      <c r="A298" s="8" t="s">
        <v>2</v>
      </c>
      <c r="B298" s="5"/>
      <c r="C298" s="83"/>
      <c r="D298" s="225"/>
      <c r="E298" s="225"/>
      <c r="F298" s="225"/>
      <c r="G298" s="226"/>
      <c r="H298" s="85"/>
    </row>
    <row r="299" spans="1:8" hidden="1" x14ac:dyDescent="0.2">
      <c r="A299" s="8" t="s">
        <v>3</v>
      </c>
      <c r="B299" s="5"/>
      <c r="C299" s="83"/>
      <c r="D299" s="225"/>
      <c r="E299" s="225"/>
      <c r="F299" s="225"/>
      <c r="G299" s="226"/>
      <c r="H299" s="85"/>
    </row>
    <row r="300" spans="1:8" hidden="1" x14ac:dyDescent="0.2">
      <c r="A300" s="8" t="s">
        <v>4</v>
      </c>
      <c r="B300" s="5"/>
      <c r="C300" s="83"/>
      <c r="D300" s="225"/>
      <c r="E300" s="225"/>
      <c r="F300" s="225"/>
      <c r="G300" s="226"/>
      <c r="H300" s="85"/>
    </row>
    <row r="301" spans="1:8" hidden="1" x14ac:dyDescent="0.2">
      <c r="A301" s="8" t="s">
        <v>5</v>
      </c>
      <c r="B301" s="5"/>
      <c r="C301" s="83"/>
      <c r="D301" s="225"/>
      <c r="E301" s="225"/>
      <c r="F301" s="225"/>
      <c r="G301" s="226"/>
      <c r="H301" s="85"/>
    </row>
    <row r="302" spans="1:8" hidden="1" x14ac:dyDescent="0.2">
      <c r="A302" s="8" t="s">
        <v>6</v>
      </c>
      <c r="B302" s="5"/>
      <c r="C302" s="83"/>
      <c r="D302" s="225"/>
      <c r="E302" s="225"/>
      <c r="F302" s="225"/>
      <c r="G302" s="226"/>
      <c r="H302" s="85"/>
    </row>
    <row r="303" spans="1:8" hidden="1" x14ac:dyDescent="0.2">
      <c r="A303" s="8" t="s">
        <v>7</v>
      </c>
      <c r="B303" s="5"/>
      <c r="C303" s="83"/>
      <c r="D303" s="225"/>
      <c r="E303" s="225"/>
      <c r="F303" s="225"/>
      <c r="G303" s="226"/>
      <c r="H303" s="85"/>
    </row>
    <row r="304" spans="1:8" hidden="1" x14ac:dyDescent="0.2">
      <c r="A304" s="8" t="s">
        <v>8</v>
      </c>
      <c r="B304" s="5"/>
      <c r="C304" s="83"/>
      <c r="D304" s="225"/>
      <c r="E304" s="225"/>
      <c r="F304" s="225"/>
      <c r="G304" s="226"/>
      <c r="H304" s="85"/>
    </row>
    <row r="305" spans="1:8" hidden="1" x14ac:dyDescent="0.2">
      <c r="A305" s="8" t="s">
        <v>9</v>
      </c>
      <c r="B305" s="5"/>
      <c r="C305" s="83"/>
      <c r="D305" s="225"/>
      <c r="E305" s="225"/>
      <c r="F305" s="225"/>
      <c r="G305" s="226"/>
      <c r="H305" s="85"/>
    </row>
    <row r="306" spans="1:8" hidden="1" x14ac:dyDescent="0.2">
      <c r="A306" s="8" t="s">
        <v>99</v>
      </c>
      <c r="B306" s="5"/>
      <c r="C306" s="83"/>
      <c r="D306" s="225"/>
      <c r="E306" s="225"/>
      <c r="F306" s="225"/>
      <c r="G306" s="226"/>
      <c r="H306" s="85"/>
    </row>
    <row r="307" spans="1:8" hidden="1" x14ac:dyDescent="0.2">
      <c r="A307" s="8" t="s">
        <v>100</v>
      </c>
      <c r="B307" s="5"/>
      <c r="C307" s="83"/>
      <c r="D307" s="225"/>
      <c r="E307" s="263"/>
      <c r="F307" s="225"/>
      <c r="G307" s="226"/>
      <c r="H307" s="85"/>
    </row>
    <row r="308" spans="1:8" hidden="1" x14ac:dyDescent="0.2">
      <c r="A308" s="8" t="s">
        <v>104</v>
      </c>
      <c r="B308" s="5"/>
      <c r="C308" s="83"/>
      <c r="D308" s="225"/>
      <c r="E308" s="225"/>
      <c r="F308" s="225"/>
      <c r="G308" s="226"/>
      <c r="H308" s="85"/>
    </row>
    <row r="309" spans="1:8" x14ac:dyDescent="0.2">
      <c r="A309" s="312" t="s">
        <v>10</v>
      </c>
      <c r="B309" s="313"/>
      <c r="C309" s="313"/>
      <c r="D309" s="365"/>
      <c r="E309" s="365"/>
      <c r="F309" s="366"/>
      <c r="G309" s="277">
        <f>SUM(G296:G308)</f>
        <v>0</v>
      </c>
      <c r="H309" s="88"/>
    </row>
    <row r="310" spans="1:8" x14ac:dyDescent="0.2">
      <c r="A310" s="8" t="s">
        <v>0</v>
      </c>
      <c r="B310" s="89">
        <f>B296+1</f>
        <v>46132</v>
      </c>
      <c r="C310" s="90"/>
      <c r="D310" s="230" t="s">
        <v>1675</v>
      </c>
      <c r="E310" s="230" t="s">
        <v>1697</v>
      </c>
      <c r="F310" s="230" t="s">
        <v>1642</v>
      </c>
      <c r="G310" s="231">
        <v>8.5</v>
      </c>
      <c r="H310" s="92"/>
    </row>
    <row r="311" spans="1:8" x14ac:dyDescent="0.2">
      <c r="A311" s="8" t="s">
        <v>1</v>
      </c>
      <c r="B311" s="89"/>
      <c r="C311" s="90"/>
      <c r="D311" s="230" t="s">
        <v>1706</v>
      </c>
      <c r="E311" s="230" t="s">
        <v>1732</v>
      </c>
      <c r="F311" s="230" t="s">
        <v>1652</v>
      </c>
      <c r="G311" s="231">
        <v>17.5</v>
      </c>
      <c r="H311" s="95"/>
    </row>
    <row r="312" spans="1:8" x14ac:dyDescent="0.2">
      <c r="A312" s="8" t="s">
        <v>2</v>
      </c>
      <c r="B312" s="89"/>
      <c r="C312" s="90"/>
      <c r="D312" s="230" t="s">
        <v>1671</v>
      </c>
      <c r="E312" s="230" t="s">
        <v>1693</v>
      </c>
      <c r="F312" s="230" t="s">
        <v>1652</v>
      </c>
      <c r="G312" s="231">
        <v>8</v>
      </c>
      <c r="H312" s="92"/>
    </row>
    <row r="313" spans="1:8" x14ac:dyDescent="0.2">
      <c r="A313" s="8" t="s">
        <v>3</v>
      </c>
      <c r="B313" s="89"/>
      <c r="C313" s="90"/>
      <c r="D313" s="230" t="s">
        <v>1680</v>
      </c>
      <c r="E313" s="230" t="s">
        <v>1681</v>
      </c>
      <c r="F313" s="230" t="s">
        <v>1642</v>
      </c>
      <c r="G313" s="231">
        <v>18</v>
      </c>
      <c r="H313" s="92"/>
    </row>
    <row r="314" spans="1:8" hidden="1" x14ac:dyDescent="0.2">
      <c r="A314" s="8" t="s">
        <v>4</v>
      </c>
      <c r="B314" s="89"/>
      <c r="C314" s="90"/>
      <c r="D314" s="225"/>
      <c r="E314" s="225"/>
      <c r="F314" s="225"/>
      <c r="G314" s="226"/>
      <c r="H314" s="92"/>
    </row>
    <row r="315" spans="1:8" hidden="1" x14ac:dyDescent="0.2">
      <c r="A315" s="8" t="s">
        <v>5</v>
      </c>
      <c r="B315" s="89"/>
      <c r="C315" s="90"/>
      <c r="D315" s="225"/>
      <c r="E315" s="225"/>
      <c r="F315" s="225"/>
      <c r="G315" s="226"/>
      <c r="H315" s="92"/>
    </row>
    <row r="316" spans="1:8" hidden="1" x14ac:dyDescent="0.2">
      <c r="A316" s="8" t="s">
        <v>6</v>
      </c>
      <c r="B316" s="89"/>
      <c r="C316" s="90"/>
      <c r="D316" s="225"/>
      <c r="E316" s="225"/>
      <c r="F316" s="225"/>
      <c r="G316" s="226"/>
      <c r="H316" s="92"/>
    </row>
    <row r="317" spans="1:8" hidden="1" x14ac:dyDescent="0.2">
      <c r="A317" s="8" t="s">
        <v>7</v>
      </c>
      <c r="B317" s="89"/>
      <c r="C317" s="90"/>
      <c r="D317" s="225"/>
      <c r="E317" s="225"/>
      <c r="F317" s="225"/>
      <c r="G317" s="226"/>
      <c r="H317" s="92"/>
    </row>
    <row r="318" spans="1:8" x14ac:dyDescent="0.2">
      <c r="A318" s="312" t="s">
        <v>10</v>
      </c>
      <c r="B318" s="313"/>
      <c r="C318" s="313"/>
      <c r="D318" s="365"/>
      <c r="E318" s="365"/>
      <c r="F318" s="366"/>
      <c r="G318" s="277">
        <f>SUM(G310:G317)</f>
        <v>52</v>
      </c>
      <c r="H318" s="98"/>
    </row>
    <row r="319" spans="1:8" x14ac:dyDescent="0.2">
      <c r="A319" s="8" t="s">
        <v>0</v>
      </c>
      <c r="B319" s="5">
        <f>B310+1</f>
        <v>46133</v>
      </c>
      <c r="C319" s="83"/>
      <c r="D319" s="230" t="s">
        <v>1675</v>
      </c>
      <c r="E319" s="230" t="s">
        <v>1697</v>
      </c>
      <c r="F319" s="230" t="s">
        <v>1642</v>
      </c>
      <c r="G319" s="231">
        <v>77</v>
      </c>
      <c r="H319" s="92"/>
    </row>
    <row r="320" spans="1:8" x14ac:dyDescent="0.2">
      <c r="A320" s="8" t="s">
        <v>1</v>
      </c>
      <c r="B320" s="5"/>
      <c r="C320" s="83"/>
      <c r="D320" s="230" t="s">
        <v>1733</v>
      </c>
      <c r="E320" s="230" t="s">
        <v>1734</v>
      </c>
      <c r="F320" s="230" t="s">
        <v>1652</v>
      </c>
      <c r="G320" s="231">
        <v>5</v>
      </c>
      <c r="H320" s="92"/>
    </row>
    <row r="321" spans="1:8" x14ac:dyDescent="0.2">
      <c r="A321" s="8" t="s">
        <v>2</v>
      </c>
      <c r="B321" s="5"/>
      <c r="C321" s="83"/>
      <c r="D321" s="230" t="s">
        <v>1716</v>
      </c>
      <c r="E321" s="230" t="s">
        <v>1735</v>
      </c>
      <c r="F321" s="230" t="s">
        <v>1652</v>
      </c>
      <c r="G321" s="231">
        <v>13</v>
      </c>
      <c r="H321" s="92"/>
    </row>
    <row r="322" spans="1:8" x14ac:dyDescent="0.2">
      <c r="A322" s="8" t="s">
        <v>3</v>
      </c>
      <c r="B322" s="5"/>
      <c r="C322" s="83"/>
      <c r="D322" s="230" t="s">
        <v>1671</v>
      </c>
      <c r="E322" s="230" t="s">
        <v>1722</v>
      </c>
      <c r="F322" s="230" t="s">
        <v>1652</v>
      </c>
      <c r="G322" s="231">
        <v>9</v>
      </c>
      <c r="H322" s="92"/>
    </row>
    <row r="323" spans="1:8" x14ac:dyDescent="0.2">
      <c r="A323" s="8" t="s">
        <v>4</v>
      </c>
      <c r="B323" s="5"/>
      <c r="C323" s="83"/>
      <c r="D323" s="230" t="s">
        <v>1700</v>
      </c>
      <c r="E323" s="230" t="s">
        <v>1660</v>
      </c>
      <c r="F323" s="230" t="s">
        <v>1661</v>
      </c>
      <c r="G323" s="231">
        <v>5</v>
      </c>
      <c r="H323" s="92"/>
    </row>
    <row r="324" spans="1:8" hidden="1" x14ac:dyDescent="0.2">
      <c r="A324" s="8" t="s">
        <v>5</v>
      </c>
      <c r="B324" s="5"/>
      <c r="C324" s="83"/>
      <c r="D324" s="225"/>
      <c r="E324" s="263"/>
      <c r="F324" s="225"/>
      <c r="G324" s="226"/>
      <c r="H324" s="92"/>
    </row>
    <row r="325" spans="1:8" hidden="1" x14ac:dyDescent="0.2">
      <c r="A325" s="8">
        <v>7</v>
      </c>
      <c r="B325" s="5"/>
      <c r="C325" s="83"/>
      <c r="D325" s="225"/>
      <c r="E325" s="225"/>
      <c r="F325" s="225"/>
      <c r="G325" s="226"/>
      <c r="H325" s="92"/>
    </row>
    <row r="326" spans="1:8" hidden="1" x14ac:dyDescent="0.2">
      <c r="A326" s="8">
        <v>8</v>
      </c>
      <c r="B326" s="5"/>
      <c r="C326" s="83"/>
      <c r="D326" s="225"/>
      <c r="E326" s="225"/>
      <c r="F326" s="225"/>
      <c r="G326" s="226"/>
      <c r="H326" s="85"/>
    </row>
    <row r="327" spans="1:8" x14ac:dyDescent="0.2">
      <c r="A327" s="371" t="s">
        <v>10</v>
      </c>
      <c r="B327" s="363"/>
      <c r="C327" s="363"/>
      <c r="D327" s="363"/>
      <c r="E327" s="363"/>
      <c r="F327" s="364"/>
      <c r="G327" s="260">
        <f>SUM(G319:G326)</f>
        <v>109</v>
      </c>
      <c r="H327" s="88"/>
    </row>
    <row r="328" spans="1:8" s="6" customFormat="1" x14ac:dyDescent="0.2">
      <c r="A328" s="8" t="s">
        <v>0</v>
      </c>
      <c r="B328" s="5">
        <f>B319+1</f>
        <v>46134</v>
      </c>
      <c r="C328" s="83"/>
      <c r="D328" s="230" t="s">
        <v>1706</v>
      </c>
      <c r="E328" s="230" t="s">
        <v>1732</v>
      </c>
      <c r="F328" s="230" t="s">
        <v>1652</v>
      </c>
      <c r="G328" s="231">
        <v>5</v>
      </c>
      <c r="H328" s="92"/>
    </row>
    <row r="329" spans="1:8" s="54" customFormat="1" x14ac:dyDescent="0.2">
      <c r="A329" s="97" t="s">
        <v>1</v>
      </c>
      <c r="B329" s="89"/>
      <c r="C329" s="116"/>
      <c r="D329" s="230" t="s">
        <v>1733</v>
      </c>
      <c r="E329" s="230" t="s">
        <v>1734</v>
      </c>
      <c r="F329" s="230" t="s">
        <v>1652</v>
      </c>
      <c r="G329" s="231">
        <v>3</v>
      </c>
      <c r="H329" s="95"/>
    </row>
    <row r="330" spans="1:8" s="54" customFormat="1" x14ac:dyDescent="0.2">
      <c r="A330" s="97" t="s">
        <v>2</v>
      </c>
      <c r="B330" s="89"/>
      <c r="C330" s="116"/>
      <c r="D330" s="230" t="s">
        <v>1671</v>
      </c>
      <c r="E330" s="230" t="s">
        <v>1722</v>
      </c>
      <c r="F330" s="230" t="s">
        <v>1652</v>
      </c>
      <c r="G330" s="231">
        <v>4</v>
      </c>
      <c r="H330" s="92"/>
    </row>
    <row r="331" spans="1:8" s="54" customFormat="1" x14ac:dyDescent="0.2">
      <c r="A331" s="97" t="s">
        <v>3</v>
      </c>
      <c r="B331" s="89"/>
      <c r="C331" s="116"/>
      <c r="D331" s="230" t="s">
        <v>1643</v>
      </c>
      <c r="E331" s="230" t="s">
        <v>1736</v>
      </c>
      <c r="F331" s="230" t="s">
        <v>1645</v>
      </c>
      <c r="G331" s="231">
        <v>5.25</v>
      </c>
      <c r="H331" s="92"/>
    </row>
    <row r="332" spans="1:8" s="54" customFormat="1" x14ac:dyDescent="0.2">
      <c r="A332" s="97" t="s">
        <v>4</v>
      </c>
      <c r="B332" s="89"/>
      <c r="C332" s="116"/>
      <c r="D332" s="230" t="s">
        <v>1678</v>
      </c>
      <c r="E332" s="230" t="s">
        <v>1679</v>
      </c>
      <c r="F332" s="230" t="s">
        <v>1652</v>
      </c>
      <c r="G332" s="231">
        <v>10</v>
      </c>
      <c r="H332" s="92"/>
    </row>
    <row r="333" spans="1:8" s="54" customFormat="1" x14ac:dyDescent="0.2">
      <c r="A333" s="97" t="s">
        <v>5</v>
      </c>
      <c r="B333" s="89"/>
      <c r="C333" s="116"/>
      <c r="D333" s="230" t="s">
        <v>1737</v>
      </c>
      <c r="E333" s="230" t="s">
        <v>1738</v>
      </c>
      <c r="F333" s="230" t="s">
        <v>1649</v>
      </c>
      <c r="G333" s="231">
        <v>4</v>
      </c>
      <c r="H333" s="92"/>
    </row>
    <row r="334" spans="1:8" s="54" customFormat="1" hidden="1" x14ac:dyDescent="0.2">
      <c r="A334" s="97" t="s">
        <v>6</v>
      </c>
      <c r="B334" s="89"/>
      <c r="C334" s="116"/>
      <c r="D334" s="230"/>
      <c r="E334" s="230"/>
      <c r="F334" s="230"/>
      <c r="G334" s="231"/>
      <c r="H334" s="92"/>
    </row>
    <row r="335" spans="1:8" s="54" customFormat="1" hidden="1" x14ac:dyDescent="0.2">
      <c r="A335" s="97" t="s">
        <v>7</v>
      </c>
      <c r="B335" s="89"/>
      <c r="C335" s="116"/>
      <c r="D335" s="230"/>
      <c r="E335" s="230"/>
      <c r="F335" s="230"/>
      <c r="G335" s="231"/>
      <c r="H335" s="92"/>
    </row>
    <row r="336" spans="1:8" s="54" customFormat="1" hidden="1" x14ac:dyDescent="0.2">
      <c r="A336" s="97" t="s">
        <v>8</v>
      </c>
      <c r="B336" s="89"/>
      <c r="C336" s="116"/>
      <c r="D336" s="225"/>
      <c r="E336" s="225"/>
      <c r="F336" s="225"/>
      <c r="G336" s="226"/>
      <c r="H336" s="92"/>
    </row>
    <row r="337" spans="1:8" s="54" customFormat="1" hidden="1" x14ac:dyDescent="0.2">
      <c r="A337" s="97" t="s">
        <v>9</v>
      </c>
      <c r="B337" s="89"/>
      <c r="C337" s="116"/>
      <c r="D337" s="225"/>
      <c r="E337" s="225"/>
      <c r="F337" s="225"/>
      <c r="G337" s="226"/>
      <c r="H337" s="92"/>
    </row>
    <row r="338" spans="1:8" x14ac:dyDescent="0.2">
      <c r="A338" s="368" t="s">
        <v>10</v>
      </c>
      <c r="B338" s="361"/>
      <c r="C338" s="361"/>
      <c r="D338" s="361"/>
      <c r="E338" s="361"/>
      <c r="F338" s="362"/>
      <c r="G338" s="262">
        <f>SUM(G328:G337)</f>
        <v>31.25</v>
      </c>
      <c r="H338" s="98"/>
    </row>
    <row r="339" spans="1:8" s="23" customFormat="1" ht="18" x14ac:dyDescent="0.2">
      <c r="A339" s="315" t="s">
        <v>39</v>
      </c>
      <c r="B339" s="316"/>
      <c r="C339" s="316"/>
      <c r="D339" s="316"/>
      <c r="E339" s="316"/>
      <c r="F339" s="317"/>
      <c r="G339" s="268">
        <f>G309+G318+G327+G338</f>
        <v>192.25</v>
      </c>
      <c r="H339" s="22"/>
    </row>
    <row r="340" spans="1:8" s="23" customFormat="1" ht="18" x14ac:dyDescent="0.2">
      <c r="A340" s="33"/>
      <c r="B340" s="33"/>
      <c r="C340" s="33"/>
      <c r="D340" s="271"/>
      <c r="E340" s="271"/>
      <c r="F340" s="271"/>
      <c r="G340" s="272"/>
    </row>
    <row r="341" spans="1:8" s="23" customFormat="1" ht="18" x14ac:dyDescent="0.2">
      <c r="A341" s="33"/>
      <c r="B341" s="33"/>
      <c r="C341" s="33"/>
      <c r="D341" s="271"/>
      <c r="E341" s="271"/>
      <c r="F341" s="271"/>
      <c r="G341" s="272"/>
    </row>
    <row r="342" spans="1:8" ht="21.95" customHeight="1" x14ac:dyDescent="0.2">
      <c r="A342" s="319" t="s">
        <v>14</v>
      </c>
      <c r="B342" s="319"/>
      <c r="C342" s="319"/>
      <c r="D342" s="319"/>
      <c r="E342" s="319"/>
      <c r="F342" s="319"/>
      <c r="G342" s="319"/>
      <c r="H342" s="319"/>
    </row>
    <row r="343" spans="1:8" s="9" customFormat="1" ht="20.100000000000001" customHeight="1" x14ac:dyDescent="0.2">
      <c r="A343" s="335" t="str">
        <f>A291</f>
        <v>รายงานการสรุปยอดขายของพนักงานขายประจำเดือน เมษายน ปี 2569</v>
      </c>
      <c r="B343" s="335"/>
      <c r="C343" s="335"/>
      <c r="D343" s="335"/>
      <c r="E343" s="335"/>
      <c r="F343" s="335"/>
      <c r="G343" s="335"/>
      <c r="H343" s="335"/>
    </row>
    <row r="344" spans="1:8" s="3" customFormat="1" ht="20.100000000000001" customHeight="1" x14ac:dyDescent="0.35">
      <c r="A344" s="318" t="str">
        <f>$A$3</f>
        <v>พนักงานขาย นายอำนาจ ชัยประภา</v>
      </c>
      <c r="B344" s="318"/>
      <c r="C344" s="318"/>
      <c r="D344" s="318"/>
      <c r="E344" s="236"/>
      <c r="F344" s="237"/>
      <c r="G344" s="238" t="s">
        <v>21</v>
      </c>
      <c r="H344" s="35">
        <f>H292+1</f>
        <v>8</v>
      </c>
    </row>
    <row r="345" spans="1:8" s="3" customFormat="1" ht="20.100000000000001" customHeight="1" x14ac:dyDescent="0.35">
      <c r="A345" s="311"/>
      <c r="B345" s="311"/>
      <c r="C345" s="311"/>
      <c r="D345" s="240"/>
      <c r="E345" s="236"/>
      <c r="F345" s="274">
        <f>$F$4</f>
        <v>46107</v>
      </c>
      <c r="G345" s="242" t="s">
        <v>82</v>
      </c>
      <c r="H345" s="34">
        <f>$H$4</f>
        <v>46136</v>
      </c>
    </row>
    <row r="346" spans="1:8" x14ac:dyDescent="0.2">
      <c r="A346" s="12" t="s">
        <v>23</v>
      </c>
      <c r="B346" s="13" t="s">
        <v>11</v>
      </c>
      <c r="C346" s="14" t="s">
        <v>26</v>
      </c>
      <c r="D346" s="245" t="s">
        <v>83</v>
      </c>
      <c r="E346" s="243" t="s">
        <v>16</v>
      </c>
      <c r="F346" s="243" t="s">
        <v>17</v>
      </c>
      <c r="G346" s="246" t="s">
        <v>18</v>
      </c>
      <c r="H346" s="12" t="s">
        <v>19</v>
      </c>
    </row>
    <row r="347" spans="1:8" x14ac:dyDescent="0.2">
      <c r="A347" s="15"/>
      <c r="B347" s="16"/>
      <c r="C347" s="17"/>
      <c r="D347" s="249"/>
      <c r="E347" s="247"/>
      <c r="F347" s="247"/>
      <c r="G347" s="288" t="s">
        <v>20</v>
      </c>
      <c r="H347" s="15"/>
    </row>
    <row r="348" spans="1:8" x14ac:dyDescent="0.2">
      <c r="A348" s="8" t="s">
        <v>0</v>
      </c>
      <c r="B348" s="5">
        <f>B328+1</f>
        <v>46135</v>
      </c>
      <c r="C348" s="83"/>
      <c r="D348" s="230" t="s">
        <v>1683</v>
      </c>
      <c r="E348" s="232" t="s">
        <v>1723</v>
      </c>
      <c r="F348" s="230" t="s">
        <v>1652</v>
      </c>
      <c r="G348" s="231">
        <v>6</v>
      </c>
      <c r="H348" s="92"/>
    </row>
    <row r="349" spans="1:8" x14ac:dyDescent="0.2">
      <c r="A349" s="8" t="s">
        <v>1</v>
      </c>
      <c r="B349" s="5"/>
      <c r="C349" s="83"/>
      <c r="D349" s="230" t="s">
        <v>1678</v>
      </c>
      <c r="E349" s="232" t="s">
        <v>1679</v>
      </c>
      <c r="F349" s="230" t="s">
        <v>1645</v>
      </c>
      <c r="G349" s="231">
        <v>14.5</v>
      </c>
      <c r="H349" s="95"/>
    </row>
    <row r="350" spans="1:8" x14ac:dyDescent="0.2">
      <c r="A350" s="8" t="s">
        <v>2</v>
      </c>
      <c r="B350" s="5"/>
      <c r="C350" s="83"/>
      <c r="D350" s="230" t="s">
        <v>1700</v>
      </c>
      <c r="E350" s="232" t="s">
        <v>1660</v>
      </c>
      <c r="F350" s="230" t="s">
        <v>1652</v>
      </c>
      <c r="G350" s="231">
        <v>10</v>
      </c>
      <c r="H350" s="92"/>
    </row>
    <row r="351" spans="1:8" hidden="1" x14ac:dyDescent="0.2">
      <c r="A351" s="8" t="s">
        <v>3</v>
      </c>
      <c r="B351" s="5"/>
      <c r="C351" s="83"/>
      <c r="D351" s="230"/>
      <c r="E351" s="232"/>
      <c r="F351" s="230"/>
      <c r="G351" s="231"/>
      <c r="H351" s="92"/>
    </row>
    <row r="352" spans="1:8" hidden="1" x14ac:dyDescent="0.2">
      <c r="A352" s="8" t="s">
        <v>4</v>
      </c>
      <c r="B352" s="5"/>
      <c r="C352" s="83"/>
      <c r="D352" s="225"/>
      <c r="E352" s="225"/>
      <c r="F352" s="225"/>
      <c r="G352" s="226"/>
      <c r="H352" s="54"/>
    </row>
    <row r="353" spans="1:8" hidden="1" x14ac:dyDescent="0.2">
      <c r="A353" s="8" t="s">
        <v>5</v>
      </c>
      <c r="B353" s="5"/>
      <c r="C353" s="83"/>
      <c r="D353" s="225"/>
      <c r="E353" s="225"/>
      <c r="F353" s="225"/>
      <c r="G353" s="226"/>
      <c r="H353" s="54"/>
    </row>
    <row r="354" spans="1:8" hidden="1" x14ac:dyDescent="0.2">
      <c r="A354" s="8" t="s">
        <v>6</v>
      </c>
      <c r="B354" s="5"/>
      <c r="C354" s="83"/>
      <c r="D354" s="225"/>
      <c r="E354" s="225"/>
      <c r="F354" s="225"/>
      <c r="G354" s="226"/>
      <c r="H354" s="54"/>
    </row>
    <row r="355" spans="1:8" hidden="1" x14ac:dyDescent="0.2">
      <c r="A355" s="8" t="s">
        <v>7</v>
      </c>
      <c r="B355" s="5"/>
      <c r="C355" s="83"/>
      <c r="D355" s="225"/>
      <c r="E355" s="225"/>
      <c r="F355" s="225"/>
      <c r="G355" s="226"/>
      <c r="H355" s="54"/>
    </row>
    <row r="356" spans="1:8" hidden="1" x14ac:dyDescent="0.2">
      <c r="A356" s="8" t="s">
        <v>8</v>
      </c>
      <c r="B356" s="5"/>
      <c r="C356" s="83"/>
      <c r="D356" s="225"/>
      <c r="E356" s="225"/>
      <c r="F356" s="225"/>
      <c r="G356" s="226"/>
      <c r="H356" s="85"/>
    </row>
    <row r="357" spans="1:8" hidden="1" x14ac:dyDescent="0.2">
      <c r="A357" s="8" t="s">
        <v>9</v>
      </c>
      <c r="B357" s="5"/>
      <c r="C357" s="83"/>
      <c r="D357" s="225"/>
      <c r="E357" s="225"/>
      <c r="F357" s="225"/>
      <c r="G357" s="226"/>
      <c r="H357" s="85"/>
    </row>
    <row r="358" spans="1:8" x14ac:dyDescent="0.2">
      <c r="A358" s="312" t="s">
        <v>10</v>
      </c>
      <c r="B358" s="313"/>
      <c r="C358" s="313"/>
      <c r="D358" s="363"/>
      <c r="E358" s="363"/>
      <c r="F358" s="364"/>
      <c r="G358" s="260">
        <f>SUM(G348:G357)</f>
        <v>30.5</v>
      </c>
      <c r="H358" s="11"/>
    </row>
    <row r="359" spans="1:8" x14ac:dyDescent="0.2">
      <c r="A359" s="8" t="s">
        <v>0</v>
      </c>
      <c r="B359" s="5">
        <f>B348+1</f>
        <v>46136</v>
      </c>
      <c r="C359" s="83"/>
      <c r="D359" s="230" t="s">
        <v>1712</v>
      </c>
      <c r="E359" s="230" t="s">
        <v>1742</v>
      </c>
      <c r="F359" s="230" t="s">
        <v>1649</v>
      </c>
      <c r="G359" s="231">
        <v>6</v>
      </c>
      <c r="H359" s="85"/>
    </row>
    <row r="360" spans="1:8" x14ac:dyDescent="0.2">
      <c r="A360" s="8" t="s">
        <v>1</v>
      </c>
      <c r="B360" s="5"/>
      <c r="C360" s="83"/>
      <c r="D360" s="230" t="s">
        <v>1671</v>
      </c>
      <c r="E360" s="230" t="s">
        <v>1672</v>
      </c>
      <c r="F360" s="230" t="s">
        <v>1652</v>
      </c>
      <c r="G360" s="231">
        <v>4.5</v>
      </c>
      <c r="H360" s="86"/>
    </row>
    <row r="361" spans="1:8" x14ac:dyDescent="0.2">
      <c r="A361" s="8" t="s">
        <v>2</v>
      </c>
      <c r="B361" s="5"/>
      <c r="C361" s="83"/>
      <c r="D361" s="230" t="s">
        <v>1706</v>
      </c>
      <c r="E361" s="230" t="s">
        <v>1732</v>
      </c>
      <c r="F361" s="230" t="s">
        <v>1652</v>
      </c>
      <c r="G361" s="231">
        <v>5</v>
      </c>
      <c r="H361" s="85"/>
    </row>
    <row r="362" spans="1:8" x14ac:dyDescent="0.2">
      <c r="A362" s="8" t="s">
        <v>3</v>
      </c>
      <c r="B362" s="5"/>
      <c r="C362" s="83"/>
      <c r="D362" s="230" t="s">
        <v>1706</v>
      </c>
      <c r="E362" s="230" t="s">
        <v>1707</v>
      </c>
      <c r="F362" s="230" t="s">
        <v>1652</v>
      </c>
      <c r="G362" s="231">
        <v>10.5</v>
      </c>
      <c r="H362" s="85"/>
    </row>
    <row r="363" spans="1:8" hidden="1" x14ac:dyDescent="0.2">
      <c r="A363" s="8" t="s">
        <v>4</v>
      </c>
      <c r="B363" s="5"/>
      <c r="C363" s="83"/>
      <c r="D363" s="225"/>
      <c r="E363" s="225"/>
      <c r="F363" s="225"/>
      <c r="G363" s="226"/>
      <c r="H363" s="85"/>
    </row>
    <row r="364" spans="1:8" hidden="1" x14ac:dyDescent="0.2">
      <c r="A364" s="8" t="s">
        <v>5</v>
      </c>
      <c r="B364" s="5"/>
      <c r="C364" s="83"/>
      <c r="D364" s="225"/>
      <c r="E364" s="225"/>
      <c r="F364" s="225"/>
      <c r="G364" s="226"/>
      <c r="H364" s="85"/>
    </row>
    <row r="365" spans="1:8" hidden="1" x14ac:dyDescent="0.2">
      <c r="A365" s="8" t="s">
        <v>6</v>
      </c>
      <c r="B365" s="5"/>
      <c r="C365" s="83"/>
      <c r="D365" s="225"/>
      <c r="E365" s="225"/>
      <c r="F365" s="225"/>
      <c r="G365" s="226"/>
      <c r="H365" s="85"/>
    </row>
    <row r="366" spans="1:8" x14ac:dyDescent="0.2">
      <c r="A366" s="312" t="s">
        <v>10</v>
      </c>
      <c r="B366" s="313"/>
      <c r="C366" s="313"/>
      <c r="D366" s="313"/>
      <c r="E366" s="313"/>
      <c r="F366" s="314"/>
      <c r="G366" s="267">
        <f>SUM(G359:G365)</f>
        <v>26</v>
      </c>
      <c r="H366" s="11"/>
    </row>
    <row r="367" spans="1:8" x14ac:dyDescent="0.2">
      <c r="A367" s="8" t="s">
        <v>0</v>
      </c>
      <c r="B367" s="5">
        <f>B359+1</f>
        <v>46137</v>
      </c>
      <c r="C367" s="83"/>
      <c r="D367" s="225"/>
      <c r="E367" s="225"/>
      <c r="F367" s="225"/>
      <c r="G367" s="226"/>
      <c r="H367" s="85"/>
    </row>
    <row r="368" spans="1:8" x14ac:dyDescent="0.2">
      <c r="A368" s="8" t="s">
        <v>1</v>
      </c>
      <c r="B368" s="5"/>
      <c r="C368" s="83"/>
      <c r="D368" s="225"/>
      <c r="E368" s="225"/>
      <c r="F368" s="225"/>
      <c r="G368" s="226"/>
      <c r="H368" s="86"/>
    </row>
    <row r="369" spans="1:8" x14ac:dyDescent="0.2">
      <c r="A369" s="8" t="s">
        <v>2</v>
      </c>
      <c r="B369" s="5"/>
      <c r="C369" s="83"/>
      <c r="D369" s="225"/>
      <c r="E369" s="225"/>
      <c r="F369" s="225"/>
      <c r="G369" s="226"/>
      <c r="H369" s="85"/>
    </row>
    <row r="370" spans="1:8" x14ac:dyDescent="0.2">
      <c r="A370" s="8" t="s">
        <v>3</v>
      </c>
      <c r="B370" s="5"/>
      <c r="C370" s="83"/>
      <c r="D370" s="225"/>
      <c r="E370" s="225"/>
      <c r="F370" s="225"/>
      <c r="G370" s="226"/>
      <c r="H370" s="85"/>
    </row>
    <row r="371" spans="1:8" x14ac:dyDescent="0.2">
      <c r="A371" s="8" t="s">
        <v>4</v>
      </c>
      <c r="B371" s="5"/>
      <c r="C371" s="83"/>
      <c r="D371" s="225"/>
      <c r="E371" s="225"/>
      <c r="F371" s="225"/>
      <c r="G371" s="226"/>
      <c r="H371" s="85"/>
    </row>
    <row r="372" spans="1:8" x14ac:dyDescent="0.2">
      <c r="A372" s="8" t="s">
        <v>5</v>
      </c>
      <c r="B372" s="5"/>
      <c r="C372" s="83"/>
      <c r="D372" s="225"/>
      <c r="E372" s="225"/>
      <c r="F372" s="225"/>
      <c r="G372" s="226"/>
      <c r="H372" s="85"/>
    </row>
    <row r="373" spans="1:8" x14ac:dyDescent="0.2">
      <c r="A373" s="8" t="s">
        <v>6</v>
      </c>
      <c r="B373" s="5"/>
      <c r="C373" s="83"/>
      <c r="D373" s="225"/>
      <c r="E373" s="225"/>
      <c r="F373" s="225"/>
      <c r="G373" s="226"/>
      <c r="H373" s="85"/>
    </row>
    <row r="374" spans="1:8" x14ac:dyDescent="0.2">
      <c r="A374" s="312" t="s">
        <v>10</v>
      </c>
      <c r="B374" s="313"/>
      <c r="C374" s="313"/>
      <c r="D374" s="313"/>
      <c r="E374" s="313"/>
      <c r="F374" s="314"/>
      <c r="G374" s="267">
        <f>SUM(G367:G373)</f>
        <v>0</v>
      </c>
      <c r="H374" s="11"/>
    </row>
    <row r="375" spans="1:8" x14ac:dyDescent="0.2">
      <c r="A375" s="8" t="s">
        <v>0</v>
      </c>
      <c r="B375" s="5">
        <f>B367+1</f>
        <v>46138</v>
      </c>
      <c r="C375" s="83"/>
      <c r="D375" s="225"/>
      <c r="E375" s="225"/>
      <c r="F375" s="225"/>
      <c r="G375" s="226"/>
      <c r="H375" s="85"/>
    </row>
    <row r="376" spans="1:8" x14ac:dyDescent="0.2">
      <c r="A376" s="8" t="s">
        <v>1</v>
      </c>
      <c r="B376" s="5"/>
      <c r="C376" s="83"/>
      <c r="D376" s="225"/>
      <c r="E376" s="225"/>
      <c r="F376" s="225"/>
      <c r="G376" s="226"/>
      <c r="H376" s="86"/>
    </row>
    <row r="377" spans="1:8" x14ac:dyDescent="0.2">
      <c r="A377" s="8" t="s">
        <v>2</v>
      </c>
      <c r="B377" s="5"/>
      <c r="C377" s="83"/>
      <c r="D377" s="225"/>
      <c r="E377" s="225"/>
      <c r="F377" s="225"/>
      <c r="G377" s="226"/>
      <c r="H377" s="85"/>
    </row>
    <row r="378" spans="1:8" x14ac:dyDescent="0.2">
      <c r="A378" s="8" t="s">
        <v>3</v>
      </c>
      <c r="B378" s="5"/>
      <c r="C378" s="83"/>
      <c r="D378" s="225"/>
      <c r="E378" s="225"/>
      <c r="F378" s="225"/>
      <c r="G378" s="226"/>
      <c r="H378" s="85"/>
    </row>
    <row r="379" spans="1:8" x14ac:dyDescent="0.2">
      <c r="A379" s="8" t="s">
        <v>4</v>
      </c>
      <c r="B379" s="5"/>
      <c r="C379" s="83"/>
      <c r="D379" s="225"/>
      <c r="E379" s="225"/>
      <c r="F379" s="225"/>
      <c r="G379" s="226"/>
      <c r="H379" s="85"/>
    </row>
    <row r="380" spans="1:8" x14ac:dyDescent="0.2">
      <c r="A380" s="8" t="s">
        <v>5</v>
      </c>
      <c r="B380" s="5"/>
      <c r="C380" s="83"/>
      <c r="D380" s="225"/>
      <c r="E380" s="225"/>
      <c r="F380" s="225"/>
      <c r="G380" s="226"/>
      <c r="H380" s="85"/>
    </row>
    <row r="381" spans="1:8" x14ac:dyDescent="0.2">
      <c r="A381" s="8" t="s">
        <v>6</v>
      </c>
      <c r="B381" s="5"/>
      <c r="C381" s="83"/>
      <c r="D381" s="225"/>
      <c r="E381" s="225"/>
      <c r="F381" s="225"/>
      <c r="G381" s="226"/>
      <c r="H381" s="85"/>
    </row>
    <row r="382" spans="1:8" x14ac:dyDescent="0.2">
      <c r="A382" s="312" t="s">
        <v>10</v>
      </c>
      <c r="B382" s="313"/>
      <c r="C382" s="313"/>
      <c r="D382" s="313"/>
      <c r="E382" s="313"/>
      <c r="F382" s="314"/>
      <c r="G382" s="267">
        <f>SUM(G375:G381)</f>
        <v>0</v>
      </c>
      <c r="H382" s="11"/>
    </row>
    <row r="383" spans="1:8" x14ac:dyDescent="0.2">
      <c r="A383" s="8" t="s">
        <v>0</v>
      </c>
      <c r="B383" s="5">
        <f>B375+1</f>
        <v>46139</v>
      </c>
      <c r="C383" s="83"/>
      <c r="D383" s="225"/>
      <c r="E383" s="225"/>
      <c r="F383" s="225"/>
      <c r="G383" s="226"/>
      <c r="H383" s="85"/>
    </row>
    <row r="384" spans="1:8" x14ac:dyDescent="0.2">
      <c r="A384" s="8" t="s">
        <v>1</v>
      </c>
      <c r="B384" s="5"/>
      <c r="C384" s="83"/>
      <c r="D384" s="225"/>
      <c r="E384" s="225"/>
      <c r="F384" s="225"/>
      <c r="G384" s="226"/>
      <c r="H384" s="86"/>
    </row>
    <row r="385" spans="1:8" x14ac:dyDescent="0.2">
      <c r="A385" s="8" t="s">
        <v>2</v>
      </c>
      <c r="B385" s="5"/>
      <c r="C385" s="83"/>
      <c r="D385" s="225"/>
      <c r="E385" s="225"/>
      <c r="F385" s="225"/>
      <c r="G385" s="226"/>
      <c r="H385" s="85"/>
    </row>
    <row r="386" spans="1:8" x14ac:dyDescent="0.2">
      <c r="A386" s="8" t="s">
        <v>3</v>
      </c>
      <c r="B386" s="5"/>
      <c r="C386" s="83"/>
      <c r="D386" s="225"/>
      <c r="E386" s="225"/>
      <c r="F386" s="225"/>
      <c r="G386" s="226"/>
      <c r="H386" s="85"/>
    </row>
    <row r="387" spans="1:8" x14ac:dyDescent="0.2">
      <c r="A387" s="8" t="s">
        <v>4</v>
      </c>
      <c r="B387" s="5"/>
      <c r="C387" s="83"/>
      <c r="D387" s="225"/>
      <c r="E387" s="225"/>
      <c r="F387" s="225"/>
      <c r="G387" s="226"/>
      <c r="H387" s="85"/>
    </row>
    <row r="388" spans="1:8" x14ac:dyDescent="0.2">
      <c r="A388" s="8" t="s">
        <v>5</v>
      </c>
      <c r="B388" s="5"/>
      <c r="C388" s="83"/>
      <c r="D388" s="225"/>
      <c r="E388" s="225"/>
      <c r="F388" s="225"/>
      <c r="G388" s="226"/>
      <c r="H388" s="85"/>
    </row>
    <row r="389" spans="1:8" x14ac:dyDescent="0.2">
      <c r="A389" s="8" t="s">
        <v>6</v>
      </c>
      <c r="B389" s="5"/>
      <c r="C389" s="83"/>
      <c r="D389" s="225"/>
      <c r="E389" s="225"/>
      <c r="F389" s="225"/>
      <c r="G389" s="226"/>
      <c r="H389" s="85"/>
    </row>
    <row r="390" spans="1:8" x14ac:dyDescent="0.2">
      <c r="A390" s="312" t="s">
        <v>10</v>
      </c>
      <c r="B390" s="313"/>
      <c r="C390" s="313"/>
      <c r="D390" s="313"/>
      <c r="E390" s="313"/>
      <c r="F390" s="314"/>
      <c r="G390" s="267">
        <f>SUM(G383:G389)</f>
        <v>0</v>
      </c>
      <c r="H390" s="11"/>
    </row>
    <row r="391" spans="1:8" x14ac:dyDescent="0.2">
      <c r="A391" s="8" t="s">
        <v>0</v>
      </c>
      <c r="B391" s="5">
        <f>B383+1</f>
        <v>46140</v>
      </c>
      <c r="C391" s="83"/>
      <c r="D391" s="225"/>
      <c r="E391" s="225"/>
      <c r="F391" s="225"/>
      <c r="G391" s="226"/>
      <c r="H391" s="92"/>
    </row>
    <row r="392" spans="1:8" x14ac:dyDescent="0.2">
      <c r="A392" s="8" t="s">
        <v>1</v>
      </c>
      <c r="B392" s="5"/>
      <c r="C392" s="83"/>
      <c r="D392" s="225"/>
      <c r="E392" s="225"/>
      <c r="F392" s="225"/>
      <c r="G392" s="226"/>
      <c r="H392" s="92"/>
    </row>
    <row r="393" spans="1:8" x14ac:dyDescent="0.2">
      <c r="A393" s="8" t="s">
        <v>2</v>
      </c>
      <c r="B393" s="5"/>
      <c r="C393" s="83"/>
      <c r="D393" s="225"/>
      <c r="E393" s="225"/>
      <c r="F393" s="225"/>
      <c r="G393" s="226"/>
      <c r="H393" s="54"/>
    </row>
    <row r="394" spans="1:8" x14ac:dyDescent="0.2">
      <c r="A394" s="8" t="s">
        <v>3</v>
      </c>
      <c r="B394" s="5"/>
      <c r="C394" s="83"/>
      <c r="D394" s="225"/>
      <c r="E394" s="225"/>
      <c r="F394" s="225"/>
      <c r="G394" s="226"/>
      <c r="H394" s="54"/>
    </row>
    <row r="395" spans="1:8" x14ac:dyDescent="0.2">
      <c r="A395" s="8" t="s">
        <v>4</v>
      </c>
      <c r="B395" s="5"/>
      <c r="C395" s="83"/>
      <c r="D395" s="225"/>
      <c r="E395" s="225"/>
      <c r="F395" s="225"/>
      <c r="G395" s="226"/>
      <c r="H395" s="54"/>
    </row>
    <row r="396" spans="1:8" x14ac:dyDescent="0.2">
      <c r="A396" s="8" t="s">
        <v>5</v>
      </c>
      <c r="B396" s="5"/>
      <c r="C396" s="83"/>
      <c r="D396" s="225"/>
      <c r="E396" s="225"/>
      <c r="F396" s="225"/>
      <c r="G396" s="226"/>
      <c r="H396" s="54"/>
    </row>
    <row r="397" spans="1:8" x14ac:dyDescent="0.2">
      <c r="A397" s="8" t="s">
        <v>6</v>
      </c>
      <c r="B397" s="5"/>
      <c r="C397" s="83"/>
      <c r="D397" s="225"/>
      <c r="E397" s="225"/>
      <c r="F397" s="225"/>
      <c r="G397" s="226"/>
      <c r="H397" s="54"/>
    </row>
    <row r="398" spans="1:8" x14ac:dyDescent="0.2">
      <c r="A398" s="8" t="s">
        <v>7</v>
      </c>
      <c r="B398" s="5"/>
      <c r="C398" s="83"/>
      <c r="D398" s="225"/>
      <c r="E398" s="225"/>
      <c r="F398" s="225"/>
      <c r="G398" s="226"/>
      <c r="H398" s="54"/>
    </row>
    <row r="399" spans="1:8" x14ac:dyDescent="0.2">
      <c r="A399" s="8" t="s">
        <v>8</v>
      </c>
      <c r="B399" s="5"/>
      <c r="C399" s="83"/>
      <c r="D399" s="225"/>
      <c r="E399" s="225"/>
      <c r="F399" s="225"/>
      <c r="G399" s="226"/>
      <c r="H399" s="54"/>
    </row>
    <row r="400" spans="1:8" x14ac:dyDescent="0.2">
      <c r="A400" s="8" t="s">
        <v>9</v>
      </c>
      <c r="B400" s="5"/>
      <c r="C400" s="83"/>
      <c r="D400" s="225"/>
      <c r="E400" s="225"/>
      <c r="F400" s="225"/>
      <c r="G400" s="226"/>
      <c r="H400" s="54"/>
    </row>
    <row r="401" spans="1:8" x14ac:dyDescent="0.2">
      <c r="A401" s="8" t="s">
        <v>99</v>
      </c>
      <c r="B401" s="5"/>
      <c r="C401" s="83"/>
      <c r="D401" s="225"/>
      <c r="E401" s="225"/>
      <c r="F401" s="225"/>
      <c r="G401" s="226"/>
      <c r="H401" s="54"/>
    </row>
    <row r="402" spans="1:8" x14ac:dyDescent="0.2">
      <c r="A402" s="312" t="s">
        <v>10</v>
      </c>
      <c r="B402" s="313"/>
      <c r="C402" s="313"/>
      <c r="D402" s="313"/>
      <c r="E402" s="313"/>
      <c r="F402" s="314"/>
      <c r="G402" s="267">
        <f>SUM(G391:G401)</f>
        <v>0</v>
      </c>
      <c r="H402" s="11"/>
    </row>
    <row r="403" spans="1:8" x14ac:dyDescent="0.2">
      <c r="A403" s="8" t="s">
        <v>0</v>
      </c>
      <c r="B403" s="5">
        <f>B391+1</f>
        <v>46141</v>
      </c>
      <c r="C403" s="83"/>
      <c r="D403" s="225"/>
      <c r="E403" s="225"/>
      <c r="F403" s="225"/>
      <c r="G403" s="226"/>
      <c r="H403" s="85"/>
    </row>
    <row r="404" spans="1:8" x14ac:dyDescent="0.2">
      <c r="A404" s="8" t="s">
        <v>1</v>
      </c>
      <c r="B404" s="5"/>
      <c r="C404" s="83"/>
      <c r="D404" s="225"/>
      <c r="E404" s="225"/>
      <c r="F404" s="225"/>
      <c r="G404" s="226"/>
      <c r="H404" s="86"/>
    </row>
    <row r="405" spans="1:8" x14ac:dyDescent="0.2">
      <c r="A405" s="8" t="s">
        <v>2</v>
      </c>
      <c r="B405" s="5"/>
      <c r="C405" s="83"/>
      <c r="D405" s="225"/>
      <c r="E405" s="225"/>
      <c r="F405" s="225"/>
      <c r="G405" s="226"/>
      <c r="H405" s="85"/>
    </row>
    <row r="406" spans="1:8" x14ac:dyDescent="0.2">
      <c r="A406" s="8" t="s">
        <v>3</v>
      </c>
      <c r="B406" s="5"/>
      <c r="C406" s="83"/>
      <c r="D406" s="225"/>
      <c r="E406" s="225"/>
      <c r="F406" s="225"/>
      <c r="G406" s="226"/>
      <c r="H406" s="85"/>
    </row>
    <row r="407" spans="1:8" x14ac:dyDescent="0.2">
      <c r="A407" s="8" t="s">
        <v>4</v>
      </c>
      <c r="B407" s="5"/>
      <c r="C407" s="83"/>
      <c r="D407" s="225"/>
      <c r="E407" s="225"/>
      <c r="F407" s="225"/>
      <c r="G407" s="226"/>
      <c r="H407" s="85"/>
    </row>
    <row r="408" spans="1:8" x14ac:dyDescent="0.2">
      <c r="A408" s="8" t="s">
        <v>5</v>
      </c>
      <c r="B408" s="5"/>
      <c r="C408" s="20"/>
      <c r="D408" s="280"/>
      <c r="E408" s="224"/>
      <c r="F408" s="224"/>
      <c r="G408" s="281"/>
      <c r="H408" s="6"/>
    </row>
    <row r="409" spans="1:8" x14ac:dyDescent="0.2">
      <c r="A409" s="8" t="s">
        <v>6</v>
      </c>
      <c r="B409" s="5"/>
      <c r="C409" s="20"/>
      <c r="D409" s="280"/>
      <c r="E409" s="224"/>
      <c r="F409" s="224"/>
      <c r="G409" s="281"/>
      <c r="H409" s="6"/>
    </row>
    <row r="410" spans="1:8" x14ac:dyDescent="0.2">
      <c r="A410" s="312" t="s">
        <v>10</v>
      </c>
      <c r="B410" s="313"/>
      <c r="C410" s="313"/>
      <c r="D410" s="313"/>
      <c r="E410" s="313"/>
      <c r="F410" s="314"/>
      <c r="G410" s="267">
        <f>SUM(G403:G409)</f>
        <v>0</v>
      </c>
      <c r="H410" s="11"/>
    </row>
    <row r="411" spans="1:8" s="23" customFormat="1" ht="18" x14ac:dyDescent="0.2">
      <c r="A411" s="315" t="s">
        <v>39</v>
      </c>
      <c r="B411" s="316"/>
      <c r="C411" s="316"/>
      <c r="D411" s="316"/>
      <c r="E411" s="316"/>
      <c r="F411" s="317"/>
      <c r="G411" s="268">
        <f>G358+G366+G374+G382+G390+G402+G410</f>
        <v>56.5</v>
      </c>
      <c r="H411" s="22"/>
    </row>
    <row r="412" spans="1:8" s="23" customFormat="1" ht="21" x14ac:dyDescent="0.2">
      <c r="A412" s="372" t="s">
        <v>84</v>
      </c>
      <c r="B412" s="372"/>
      <c r="C412" s="372"/>
      <c r="D412" s="372"/>
      <c r="E412" s="372"/>
      <c r="F412" s="372"/>
      <c r="G412" s="294">
        <f>G46+G89+G138+G189+G233+G287+G339+G411</f>
        <v>1774.75</v>
      </c>
      <c r="H412" s="38" t="s">
        <v>85</v>
      </c>
    </row>
    <row r="413" spans="1:8" s="23" customFormat="1" ht="18" x14ac:dyDescent="0.2">
      <c r="A413" s="33"/>
      <c r="B413" s="33"/>
      <c r="C413" s="33"/>
      <c r="D413" s="271"/>
      <c r="E413" s="271"/>
      <c r="F413" s="271"/>
      <c r="G413" s="272"/>
    </row>
  </sheetData>
  <mergeCells count="76">
    <mergeCell ref="A412:F412"/>
    <mergeCell ref="A345:C345"/>
    <mergeCell ref="A358:F358"/>
    <mergeCell ref="A366:F366"/>
    <mergeCell ref="A402:F402"/>
    <mergeCell ref="A410:F410"/>
    <mergeCell ref="A411:F411"/>
    <mergeCell ref="A390:F390"/>
    <mergeCell ref="A382:F382"/>
    <mergeCell ref="A374:F374"/>
    <mergeCell ref="A344:D344"/>
    <mergeCell ref="A290:H290"/>
    <mergeCell ref="A291:H291"/>
    <mergeCell ref="A292:D292"/>
    <mergeCell ref="A293:C293"/>
    <mergeCell ref="A309:F309"/>
    <mergeCell ref="A318:F318"/>
    <mergeCell ref="A327:F327"/>
    <mergeCell ref="A338:F338"/>
    <mergeCell ref="A339:F339"/>
    <mergeCell ref="A342:H342"/>
    <mergeCell ref="A343:H343"/>
    <mergeCell ref="A287:F287"/>
    <mergeCell ref="A223:F223"/>
    <mergeCell ref="A232:F232"/>
    <mergeCell ref="A233:F233"/>
    <mergeCell ref="A236:H236"/>
    <mergeCell ref="A237:H237"/>
    <mergeCell ref="A238:D238"/>
    <mergeCell ref="A239:C239"/>
    <mergeCell ref="A249:F249"/>
    <mergeCell ref="A262:F262"/>
    <mergeCell ref="A273:F273"/>
    <mergeCell ref="A286:F286"/>
    <mergeCell ref="A213:F213"/>
    <mergeCell ref="A144:C144"/>
    <mergeCell ref="A155:F155"/>
    <mergeCell ref="A165:F165"/>
    <mergeCell ref="A174:F174"/>
    <mergeCell ref="A188:F188"/>
    <mergeCell ref="A189:F189"/>
    <mergeCell ref="A192:H192"/>
    <mergeCell ref="A193:H193"/>
    <mergeCell ref="A194:D194"/>
    <mergeCell ref="A195:C195"/>
    <mergeCell ref="A205:F205"/>
    <mergeCell ref="A143:D143"/>
    <mergeCell ref="A92:H92"/>
    <mergeCell ref="A93:H93"/>
    <mergeCell ref="A94:D94"/>
    <mergeCell ref="A95:C95"/>
    <mergeCell ref="A105:F105"/>
    <mergeCell ref="A116:F116"/>
    <mergeCell ref="A126:F126"/>
    <mergeCell ref="A137:F137"/>
    <mergeCell ref="A138:F138"/>
    <mergeCell ref="A141:H141"/>
    <mergeCell ref="A142:H142"/>
    <mergeCell ref="A89:F89"/>
    <mergeCell ref="A36:F36"/>
    <mergeCell ref="A45:F45"/>
    <mergeCell ref="A46:F46"/>
    <mergeCell ref="A49:H49"/>
    <mergeCell ref="A50:H50"/>
    <mergeCell ref="A51:D51"/>
    <mergeCell ref="A52:C52"/>
    <mergeCell ref="A62:F62"/>
    <mergeCell ref="A71:F71"/>
    <mergeCell ref="A79:F79"/>
    <mergeCell ref="A88:F88"/>
    <mergeCell ref="A25:F25"/>
    <mergeCell ref="A1:H1"/>
    <mergeCell ref="A2:H2"/>
    <mergeCell ref="A3:D3"/>
    <mergeCell ref="A4:C4"/>
    <mergeCell ref="A16:F16"/>
  </mergeCells>
  <pageMargins left="0.59055118110236227" right="0.39370078740157483" top="0.74803149606299213" bottom="0.74803149606299213" header="0.31496062992125984" footer="0.31496062992125984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S87"/>
  <sheetViews>
    <sheetView tabSelected="1" zoomScaleNormal="100" workbookViewId="0">
      <pane ySplit="6" topLeftCell="A7" activePane="bottomLeft" state="frozen"/>
      <selection activeCell="E20" sqref="E20"/>
      <selection pane="bottomLeft" activeCell="B19" sqref="B19"/>
    </sheetView>
  </sheetViews>
  <sheetFormatPr defaultColWidth="9" defaultRowHeight="20.100000000000001" customHeight="1" x14ac:dyDescent="0.2"/>
  <cols>
    <col min="1" max="1" width="5.75" style="56" customWidth="1"/>
    <col min="2" max="2" width="17.375" style="56" customWidth="1"/>
    <col min="3" max="3" width="9" style="56" customWidth="1"/>
    <col min="4" max="33" width="3.375" style="56" customWidth="1"/>
    <col min="34" max="38" width="3.375" style="56" hidden="1" customWidth="1"/>
    <col min="39" max="39" width="6.75" style="56" customWidth="1"/>
    <col min="40" max="41" width="10.625" style="56" customWidth="1"/>
    <col min="42" max="42" width="9" style="56" customWidth="1"/>
    <col min="43" max="43" width="8.25" style="56" customWidth="1"/>
    <col min="44" max="44" width="10.625" style="56" customWidth="1"/>
    <col min="45" max="16384" width="9" style="56"/>
  </cols>
  <sheetData>
    <row r="1" spans="1:44" ht="30" customHeight="1" x14ac:dyDescent="0.2">
      <c r="A1" s="436" t="s">
        <v>14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436"/>
      <c r="P1" s="436"/>
      <c r="Q1" s="436"/>
      <c r="R1" s="436"/>
      <c r="S1" s="436"/>
      <c r="T1" s="436"/>
      <c r="U1" s="436"/>
      <c r="V1" s="436"/>
      <c r="W1" s="436"/>
      <c r="X1" s="436"/>
      <c r="Y1" s="436"/>
      <c r="Z1" s="436"/>
      <c r="AA1" s="436"/>
      <c r="AB1" s="436"/>
      <c r="AC1" s="436"/>
      <c r="AD1" s="436"/>
      <c r="AE1" s="436"/>
      <c r="AF1" s="436"/>
      <c r="AG1" s="436"/>
      <c r="AH1" s="436"/>
      <c r="AI1" s="436"/>
      <c r="AJ1" s="436"/>
      <c r="AK1" s="436"/>
      <c r="AL1" s="436"/>
      <c r="AM1" s="436"/>
      <c r="AN1" s="436"/>
      <c r="AO1" s="436"/>
      <c r="AP1" s="436"/>
      <c r="AQ1" s="436"/>
      <c r="AR1" s="436"/>
    </row>
    <row r="2" spans="1:44" ht="24.95" customHeight="1" x14ac:dyDescent="0.2">
      <c r="A2" s="437" t="s">
        <v>160</v>
      </c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</row>
    <row r="3" spans="1:44" ht="15" customHeight="1" thickBot="1" x14ac:dyDescent="0.25"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</row>
    <row r="4" spans="1:44" ht="24.95" customHeight="1" x14ac:dyDescent="0.45">
      <c r="A4" s="454" t="s">
        <v>40</v>
      </c>
      <c r="B4" s="457" t="s">
        <v>41</v>
      </c>
      <c r="C4" s="449" t="s">
        <v>47</v>
      </c>
      <c r="D4" s="452" t="s">
        <v>161</v>
      </c>
      <c r="E4" s="453"/>
      <c r="F4" s="453"/>
      <c r="G4" s="453"/>
      <c r="H4" s="453"/>
      <c r="I4" s="453"/>
      <c r="J4" s="453"/>
      <c r="K4" s="453"/>
      <c r="L4" s="453"/>
      <c r="M4" s="453"/>
      <c r="N4" s="453"/>
      <c r="O4" s="453"/>
      <c r="P4" s="453"/>
      <c r="Q4" s="453"/>
      <c r="R4" s="453"/>
      <c r="S4" s="453"/>
      <c r="T4" s="453"/>
      <c r="U4" s="453"/>
      <c r="V4" s="453"/>
      <c r="W4" s="453"/>
      <c r="X4" s="453"/>
      <c r="Y4" s="453"/>
      <c r="Z4" s="453"/>
      <c r="AA4" s="453"/>
      <c r="AB4" s="453"/>
      <c r="AC4" s="453"/>
      <c r="AD4" s="453"/>
      <c r="AE4" s="453"/>
      <c r="AF4" s="453"/>
      <c r="AG4" s="453"/>
      <c r="AH4" s="453"/>
      <c r="AI4" s="453"/>
      <c r="AJ4" s="453"/>
      <c r="AK4" s="453"/>
      <c r="AL4" s="453"/>
      <c r="AM4" s="446" t="s">
        <v>44</v>
      </c>
      <c r="AN4" s="443">
        <v>80</v>
      </c>
      <c r="AO4" s="417" t="s">
        <v>112</v>
      </c>
      <c r="AP4" s="417" t="s">
        <v>107</v>
      </c>
      <c r="AQ4" s="417" t="s">
        <v>106</v>
      </c>
      <c r="AR4" s="405" t="s">
        <v>48</v>
      </c>
    </row>
    <row r="5" spans="1:44" ht="20.100000000000001" customHeight="1" x14ac:dyDescent="0.2">
      <c r="A5" s="455"/>
      <c r="B5" s="415"/>
      <c r="C5" s="450"/>
      <c r="D5" s="415" t="s">
        <v>11</v>
      </c>
      <c r="E5" s="416"/>
      <c r="F5" s="416"/>
      <c r="G5" s="416"/>
      <c r="H5" s="416"/>
      <c r="I5" s="416"/>
      <c r="J5" s="416"/>
      <c r="K5" s="416"/>
      <c r="L5" s="416"/>
      <c r="M5" s="416"/>
      <c r="N5" s="416"/>
      <c r="O5" s="416"/>
      <c r="P5" s="416"/>
      <c r="Q5" s="416"/>
      <c r="R5" s="416"/>
      <c r="S5" s="416"/>
      <c r="T5" s="416"/>
      <c r="U5" s="416"/>
      <c r="V5" s="416"/>
      <c r="W5" s="416"/>
      <c r="X5" s="416"/>
      <c r="Y5" s="416"/>
      <c r="Z5" s="416"/>
      <c r="AA5" s="416"/>
      <c r="AB5" s="416"/>
      <c r="AC5" s="416"/>
      <c r="AD5" s="416"/>
      <c r="AE5" s="416"/>
      <c r="AF5" s="416"/>
      <c r="AG5" s="416"/>
      <c r="AH5" s="416"/>
      <c r="AI5" s="416"/>
      <c r="AJ5" s="416"/>
      <c r="AK5" s="416"/>
      <c r="AL5" s="416"/>
      <c r="AM5" s="447"/>
      <c r="AN5" s="444"/>
      <c r="AO5" s="445"/>
      <c r="AP5" s="418"/>
      <c r="AQ5" s="418"/>
      <c r="AR5" s="406"/>
    </row>
    <row r="6" spans="1:44" ht="20.100000000000001" customHeight="1" thickBot="1" x14ac:dyDescent="0.25">
      <c r="A6" s="456"/>
      <c r="B6" s="458"/>
      <c r="C6" s="451"/>
      <c r="D6" s="57">
        <v>26</v>
      </c>
      <c r="E6" s="57">
        <v>27</v>
      </c>
      <c r="F6" s="57">
        <v>28</v>
      </c>
      <c r="G6" s="57">
        <v>29</v>
      </c>
      <c r="H6" s="57">
        <v>30</v>
      </c>
      <c r="I6" s="57">
        <v>31</v>
      </c>
      <c r="J6" s="57">
        <v>1</v>
      </c>
      <c r="K6" s="57">
        <v>2</v>
      </c>
      <c r="L6" s="57">
        <v>3</v>
      </c>
      <c r="M6" s="57">
        <v>4</v>
      </c>
      <c r="N6" s="57">
        <v>5</v>
      </c>
      <c r="O6" s="57">
        <v>6</v>
      </c>
      <c r="P6" s="57">
        <v>7</v>
      </c>
      <c r="Q6" s="57">
        <v>8</v>
      </c>
      <c r="R6" s="57">
        <v>9</v>
      </c>
      <c r="S6" s="57">
        <v>10</v>
      </c>
      <c r="T6" s="57">
        <v>11</v>
      </c>
      <c r="U6" s="57">
        <v>12</v>
      </c>
      <c r="V6" s="57">
        <v>13</v>
      </c>
      <c r="W6" s="57">
        <v>14</v>
      </c>
      <c r="X6" s="57">
        <v>15</v>
      </c>
      <c r="Y6" s="57">
        <v>16</v>
      </c>
      <c r="Z6" s="57">
        <v>17</v>
      </c>
      <c r="AA6" s="57">
        <v>18</v>
      </c>
      <c r="AB6" s="57">
        <v>19</v>
      </c>
      <c r="AC6" s="57">
        <v>20</v>
      </c>
      <c r="AD6" s="57">
        <v>21</v>
      </c>
      <c r="AE6" s="57">
        <v>22</v>
      </c>
      <c r="AF6" s="57">
        <v>23</v>
      </c>
      <c r="AG6" s="57">
        <v>24</v>
      </c>
      <c r="AH6" s="57"/>
      <c r="AI6" s="57"/>
      <c r="AJ6" s="57"/>
      <c r="AK6" s="57"/>
      <c r="AL6" s="57"/>
      <c r="AM6" s="448"/>
      <c r="AN6" s="99" t="s">
        <v>43</v>
      </c>
      <c r="AO6" s="100" t="s">
        <v>43</v>
      </c>
      <c r="AP6" s="419"/>
      <c r="AQ6" s="419"/>
      <c r="AR6" s="407"/>
    </row>
    <row r="7" spans="1:44" ht="21.95" customHeight="1" x14ac:dyDescent="0.2">
      <c r="A7" s="221">
        <v>67134</v>
      </c>
      <c r="B7" s="62" t="s">
        <v>124</v>
      </c>
      <c r="C7" s="63" t="s">
        <v>113</v>
      </c>
      <c r="D7" s="27">
        <f>'1'!$F$17</f>
        <v>5</v>
      </c>
      <c r="E7" s="27">
        <f>'1'!$F$28</f>
        <v>5</v>
      </c>
      <c r="F7" s="27">
        <f>'1'!$F$39</f>
        <v>4</v>
      </c>
      <c r="G7" s="27">
        <f>'1'!$F$50</f>
        <v>0</v>
      </c>
      <c r="H7" s="27">
        <f>'1'!$F$61</f>
        <v>6</v>
      </c>
      <c r="I7" s="27">
        <f>'1'!$F$72</f>
        <v>6</v>
      </c>
      <c r="J7" s="27">
        <f>'1'!$F$83</f>
        <v>4</v>
      </c>
      <c r="K7" s="27">
        <f>'1'!$F$101</f>
        <v>7</v>
      </c>
      <c r="L7" s="27">
        <f>'1'!$F$112</f>
        <v>6</v>
      </c>
      <c r="M7" s="27">
        <f>'1'!$F$123</f>
        <v>4</v>
      </c>
      <c r="N7" s="27">
        <f>'1'!$F$134</f>
        <v>5</v>
      </c>
      <c r="O7" s="27">
        <f>'1'!$F$145</f>
        <v>4</v>
      </c>
      <c r="P7" s="27">
        <f>'1'!$F$156</f>
        <v>6</v>
      </c>
      <c r="Q7" s="27">
        <f>'1'!$F$167</f>
        <v>0</v>
      </c>
      <c r="R7" s="27">
        <f>'1'!$F$185</f>
        <v>0</v>
      </c>
      <c r="S7" s="27">
        <f>'1'!$F$196</f>
        <v>2</v>
      </c>
      <c r="T7" s="27">
        <f>'1'!$F$207</f>
        <v>0</v>
      </c>
      <c r="U7" s="27">
        <f>'1'!$F$218</f>
        <v>0</v>
      </c>
      <c r="V7" s="27">
        <f>'1'!$F$229</f>
        <v>0</v>
      </c>
      <c r="W7" s="27">
        <f>'1'!$F$240</f>
        <v>0</v>
      </c>
      <c r="X7" s="27">
        <f>'1'!$F$251</f>
        <v>0</v>
      </c>
      <c r="Y7" s="27">
        <f>'1'!$F$269</f>
        <v>0</v>
      </c>
      <c r="Z7" s="27">
        <f>'1'!$F$280</f>
        <v>0</v>
      </c>
      <c r="AA7" s="27">
        <f>'1'!$F$291</f>
        <v>0</v>
      </c>
      <c r="AB7" s="27">
        <f>'1'!$F$302</f>
        <v>0</v>
      </c>
      <c r="AC7" s="27">
        <f>'1'!$F$313</f>
        <v>0</v>
      </c>
      <c r="AD7" s="27">
        <f>'1'!$F$324</f>
        <v>5</v>
      </c>
      <c r="AE7" s="27">
        <f>'1'!$F$335</f>
        <v>4</v>
      </c>
      <c r="AF7" s="27">
        <f>'1'!$F$353</f>
        <v>5</v>
      </c>
      <c r="AG7" s="27">
        <f>'1'!$F$364</f>
        <v>5</v>
      </c>
      <c r="AH7" s="27">
        <f>'1'!$F$375</f>
        <v>0</v>
      </c>
      <c r="AI7" s="27">
        <f>'1'!$F$386</f>
        <v>0</v>
      </c>
      <c r="AJ7" s="27">
        <f>'1'!$F$397</f>
        <v>0</v>
      </c>
      <c r="AK7" s="27">
        <f>'1'!$F$408</f>
        <v>0</v>
      </c>
      <c r="AL7" s="27">
        <f>'1'!$F$419</f>
        <v>0</v>
      </c>
      <c r="AM7" s="121">
        <f t="shared" ref="AM7:AM38" si="0">SUM(D7:AL7)</f>
        <v>83</v>
      </c>
      <c r="AN7" s="159">
        <f>AM7*$AN$4</f>
        <v>6640</v>
      </c>
      <c r="AO7" s="159"/>
      <c r="AP7" s="411">
        <f>SUM(AN7:AO8)</f>
        <v>9140</v>
      </c>
      <c r="AQ7" s="413">
        <v>900</v>
      </c>
      <c r="AR7" s="408">
        <f>SUM(AP7:AQ8)</f>
        <v>10040</v>
      </c>
    </row>
    <row r="8" spans="1:44" ht="21.95" customHeight="1" thickBot="1" x14ac:dyDescent="0.25">
      <c r="A8" s="223" t="s">
        <v>132</v>
      </c>
      <c r="B8" s="137" t="s">
        <v>133</v>
      </c>
      <c r="C8" s="66" t="s">
        <v>114</v>
      </c>
      <c r="D8" s="28">
        <f>'1'!$G$17</f>
        <v>1</v>
      </c>
      <c r="E8" s="28">
        <f>'1'!$G$28</f>
        <v>3</v>
      </c>
      <c r="F8" s="28">
        <f>'1'!$G$39</f>
        <v>0</v>
      </c>
      <c r="G8" s="28">
        <f>'1'!$G$50</f>
        <v>0</v>
      </c>
      <c r="H8" s="28">
        <f>'1'!$G$61</f>
        <v>1</v>
      </c>
      <c r="I8" s="28">
        <f>'1'!$G$72</f>
        <v>1</v>
      </c>
      <c r="J8" s="28">
        <f>'1'!$G$83</f>
        <v>1</v>
      </c>
      <c r="K8" s="28">
        <f>'1'!$G$101</f>
        <v>2</v>
      </c>
      <c r="L8" s="28">
        <f>'1'!$G$112</f>
        <v>3</v>
      </c>
      <c r="M8" s="28">
        <f>'1'!$G$123</f>
        <v>0</v>
      </c>
      <c r="N8" s="28">
        <f>'1'!$G$134</f>
        <v>1</v>
      </c>
      <c r="O8" s="28">
        <f>'1'!$G$145</f>
        <v>4</v>
      </c>
      <c r="P8" s="28">
        <f>'1'!$G$156</f>
        <v>0</v>
      </c>
      <c r="Q8" s="28">
        <f>'1'!$G$167</f>
        <v>0</v>
      </c>
      <c r="R8" s="28">
        <f>'1'!$G$185</f>
        <v>0</v>
      </c>
      <c r="S8" s="28">
        <f>'1'!$G$196</f>
        <v>2</v>
      </c>
      <c r="T8" s="28">
        <f>'1'!$G$207</f>
        <v>0</v>
      </c>
      <c r="U8" s="28">
        <f>'1'!$G$218</f>
        <v>0</v>
      </c>
      <c r="V8" s="28">
        <f>'1'!$G$229</f>
        <v>0</v>
      </c>
      <c r="W8" s="28">
        <f>'1'!$G$240</f>
        <v>0</v>
      </c>
      <c r="X8" s="28">
        <f>'1'!$G$251</f>
        <v>0</v>
      </c>
      <c r="Y8" s="28">
        <f>'1'!$G$269</f>
        <v>0</v>
      </c>
      <c r="Z8" s="28">
        <f>'1'!$G$280</f>
        <v>0</v>
      </c>
      <c r="AA8" s="28">
        <f>'1'!$G$291</f>
        <v>0</v>
      </c>
      <c r="AB8" s="28">
        <f>'1'!$G$302</f>
        <v>0</v>
      </c>
      <c r="AC8" s="28">
        <f>'1'!$G$313</f>
        <v>0</v>
      </c>
      <c r="AD8" s="28">
        <f>'1'!$G$324</f>
        <v>3</v>
      </c>
      <c r="AE8" s="28">
        <f>'1'!$G$335</f>
        <v>0</v>
      </c>
      <c r="AF8" s="28">
        <f>'1'!$G$353</f>
        <v>1</v>
      </c>
      <c r="AG8" s="28">
        <f>'1'!$G$364</f>
        <v>2</v>
      </c>
      <c r="AH8" s="28">
        <f>'1'!$G$375</f>
        <v>0</v>
      </c>
      <c r="AI8" s="28">
        <f>'1'!$G$386</f>
        <v>0</v>
      </c>
      <c r="AJ8" s="28">
        <f>'1'!$G$397</f>
        <v>0</v>
      </c>
      <c r="AK8" s="28">
        <f>'1'!$G$408</f>
        <v>0</v>
      </c>
      <c r="AL8" s="28">
        <f>'1'!$G$419</f>
        <v>0</v>
      </c>
      <c r="AM8" s="220">
        <f t="shared" si="0"/>
        <v>25</v>
      </c>
      <c r="AN8" s="160"/>
      <c r="AO8" s="160">
        <f>AM8*100</f>
        <v>2500</v>
      </c>
      <c r="AP8" s="412"/>
      <c r="AQ8" s="414"/>
      <c r="AR8" s="409"/>
    </row>
    <row r="9" spans="1:44" ht="21.95" customHeight="1" x14ac:dyDescent="0.2">
      <c r="A9" s="221">
        <v>67163</v>
      </c>
      <c r="B9" s="62" t="s">
        <v>125</v>
      </c>
      <c r="C9" s="63" t="s">
        <v>113</v>
      </c>
      <c r="D9" s="27">
        <f>'2'!$F$17</f>
        <v>3</v>
      </c>
      <c r="E9" s="27">
        <f>'2'!$F$28</f>
        <v>0</v>
      </c>
      <c r="F9" s="27">
        <f>'2'!$F$39</f>
        <v>3</v>
      </c>
      <c r="G9" s="27">
        <f>'2'!$F$50</f>
        <v>6</v>
      </c>
      <c r="H9" s="27">
        <f>'2'!$F$61</f>
        <v>6</v>
      </c>
      <c r="I9" s="27">
        <f>'2'!$F$72</f>
        <v>2</v>
      </c>
      <c r="J9" s="27">
        <f>'2'!$F$83</f>
        <v>3</v>
      </c>
      <c r="K9" s="27">
        <f>'2'!$F$101</f>
        <v>7</v>
      </c>
      <c r="L9" s="27">
        <f>'2'!$F$112</f>
        <v>4</v>
      </c>
      <c r="M9" s="27">
        <f>'2'!$F$123</f>
        <v>0</v>
      </c>
      <c r="N9" s="27">
        <f>'2'!$F$134</f>
        <v>5</v>
      </c>
      <c r="O9" s="27">
        <f>'2'!$F$145</f>
        <v>3</v>
      </c>
      <c r="P9" s="27">
        <f>'2'!$F$156</f>
        <v>5</v>
      </c>
      <c r="Q9" s="27">
        <f>'2'!$F$167</f>
        <v>4</v>
      </c>
      <c r="R9" s="27">
        <f>'2'!$F$185</f>
        <v>0</v>
      </c>
      <c r="S9" s="27">
        <f>'2'!$F$196</f>
        <v>3</v>
      </c>
      <c r="T9" s="27">
        <f>'2'!$F$207</f>
        <v>3</v>
      </c>
      <c r="U9" s="27">
        <f>'2'!$F$218</f>
        <v>0</v>
      </c>
      <c r="V9" s="27">
        <f>'2'!$F$229</f>
        <v>0</v>
      </c>
      <c r="W9" s="27">
        <f>'2'!$F$240</f>
        <v>0</v>
      </c>
      <c r="X9" s="27">
        <f>'2'!$F$251</f>
        <v>0</v>
      </c>
      <c r="Y9" s="27">
        <f>'2'!$F$269</f>
        <v>0</v>
      </c>
      <c r="Z9" s="27">
        <f>'2'!$F$280</f>
        <v>0</v>
      </c>
      <c r="AA9" s="27">
        <f>'2'!$F$291</f>
        <v>0</v>
      </c>
      <c r="AB9" s="27">
        <f>'2'!$F$302</f>
        <v>0</v>
      </c>
      <c r="AC9" s="27">
        <f>'2'!$F$313</f>
        <v>0</v>
      </c>
      <c r="AD9" s="27">
        <f>'2'!$F$324</f>
        <v>0</v>
      </c>
      <c r="AE9" s="27">
        <f>'2'!$F$335</f>
        <v>0</v>
      </c>
      <c r="AF9" s="27">
        <f>'2'!$F$353</f>
        <v>0</v>
      </c>
      <c r="AG9" s="27">
        <f>'2'!$F$364</f>
        <v>0</v>
      </c>
      <c r="AH9" s="27">
        <f>'2'!$F$375</f>
        <v>0</v>
      </c>
      <c r="AI9" s="27">
        <f>'2'!$F$386</f>
        <v>0</v>
      </c>
      <c r="AJ9" s="27">
        <f>'2'!$F$397</f>
        <v>0</v>
      </c>
      <c r="AK9" s="27">
        <f>'2'!$F$408</f>
        <v>0</v>
      </c>
      <c r="AL9" s="27">
        <f>'2'!$F$419</f>
        <v>0</v>
      </c>
      <c r="AM9" s="121">
        <f t="shared" si="0"/>
        <v>57</v>
      </c>
      <c r="AN9" s="159">
        <f>AM9*$AN$4</f>
        <v>4560</v>
      </c>
      <c r="AO9" s="159"/>
      <c r="AP9" s="411">
        <f t="shared" ref="AP9" si="1">SUM(AN9:AO10)</f>
        <v>6000</v>
      </c>
      <c r="AQ9" s="413">
        <v>0</v>
      </c>
      <c r="AR9" s="408">
        <f>SUM(AP9:AQ10)</f>
        <v>6000</v>
      </c>
    </row>
    <row r="10" spans="1:44" ht="21.95" customHeight="1" thickBot="1" x14ac:dyDescent="0.25">
      <c r="A10" s="223" t="s">
        <v>132</v>
      </c>
      <c r="B10" s="137" t="s">
        <v>134</v>
      </c>
      <c r="C10" s="66" t="s">
        <v>114</v>
      </c>
      <c r="D10" s="28">
        <f>'2'!$G$17</f>
        <v>0</v>
      </c>
      <c r="E10" s="28">
        <f>'2'!$G$28</f>
        <v>0</v>
      </c>
      <c r="F10" s="28">
        <f>'2'!$G$39</f>
        <v>0</v>
      </c>
      <c r="G10" s="28">
        <f>'2'!$G$50</f>
        <v>1</v>
      </c>
      <c r="H10" s="28">
        <f>'2'!$G$61</f>
        <v>1</v>
      </c>
      <c r="I10" s="28">
        <f>'2'!$G$72</f>
        <v>0</v>
      </c>
      <c r="J10" s="28">
        <f>'2'!$G$83</f>
        <v>1</v>
      </c>
      <c r="K10" s="28">
        <f>'2'!$G$101</f>
        <v>2</v>
      </c>
      <c r="L10" s="28">
        <f>'2'!$G$112</f>
        <v>3</v>
      </c>
      <c r="M10" s="28">
        <f>'2'!$G$123</f>
        <v>0</v>
      </c>
      <c r="N10" s="28">
        <f>'2'!$G$134</f>
        <v>1</v>
      </c>
      <c r="O10" s="28">
        <f>'2'!$G$145</f>
        <v>4</v>
      </c>
      <c r="P10" s="28">
        <f>'2'!$G$156</f>
        <v>0</v>
      </c>
      <c r="Q10" s="28">
        <f>'2'!$G$167</f>
        <v>0</v>
      </c>
      <c r="R10" s="28">
        <f>'2'!$G$185</f>
        <v>0</v>
      </c>
      <c r="S10" s="28">
        <f>'2'!$G$196</f>
        <v>1</v>
      </c>
      <c r="T10" s="28">
        <f>'2'!$G$207</f>
        <v>0</v>
      </c>
      <c r="U10" s="28">
        <f>'2'!$G$218</f>
        <v>0</v>
      </c>
      <c r="V10" s="28">
        <f>'2'!$G$229</f>
        <v>0</v>
      </c>
      <c r="W10" s="28">
        <f>'2'!$G$240</f>
        <v>0</v>
      </c>
      <c r="X10" s="28">
        <f>'2'!$G$251</f>
        <v>0</v>
      </c>
      <c r="Y10" s="28">
        <f>'2'!$G$269</f>
        <v>0</v>
      </c>
      <c r="Z10" s="28">
        <f>'2'!$G$280</f>
        <v>0</v>
      </c>
      <c r="AA10" s="28">
        <f>'2'!$G$291</f>
        <v>0</v>
      </c>
      <c r="AB10" s="28">
        <f>'2'!$G$302</f>
        <v>0</v>
      </c>
      <c r="AC10" s="28">
        <f>'2'!$G$313</f>
        <v>0</v>
      </c>
      <c r="AD10" s="28">
        <f>'2'!$G$324</f>
        <v>0</v>
      </c>
      <c r="AE10" s="28">
        <f>'2'!$G$335</f>
        <v>0</v>
      </c>
      <c r="AF10" s="28">
        <f>'2'!$G$353</f>
        <v>0</v>
      </c>
      <c r="AG10" s="28">
        <f>'2'!$G$364</f>
        <v>0</v>
      </c>
      <c r="AH10" s="28">
        <f>'2'!$G$375</f>
        <v>0</v>
      </c>
      <c r="AI10" s="28">
        <f>'2'!$G$386</f>
        <v>0</v>
      </c>
      <c r="AJ10" s="28">
        <f>'2'!$G$397</f>
        <v>0</v>
      </c>
      <c r="AK10" s="28">
        <f>'2'!$G$408</f>
        <v>0</v>
      </c>
      <c r="AL10" s="28">
        <f>'2'!$G$419</f>
        <v>0</v>
      </c>
      <c r="AM10" s="59">
        <f t="shared" si="0"/>
        <v>14</v>
      </c>
      <c r="AN10" s="161">
        <v>40</v>
      </c>
      <c r="AO10" s="161">
        <f>AM10*100</f>
        <v>1400</v>
      </c>
      <c r="AP10" s="412"/>
      <c r="AQ10" s="414"/>
      <c r="AR10" s="409"/>
    </row>
    <row r="11" spans="1:44" ht="21.95" customHeight="1" x14ac:dyDescent="0.2">
      <c r="A11" s="221">
        <v>66131</v>
      </c>
      <c r="B11" s="62" t="s">
        <v>116</v>
      </c>
      <c r="C11" s="63" t="s">
        <v>113</v>
      </c>
      <c r="D11" s="27">
        <f>'3'!$F$17</f>
        <v>6</v>
      </c>
      <c r="E11" s="27">
        <f>'3'!$F$28</f>
        <v>5</v>
      </c>
      <c r="F11" s="27">
        <f>'3'!$F$39</f>
        <v>2</v>
      </c>
      <c r="G11" s="27">
        <f>'3'!$F$50</f>
        <v>6</v>
      </c>
      <c r="H11" s="27">
        <f>'3'!$F$61</f>
        <v>0</v>
      </c>
      <c r="I11" s="27">
        <f>'3'!$F$72</f>
        <v>6</v>
      </c>
      <c r="J11" s="27">
        <f>'3'!$F$83</f>
        <v>3</v>
      </c>
      <c r="K11" s="27">
        <f>'3'!$F$101</f>
        <v>6</v>
      </c>
      <c r="L11" s="27">
        <f>'3'!$F$112</f>
        <v>6</v>
      </c>
      <c r="M11" s="27">
        <f>'3'!$F$123</f>
        <v>4</v>
      </c>
      <c r="N11" s="27">
        <f>'3'!$F$134</f>
        <v>0</v>
      </c>
      <c r="O11" s="27">
        <f>'3'!$F$145</f>
        <v>4</v>
      </c>
      <c r="P11" s="27">
        <f>'3'!$F$156</f>
        <v>4</v>
      </c>
      <c r="Q11" s="27">
        <f>'3'!$F$167</f>
        <v>5</v>
      </c>
      <c r="R11" s="27">
        <f>'3'!$F$185</f>
        <v>6</v>
      </c>
      <c r="S11" s="27">
        <f>'3'!$F$196</f>
        <v>3</v>
      </c>
      <c r="T11" s="27">
        <f>'3'!$F$207</f>
        <v>4</v>
      </c>
      <c r="U11" s="27">
        <f>'3'!$F$218</f>
        <v>0</v>
      </c>
      <c r="V11" s="27">
        <f>'3'!$F$229</f>
        <v>0</v>
      </c>
      <c r="W11" s="27">
        <f>'3'!$F$240</f>
        <v>0</v>
      </c>
      <c r="X11" s="27">
        <f>'3'!$F$251</f>
        <v>0</v>
      </c>
      <c r="Y11" s="27">
        <f>'3'!F269</f>
        <v>0</v>
      </c>
      <c r="Z11" s="27">
        <f>'3'!F280</f>
        <v>0</v>
      </c>
      <c r="AA11" s="27">
        <f>'3'!F291</f>
        <v>1</v>
      </c>
      <c r="AB11" s="27">
        <f>'3'!F302</f>
        <v>1</v>
      </c>
      <c r="AC11" s="27">
        <f>'3'!F313</f>
        <v>8</v>
      </c>
      <c r="AD11" s="27">
        <f>'3'!F324</f>
        <v>5</v>
      </c>
      <c r="AE11" s="27">
        <f>'3'!F335</f>
        <v>4</v>
      </c>
      <c r="AF11" s="27">
        <f>'3'!F353</f>
        <v>4</v>
      </c>
      <c r="AG11" s="27">
        <f>'3'!F364</f>
        <v>6</v>
      </c>
      <c r="AH11" s="27">
        <f>'3'!F375</f>
        <v>0</v>
      </c>
      <c r="AI11" s="27">
        <f>'3'!$F$386</f>
        <v>0</v>
      </c>
      <c r="AJ11" s="27">
        <f>'3'!$F$397</f>
        <v>0</v>
      </c>
      <c r="AK11" s="27">
        <f>'3'!$F$408</f>
        <v>0</v>
      </c>
      <c r="AL11" s="27">
        <f>'3'!$F$419</f>
        <v>0</v>
      </c>
      <c r="AM11" s="121">
        <f t="shared" si="0"/>
        <v>99</v>
      </c>
      <c r="AN11" s="159">
        <f t="shared" ref="AN11:AN25" si="2">AM11*$AN$4</f>
        <v>7920</v>
      </c>
      <c r="AO11" s="159"/>
      <c r="AP11" s="411">
        <f t="shared" ref="AP11" si="3">SUM(AN11:AO12)</f>
        <v>10260</v>
      </c>
      <c r="AQ11" s="413">
        <v>900</v>
      </c>
      <c r="AR11" s="408">
        <f>SUM(AP11:AQ12)</f>
        <v>11160</v>
      </c>
    </row>
    <row r="12" spans="1:44" ht="21.95" customHeight="1" thickBot="1" x14ac:dyDescent="0.25">
      <c r="A12" s="223" t="s">
        <v>132</v>
      </c>
      <c r="B12" s="138" t="s">
        <v>135</v>
      </c>
      <c r="C12" s="66" t="s">
        <v>114</v>
      </c>
      <c r="D12" s="134">
        <f>'3'!G17</f>
        <v>0</v>
      </c>
      <c r="E12" s="61">
        <f>'3'!$G$28</f>
        <v>3</v>
      </c>
      <c r="F12" s="61">
        <f>'3'!$G$39</f>
        <v>1</v>
      </c>
      <c r="G12" s="61">
        <f>'3'!$G$50</f>
        <v>0</v>
      </c>
      <c r="H12" s="61">
        <f>'3'!$G$61</f>
        <v>0</v>
      </c>
      <c r="I12" s="61">
        <f>'3'!$G$72</f>
        <v>1</v>
      </c>
      <c r="J12" s="61">
        <f>'3'!$G$83</f>
        <v>1</v>
      </c>
      <c r="K12" s="61">
        <f>'3'!$G$101</f>
        <v>2</v>
      </c>
      <c r="L12" s="61">
        <f>'3'!$G$112</f>
        <v>2</v>
      </c>
      <c r="M12" s="61">
        <f>'3'!$G$123</f>
        <v>1</v>
      </c>
      <c r="N12" s="61">
        <f>'3'!$G$134</f>
        <v>0</v>
      </c>
      <c r="O12" s="61">
        <f>'3'!$G$145</f>
        <v>4</v>
      </c>
      <c r="P12" s="61">
        <f>'3'!$G$156</f>
        <v>1</v>
      </c>
      <c r="Q12" s="61">
        <f>'3'!$G$167</f>
        <v>0</v>
      </c>
      <c r="R12" s="61">
        <f>'3'!$G$185</f>
        <v>0</v>
      </c>
      <c r="S12" s="61">
        <f>'3'!$G$196</f>
        <v>2</v>
      </c>
      <c r="T12" s="61">
        <f>'3'!$G$207</f>
        <v>0</v>
      </c>
      <c r="U12" s="61">
        <f>'3'!$G$218</f>
        <v>0</v>
      </c>
      <c r="V12" s="61">
        <f>'3'!$G$229</f>
        <v>0</v>
      </c>
      <c r="W12" s="61">
        <f>'3'!$G$240</f>
        <v>0</v>
      </c>
      <c r="X12" s="61">
        <f>'3'!$G$251</f>
        <v>0</v>
      </c>
      <c r="Y12" s="61">
        <f>'3'!G269</f>
        <v>0</v>
      </c>
      <c r="Z12" s="61">
        <f>'3'!G280</f>
        <v>0</v>
      </c>
      <c r="AA12" s="61">
        <f>'3'!G291</f>
        <v>0</v>
      </c>
      <c r="AB12" s="61">
        <f>'3'!G302</f>
        <v>0</v>
      </c>
      <c r="AC12" s="61">
        <f>'3'!G313</f>
        <v>0</v>
      </c>
      <c r="AD12" s="61">
        <f>'3'!G324</f>
        <v>2</v>
      </c>
      <c r="AE12" s="61">
        <f>'3'!G335</f>
        <v>0</v>
      </c>
      <c r="AF12" s="61">
        <f>'3'!G353</f>
        <v>2</v>
      </c>
      <c r="AG12" s="61">
        <f>'3'!G364</f>
        <v>1</v>
      </c>
      <c r="AH12" s="61">
        <f>'3'!G375</f>
        <v>0</v>
      </c>
      <c r="AI12" s="28">
        <f>'3'!$G$386</f>
        <v>0</v>
      </c>
      <c r="AJ12" s="28">
        <f>'3'!$G$397</f>
        <v>0</v>
      </c>
      <c r="AK12" s="28">
        <f>'3'!$G$408</f>
        <v>0</v>
      </c>
      <c r="AL12" s="28">
        <f>'3'!$G$419</f>
        <v>0</v>
      </c>
      <c r="AM12" s="122">
        <f t="shared" si="0"/>
        <v>23</v>
      </c>
      <c r="AN12" s="162">
        <v>40</v>
      </c>
      <c r="AO12" s="162">
        <f>AM12*100</f>
        <v>2300</v>
      </c>
      <c r="AP12" s="412"/>
      <c r="AQ12" s="414"/>
      <c r="AR12" s="409"/>
    </row>
    <row r="13" spans="1:44" ht="21.95" customHeight="1" x14ac:dyDescent="0.2">
      <c r="A13" s="221">
        <v>63068</v>
      </c>
      <c r="B13" s="62" t="s">
        <v>72</v>
      </c>
      <c r="C13" s="63" t="s">
        <v>113</v>
      </c>
      <c r="D13" s="27">
        <f>'4'!$F$17</f>
        <v>4</v>
      </c>
      <c r="E13" s="27">
        <f>'4'!$F$28</f>
        <v>5</v>
      </c>
      <c r="F13" s="27">
        <f>'4'!$F$39</f>
        <v>3</v>
      </c>
      <c r="G13" s="27">
        <f>'4'!$F$50</f>
        <v>6</v>
      </c>
      <c r="H13" s="27">
        <f>'4'!$F$61</f>
        <v>7</v>
      </c>
      <c r="I13" s="210">
        <f>'4'!$F$72</f>
        <v>6</v>
      </c>
      <c r="J13" s="27">
        <f>'4'!$F$83</f>
        <v>5</v>
      </c>
      <c r="K13" s="27">
        <f>'4'!$F$101</f>
        <v>6</v>
      </c>
      <c r="L13" s="27">
        <f>'4'!$F$112</f>
        <v>6</v>
      </c>
      <c r="M13" s="27">
        <f>'4'!$F$123</f>
        <v>3</v>
      </c>
      <c r="N13" s="27">
        <f>'4'!$F$134</f>
        <v>0</v>
      </c>
      <c r="O13" s="27">
        <f>'4'!$F$145</f>
        <v>4</v>
      </c>
      <c r="P13" s="27">
        <f>'4'!$F$156</f>
        <v>4</v>
      </c>
      <c r="Q13" s="27">
        <f>'4'!$F$167</f>
        <v>5</v>
      </c>
      <c r="R13" s="27">
        <f>'4'!$F$185</f>
        <v>4</v>
      </c>
      <c r="S13" s="27">
        <f>'4'!$F$196</f>
        <v>3</v>
      </c>
      <c r="T13" s="27">
        <f>'4'!$F$207</f>
        <v>4</v>
      </c>
      <c r="U13" s="27">
        <f>'4'!$F$218</f>
        <v>0</v>
      </c>
      <c r="V13" s="27">
        <f>'4'!$F$229</f>
        <v>0</v>
      </c>
      <c r="W13" s="27">
        <f>'4'!$F$240</f>
        <v>0</v>
      </c>
      <c r="X13" s="27">
        <f>'4'!$F$251</f>
        <v>0</v>
      </c>
      <c r="Y13" s="27">
        <f>'4'!$F$269</f>
        <v>0</v>
      </c>
      <c r="Z13" s="27">
        <f>'4'!$F$280</f>
        <v>0</v>
      </c>
      <c r="AA13" s="210">
        <f>'4'!$F$291</f>
        <v>1</v>
      </c>
      <c r="AB13" s="210">
        <f>'4'!$F$302</f>
        <v>1</v>
      </c>
      <c r="AC13" s="27">
        <f>'4'!$F$313</f>
        <v>7</v>
      </c>
      <c r="AD13" s="27">
        <f>'4'!$F$324</f>
        <v>4</v>
      </c>
      <c r="AE13" s="27">
        <f>'4'!$F$335</f>
        <v>4</v>
      </c>
      <c r="AF13" s="27">
        <f>'4'!$F$353</f>
        <v>5</v>
      </c>
      <c r="AG13" s="27">
        <f>'4'!$F$364</f>
        <v>7</v>
      </c>
      <c r="AH13" s="27">
        <f>'4'!$F$375</f>
        <v>0</v>
      </c>
      <c r="AI13" s="27">
        <f>'4'!$F$386</f>
        <v>0</v>
      </c>
      <c r="AJ13" s="27">
        <f>'4'!$F$397</f>
        <v>0</v>
      </c>
      <c r="AK13" s="27">
        <f>'4'!$F$408</f>
        <v>0</v>
      </c>
      <c r="AL13" s="27">
        <f>'4'!$F$419</f>
        <v>0</v>
      </c>
      <c r="AM13" s="121">
        <f t="shared" si="0"/>
        <v>104</v>
      </c>
      <c r="AN13" s="159">
        <f t="shared" si="2"/>
        <v>8320</v>
      </c>
      <c r="AO13" s="159"/>
      <c r="AP13" s="411">
        <f t="shared" ref="AP13" si="4">SUM(AN13:AO14)</f>
        <v>10320</v>
      </c>
      <c r="AQ13" s="413">
        <v>900</v>
      </c>
      <c r="AR13" s="408">
        <f>SUM(AP13:AQ14)</f>
        <v>11220</v>
      </c>
    </row>
    <row r="14" spans="1:44" ht="21.95" customHeight="1" thickBot="1" x14ac:dyDescent="0.25">
      <c r="A14" s="223" t="s">
        <v>132</v>
      </c>
      <c r="B14" s="65" t="s">
        <v>136</v>
      </c>
      <c r="C14" s="66" t="s">
        <v>114</v>
      </c>
      <c r="D14" s="28">
        <f>'4'!$G$17</f>
        <v>0</v>
      </c>
      <c r="E14" s="28">
        <f>'4'!$G$28</f>
        <v>2</v>
      </c>
      <c r="F14" s="28">
        <f>'4'!$G$39</f>
        <v>0</v>
      </c>
      <c r="G14" s="28">
        <f>'4'!$G$50</f>
        <v>1</v>
      </c>
      <c r="H14" s="28">
        <f>'4'!$G$61</f>
        <v>1</v>
      </c>
      <c r="I14" s="211">
        <f>'4'!$G$72</f>
        <v>0</v>
      </c>
      <c r="J14" s="28">
        <f>'4'!$G$83</f>
        <v>0</v>
      </c>
      <c r="K14" s="28">
        <f>'4'!$G$101</f>
        <v>2</v>
      </c>
      <c r="L14" s="28">
        <f>'4'!$G$112</f>
        <v>3</v>
      </c>
      <c r="M14" s="28">
        <f>'4'!$G$123</f>
        <v>0</v>
      </c>
      <c r="N14" s="28">
        <f>'4'!$G$134</f>
        <v>0</v>
      </c>
      <c r="O14" s="28">
        <f>'4'!$G$145</f>
        <v>4</v>
      </c>
      <c r="P14" s="28">
        <f>'4'!$G$156</f>
        <v>0</v>
      </c>
      <c r="Q14" s="28">
        <f>'4'!$G$167</f>
        <v>0</v>
      </c>
      <c r="R14" s="28">
        <f>'4'!$G$185</f>
        <v>0</v>
      </c>
      <c r="S14" s="28">
        <f>'4'!$G$196</f>
        <v>2</v>
      </c>
      <c r="T14" s="28">
        <f>'4'!$G$207</f>
        <v>0</v>
      </c>
      <c r="U14" s="28">
        <f>'4'!$G$218</f>
        <v>0</v>
      </c>
      <c r="V14" s="28">
        <f>'4'!$G$229</f>
        <v>0</v>
      </c>
      <c r="W14" s="28">
        <f>'4'!$G$240</f>
        <v>0</v>
      </c>
      <c r="X14" s="28">
        <f>'4'!$G$251</f>
        <v>0</v>
      </c>
      <c r="Y14" s="28">
        <f>'4'!$G$269</f>
        <v>0</v>
      </c>
      <c r="Z14" s="28">
        <f>'4'!$G$280</f>
        <v>0</v>
      </c>
      <c r="AA14" s="211">
        <f>'4'!$G$291</f>
        <v>0</v>
      </c>
      <c r="AB14" s="211">
        <f>'4'!$G$302</f>
        <v>0</v>
      </c>
      <c r="AC14" s="28">
        <f>'4'!$G$313</f>
        <v>1</v>
      </c>
      <c r="AD14" s="28">
        <f>'4'!$G$324</f>
        <v>2</v>
      </c>
      <c r="AE14" s="28">
        <f>'4'!$G$335</f>
        <v>0</v>
      </c>
      <c r="AF14" s="28">
        <f>'4'!$G$353</f>
        <v>1</v>
      </c>
      <c r="AG14" s="28">
        <f>'4'!$G$364</f>
        <v>1</v>
      </c>
      <c r="AH14" s="28">
        <f>'4'!$G$375</f>
        <v>0</v>
      </c>
      <c r="AI14" s="28">
        <f>'4'!$G$386</f>
        <v>0</v>
      </c>
      <c r="AJ14" s="28">
        <f>'4'!$G$397</f>
        <v>0</v>
      </c>
      <c r="AK14" s="28">
        <f>'4'!$G$408</f>
        <v>0</v>
      </c>
      <c r="AL14" s="28">
        <f>'4'!$G$419</f>
        <v>0</v>
      </c>
      <c r="AM14" s="59">
        <f t="shared" si="0"/>
        <v>20</v>
      </c>
      <c r="AN14" s="161"/>
      <c r="AO14" s="161">
        <f>AM14*100</f>
        <v>2000</v>
      </c>
      <c r="AP14" s="412"/>
      <c r="AQ14" s="414"/>
      <c r="AR14" s="409"/>
    </row>
    <row r="15" spans="1:44" ht="21.95" customHeight="1" x14ac:dyDescent="0.2">
      <c r="A15" s="221">
        <v>68029</v>
      </c>
      <c r="B15" s="62" t="s">
        <v>157</v>
      </c>
      <c r="C15" s="63" t="s">
        <v>113</v>
      </c>
      <c r="D15" s="27">
        <f>'5'!$F$17</f>
        <v>5</v>
      </c>
      <c r="E15" s="27">
        <f>'5'!$F$28</f>
        <v>6</v>
      </c>
      <c r="F15" s="27">
        <f>'5'!$F$39</f>
        <v>3</v>
      </c>
      <c r="G15" s="27">
        <f>'5'!$F$50</f>
        <v>5</v>
      </c>
      <c r="H15" s="27">
        <f>'5'!$F$61</f>
        <v>6</v>
      </c>
      <c r="I15" s="27">
        <f>'5'!$F$72</f>
        <v>1</v>
      </c>
      <c r="J15" s="27">
        <f>'5'!$F$83</f>
        <v>3</v>
      </c>
      <c r="K15" s="27">
        <f>'5'!$F$101</f>
        <v>5</v>
      </c>
      <c r="L15" s="27">
        <f>'5'!$F$112</f>
        <v>4</v>
      </c>
      <c r="M15" s="210">
        <f>'5'!$F$123</f>
        <v>4</v>
      </c>
      <c r="N15" s="27">
        <f>'5'!$F$134</f>
        <v>5</v>
      </c>
      <c r="O15" s="27">
        <f>'5'!$F$145</f>
        <v>4</v>
      </c>
      <c r="P15" s="27">
        <f>'5'!$F$156</f>
        <v>6</v>
      </c>
      <c r="Q15" s="27">
        <f>'5'!$F$167</f>
        <v>5</v>
      </c>
      <c r="R15" s="27">
        <f>'5'!$F$185</f>
        <v>4</v>
      </c>
      <c r="S15" s="27">
        <f>'5'!$F$196</f>
        <v>2</v>
      </c>
      <c r="T15" s="27">
        <f>'5'!$F$207</f>
        <v>4</v>
      </c>
      <c r="U15" s="27">
        <f>'5'!$F$218</f>
        <v>0</v>
      </c>
      <c r="V15" s="27">
        <f>'5'!$F$229</f>
        <v>0</v>
      </c>
      <c r="W15" s="27">
        <f>'5'!$F$240</f>
        <v>0</v>
      </c>
      <c r="X15" s="27">
        <f>'5'!$F$251</f>
        <v>0</v>
      </c>
      <c r="Y15" s="27">
        <f>'5'!$F$269</f>
        <v>0</v>
      </c>
      <c r="Z15" s="27">
        <f>'5'!$F$280</f>
        <v>0</v>
      </c>
      <c r="AA15" s="210">
        <f>'5'!$F$291</f>
        <v>0</v>
      </c>
      <c r="AB15" s="210">
        <f>'5'!$F$302</f>
        <v>2</v>
      </c>
      <c r="AC15" s="27">
        <f>'5'!$F$313</f>
        <v>6</v>
      </c>
      <c r="AD15" s="27">
        <f>'5'!$F$324</f>
        <v>5</v>
      </c>
      <c r="AE15" s="27">
        <f>'5'!$F$335</f>
        <v>4</v>
      </c>
      <c r="AF15" s="27">
        <f>'5'!$F$353</f>
        <v>4</v>
      </c>
      <c r="AG15" s="27">
        <f>'5'!$F$364</f>
        <v>7</v>
      </c>
      <c r="AH15" s="27">
        <f>'5'!$F$375</f>
        <v>0</v>
      </c>
      <c r="AI15" s="27">
        <f>'5'!$F$386</f>
        <v>0</v>
      </c>
      <c r="AJ15" s="27">
        <f>'5'!$F$397</f>
        <v>0</v>
      </c>
      <c r="AK15" s="27">
        <f>'5'!$F$408</f>
        <v>0</v>
      </c>
      <c r="AL15" s="27">
        <f>'5'!$F$419</f>
        <v>0</v>
      </c>
      <c r="AM15" s="121">
        <f t="shared" si="0"/>
        <v>100</v>
      </c>
      <c r="AN15" s="159">
        <f t="shared" si="2"/>
        <v>8000</v>
      </c>
      <c r="AO15" s="159"/>
      <c r="AP15" s="411">
        <f t="shared" ref="AP15" si="5">SUM(AN15:AO16)</f>
        <v>10100</v>
      </c>
      <c r="AQ15" s="413">
        <v>900</v>
      </c>
      <c r="AR15" s="408">
        <f>SUM(AP15:AQ16)</f>
        <v>11000</v>
      </c>
    </row>
    <row r="16" spans="1:44" ht="21.95" customHeight="1" thickBot="1" x14ac:dyDescent="0.25">
      <c r="A16" s="223" t="s">
        <v>132</v>
      </c>
      <c r="B16" s="65" t="s">
        <v>137</v>
      </c>
      <c r="C16" s="66" t="s">
        <v>114</v>
      </c>
      <c r="D16" s="28">
        <f>'5'!$G$17</f>
        <v>0</v>
      </c>
      <c r="E16" s="28">
        <f>'5'!$G$28</f>
        <v>1</v>
      </c>
      <c r="F16" s="28">
        <f>'5'!$G$39</f>
        <v>0</v>
      </c>
      <c r="G16" s="28">
        <f>'5'!$G$50</f>
        <v>1</v>
      </c>
      <c r="H16" s="28">
        <f>'5'!$G$61</f>
        <v>0</v>
      </c>
      <c r="I16" s="28">
        <f>'5'!$G$72</f>
        <v>2</v>
      </c>
      <c r="J16" s="28">
        <f>'5'!$G$83</f>
        <v>0</v>
      </c>
      <c r="K16" s="28">
        <f>'5'!$G$101</f>
        <v>2</v>
      </c>
      <c r="L16" s="28">
        <f>'5'!$G$112</f>
        <v>3</v>
      </c>
      <c r="M16" s="211">
        <f>'5'!$G$123</f>
        <v>0</v>
      </c>
      <c r="N16" s="28">
        <f>'5'!$G$134</f>
        <v>1</v>
      </c>
      <c r="O16" s="28">
        <f>'5'!$G$145</f>
        <v>3</v>
      </c>
      <c r="P16" s="28">
        <f>'5'!$G$156</f>
        <v>0</v>
      </c>
      <c r="Q16" s="28">
        <f>'5'!$G$167</f>
        <v>0</v>
      </c>
      <c r="R16" s="28">
        <f>'5'!$G$185</f>
        <v>1</v>
      </c>
      <c r="S16" s="28">
        <f>'5'!$G$196</f>
        <v>2</v>
      </c>
      <c r="T16" s="28">
        <f>'5'!$G$207</f>
        <v>0</v>
      </c>
      <c r="U16" s="28">
        <f>'5'!$G$218</f>
        <v>0</v>
      </c>
      <c r="V16" s="28">
        <f>'5'!$G$229</f>
        <v>0</v>
      </c>
      <c r="W16" s="28">
        <f>'5'!$G$240</f>
        <v>0</v>
      </c>
      <c r="X16" s="28">
        <f>'5'!$G$251</f>
        <v>0</v>
      </c>
      <c r="Y16" s="28">
        <f>'5'!$G$269</f>
        <v>0</v>
      </c>
      <c r="Z16" s="28">
        <f>'5'!$G$280</f>
        <v>0</v>
      </c>
      <c r="AA16" s="211">
        <f>'5'!$G$291</f>
        <v>0</v>
      </c>
      <c r="AB16" s="211">
        <f>'5'!$G$302</f>
        <v>0</v>
      </c>
      <c r="AC16" s="28">
        <f>'5'!$G$313</f>
        <v>1</v>
      </c>
      <c r="AD16" s="28">
        <f>'5'!$G$324</f>
        <v>2</v>
      </c>
      <c r="AE16" s="28">
        <f>'5'!$G$335</f>
        <v>0</v>
      </c>
      <c r="AF16" s="28">
        <f>'5'!$G$353</f>
        <v>2</v>
      </c>
      <c r="AG16" s="28">
        <f>'5'!$G$364</f>
        <v>0</v>
      </c>
      <c r="AH16" s="28">
        <f>'5'!$G$375</f>
        <v>0</v>
      </c>
      <c r="AI16" s="28">
        <f>'5'!$G$386</f>
        <v>0</v>
      </c>
      <c r="AJ16" s="28">
        <f>'5'!$G$397</f>
        <v>0</v>
      </c>
      <c r="AK16" s="28">
        <f>'5'!$G$408</f>
        <v>0</v>
      </c>
      <c r="AL16" s="28">
        <f>'5'!$G$419</f>
        <v>0</v>
      </c>
      <c r="AM16" s="59">
        <f t="shared" si="0"/>
        <v>21</v>
      </c>
      <c r="AN16" s="161"/>
      <c r="AO16" s="161">
        <f>AM16*100</f>
        <v>2100</v>
      </c>
      <c r="AP16" s="412"/>
      <c r="AQ16" s="414"/>
      <c r="AR16" s="409"/>
    </row>
    <row r="17" spans="1:44" ht="21.95" customHeight="1" x14ac:dyDescent="0.2">
      <c r="A17" s="221">
        <v>68031</v>
      </c>
      <c r="B17" s="62" t="s">
        <v>156</v>
      </c>
      <c r="C17" s="63" t="s">
        <v>113</v>
      </c>
      <c r="D17" s="27">
        <f>'6'!$F$17</f>
        <v>0</v>
      </c>
      <c r="E17" s="27">
        <f>'6'!$F$28</f>
        <v>5</v>
      </c>
      <c r="F17" s="27">
        <f>'6'!$F$39</f>
        <v>3</v>
      </c>
      <c r="G17" s="27">
        <f>'6'!$F$50</f>
        <v>5</v>
      </c>
      <c r="H17" s="27">
        <f>'6'!$F$61</f>
        <v>5</v>
      </c>
      <c r="I17" s="27">
        <f>'6'!$F$72</f>
        <v>6</v>
      </c>
      <c r="J17" s="27">
        <f>'6'!$F$83</f>
        <v>4</v>
      </c>
      <c r="K17" s="27">
        <f>'6'!$F$101</f>
        <v>0</v>
      </c>
      <c r="L17" s="27">
        <f>'6'!$F$112</f>
        <v>6</v>
      </c>
      <c r="M17" s="27">
        <f>'6'!$F$123</f>
        <v>3</v>
      </c>
      <c r="N17" s="27">
        <f>'6'!$F$134</f>
        <v>4</v>
      </c>
      <c r="O17" s="27">
        <f>'6'!$F$145</f>
        <v>4</v>
      </c>
      <c r="P17" s="210">
        <f>'6'!$F$156</f>
        <v>5</v>
      </c>
      <c r="Q17" s="27">
        <f>'6'!$F$167</f>
        <v>6</v>
      </c>
      <c r="R17" s="27">
        <f>'6'!$F$185</f>
        <v>6</v>
      </c>
      <c r="S17" s="27">
        <f>'6'!$F$196</f>
        <v>0</v>
      </c>
      <c r="T17" s="27">
        <f>'6'!$F$207</f>
        <v>4</v>
      </c>
      <c r="U17" s="27">
        <f>'6'!$F$218</f>
        <v>0</v>
      </c>
      <c r="V17" s="27">
        <f>'6'!$F$229</f>
        <v>0</v>
      </c>
      <c r="W17" s="27">
        <f>'6'!$F$240</f>
        <v>0</v>
      </c>
      <c r="X17" s="27">
        <f>'6'!$F$251</f>
        <v>0</v>
      </c>
      <c r="Y17" s="27">
        <f>'6'!$F$269</f>
        <v>0</v>
      </c>
      <c r="Z17" s="27">
        <f>'6'!$F$280</f>
        <v>0</v>
      </c>
      <c r="AA17" s="27">
        <f>'6'!$F$291</f>
        <v>0</v>
      </c>
      <c r="AB17" s="27">
        <f>'6'!$F$302</f>
        <v>1</v>
      </c>
      <c r="AC17" s="27">
        <f>'6'!$F$314</f>
        <v>8</v>
      </c>
      <c r="AD17" s="27">
        <f>'6'!$F$325</f>
        <v>5</v>
      </c>
      <c r="AE17" s="210">
        <f>'6'!$F$336</f>
        <v>3</v>
      </c>
      <c r="AF17" s="27">
        <f>'6'!$F$354</f>
        <v>5</v>
      </c>
      <c r="AG17" s="27">
        <f>'6'!$F$365</f>
        <v>6</v>
      </c>
      <c r="AH17" s="27">
        <f>'6'!$F$376</f>
        <v>0</v>
      </c>
      <c r="AI17" s="27">
        <f>'6'!$F$386</f>
        <v>0</v>
      </c>
      <c r="AJ17" s="27">
        <f>'6'!$F$397</f>
        <v>0</v>
      </c>
      <c r="AK17" s="27">
        <f>'6'!$F$408</f>
        <v>0</v>
      </c>
      <c r="AL17" s="27">
        <f>'6'!$F$419</f>
        <v>0</v>
      </c>
      <c r="AM17" s="121">
        <f t="shared" si="0"/>
        <v>94</v>
      </c>
      <c r="AN17" s="159">
        <f t="shared" si="2"/>
        <v>7520</v>
      </c>
      <c r="AO17" s="159"/>
      <c r="AP17" s="411">
        <f t="shared" ref="AP17" si="6">SUM(AN17:AO18)</f>
        <v>9320</v>
      </c>
      <c r="AQ17" s="413">
        <v>900</v>
      </c>
      <c r="AR17" s="408">
        <f>SUM(AP17:AQ18)</f>
        <v>10220</v>
      </c>
    </row>
    <row r="18" spans="1:44" ht="21.95" customHeight="1" thickBot="1" x14ac:dyDescent="0.25">
      <c r="A18" s="223" t="s">
        <v>132</v>
      </c>
      <c r="B18" s="139" t="s">
        <v>138</v>
      </c>
      <c r="C18" s="66" t="s">
        <v>114</v>
      </c>
      <c r="D18" s="61">
        <f>'6'!$G$17</f>
        <v>0</v>
      </c>
      <c r="E18" s="61">
        <f>'6'!$G$28</f>
        <v>2</v>
      </c>
      <c r="F18" s="61">
        <f>'6'!$G$39</f>
        <v>0</v>
      </c>
      <c r="G18" s="61">
        <f>'6'!$G$50</f>
        <v>1</v>
      </c>
      <c r="H18" s="61">
        <f>'6'!$G$61</f>
        <v>1</v>
      </c>
      <c r="I18" s="61">
        <f>'6'!$G$72</f>
        <v>1</v>
      </c>
      <c r="J18" s="61">
        <f>'6'!$G$83</f>
        <v>1</v>
      </c>
      <c r="K18" s="61">
        <f>'6'!$G$101</f>
        <v>0</v>
      </c>
      <c r="L18" s="61">
        <f>'6'!$G$112</f>
        <v>2</v>
      </c>
      <c r="M18" s="61">
        <f>'6'!$G$123</f>
        <v>0</v>
      </c>
      <c r="N18" s="61">
        <f>'6'!$G$134</f>
        <v>1</v>
      </c>
      <c r="O18" s="61">
        <f>'6'!$G$145</f>
        <v>3</v>
      </c>
      <c r="P18" s="215">
        <f>'6'!$G$156</f>
        <v>0</v>
      </c>
      <c r="Q18" s="61">
        <f>'6'!$G$167</f>
        <v>0</v>
      </c>
      <c r="R18" s="61">
        <f>'6'!$G$185</f>
        <v>0</v>
      </c>
      <c r="S18" s="61">
        <f>'6'!$G$196</f>
        <v>0</v>
      </c>
      <c r="T18" s="61">
        <f>'6'!$G$207</f>
        <v>0</v>
      </c>
      <c r="U18" s="61">
        <f>'6'!$G$218</f>
        <v>0</v>
      </c>
      <c r="V18" s="61">
        <f>'6'!$G$229</f>
        <v>0</v>
      </c>
      <c r="W18" s="61">
        <f>'6'!$G$240</f>
        <v>0</v>
      </c>
      <c r="X18" s="61">
        <f>'6'!$G$251</f>
        <v>0</v>
      </c>
      <c r="Y18" s="61">
        <f>'6'!$G$269</f>
        <v>0</v>
      </c>
      <c r="Z18" s="61">
        <f>'6'!$G$280</f>
        <v>0</v>
      </c>
      <c r="AA18" s="61">
        <f>'6'!$G$291</f>
        <v>0</v>
      </c>
      <c r="AB18" s="61">
        <f>'6'!$G$302</f>
        <v>0</v>
      </c>
      <c r="AC18" s="61">
        <f>'6'!$G$314</f>
        <v>1</v>
      </c>
      <c r="AD18" s="61">
        <f>'6'!$G$325</f>
        <v>2</v>
      </c>
      <c r="AE18" s="215">
        <f>'6'!$G$336</f>
        <v>0</v>
      </c>
      <c r="AF18" s="61">
        <f>'6'!$G$354</f>
        <v>1</v>
      </c>
      <c r="AG18" s="61">
        <f>'6'!$G$365</f>
        <v>2</v>
      </c>
      <c r="AH18" s="61">
        <f>'6'!$G$376</f>
        <v>0</v>
      </c>
      <c r="AI18" s="28">
        <f>'6'!$G$386</f>
        <v>0</v>
      </c>
      <c r="AJ18" s="28">
        <f>'6'!$G$397</f>
        <v>0</v>
      </c>
      <c r="AK18" s="28">
        <f>'6'!$G$408</f>
        <v>0</v>
      </c>
      <c r="AL18" s="28">
        <f>'6'!$G$419</f>
        <v>0</v>
      </c>
      <c r="AM18" s="122">
        <f t="shared" si="0"/>
        <v>18</v>
      </c>
      <c r="AN18" s="162"/>
      <c r="AO18" s="162">
        <f>AM18*100</f>
        <v>1800</v>
      </c>
      <c r="AP18" s="412"/>
      <c r="AQ18" s="414"/>
      <c r="AR18" s="409"/>
    </row>
    <row r="19" spans="1:44" ht="21.95" customHeight="1" x14ac:dyDescent="0.2">
      <c r="A19" s="221">
        <v>69001</v>
      </c>
      <c r="B19" s="62" t="s">
        <v>159</v>
      </c>
      <c r="C19" s="63" t="s">
        <v>113</v>
      </c>
      <c r="D19" s="27">
        <f>'7'!$F$17</f>
        <v>5</v>
      </c>
      <c r="E19" s="27">
        <f>'7'!$F$28</f>
        <v>5</v>
      </c>
      <c r="F19" s="27">
        <f>'7'!$F$39</f>
        <v>0</v>
      </c>
      <c r="G19" s="27">
        <f>'7'!$F$50</f>
        <v>0</v>
      </c>
      <c r="H19" s="27">
        <f>'7'!$F$61</f>
        <v>6</v>
      </c>
      <c r="I19" s="27">
        <f>'7'!$F$72</f>
        <v>6</v>
      </c>
      <c r="J19" s="27">
        <f>'7'!F83</f>
        <v>4</v>
      </c>
      <c r="K19" s="27">
        <f>'7'!F101</f>
        <v>6</v>
      </c>
      <c r="L19" s="27">
        <f>'7'!F112</f>
        <v>6</v>
      </c>
      <c r="M19" s="27">
        <f>'7'!F123</f>
        <v>4</v>
      </c>
      <c r="N19" s="27">
        <f>'7'!F134</f>
        <v>4</v>
      </c>
      <c r="O19" s="27">
        <f>'7'!F145</f>
        <v>0</v>
      </c>
      <c r="P19" s="27">
        <f>'7'!F156</f>
        <v>4</v>
      </c>
      <c r="Q19" s="27">
        <f>'7'!F167</f>
        <v>4</v>
      </c>
      <c r="R19" s="27">
        <f>'7'!F185</f>
        <v>5</v>
      </c>
      <c r="S19" s="27">
        <f>'7'!F196</f>
        <v>3</v>
      </c>
      <c r="T19" s="27">
        <f>'7'!F207</f>
        <v>4</v>
      </c>
      <c r="U19" s="27">
        <f>'7'!F218</f>
        <v>0</v>
      </c>
      <c r="V19" s="27">
        <f>'7'!F229</f>
        <v>0</v>
      </c>
      <c r="W19" s="27">
        <f>'7'!F240</f>
        <v>0</v>
      </c>
      <c r="X19" s="27">
        <f>'7'!F251</f>
        <v>0</v>
      </c>
      <c r="Y19" s="27">
        <f>'7'!F269</f>
        <v>0</v>
      </c>
      <c r="Z19" s="27">
        <f>'7'!F280</f>
        <v>0</v>
      </c>
      <c r="AA19" s="27">
        <f>'7'!F291</f>
        <v>0</v>
      </c>
      <c r="AB19" s="27">
        <f>'7'!F302</f>
        <v>2</v>
      </c>
      <c r="AC19" s="27">
        <f>'7'!F313</f>
        <v>7</v>
      </c>
      <c r="AD19" s="27">
        <f>'7'!F324</f>
        <v>6</v>
      </c>
      <c r="AE19" s="27">
        <f>'7'!F335</f>
        <v>5</v>
      </c>
      <c r="AF19" s="27">
        <f>'7'!F353</f>
        <v>5</v>
      </c>
      <c r="AG19" s="27">
        <f>'7'!F364</f>
        <v>5</v>
      </c>
      <c r="AH19" s="27">
        <f>'7'!F375</f>
        <v>0</v>
      </c>
      <c r="AI19" s="27">
        <f>'7'!$F$386</f>
        <v>0</v>
      </c>
      <c r="AJ19" s="27">
        <f>'7'!$F$397</f>
        <v>0</v>
      </c>
      <c r="AK19" s="27">
        <f>'7'!$F$408</f>
        <v>0</v>
      </c>
      <c r="AL19" s="27">
        <f>'7'!$F$419</f>
        <v>0</v>
      </c>
      <c r="AM19" s="121">
        <f t="shared" si="0"/>
        <v>96</v>
      </c>
      <c r="AN19" s="159">
        <f t="shared" ref="AN19" si="7">AM19*$AN$4</f>
        <v>7680</v>
      </c>
      <c r="AO19" s="159"/>
      <c r="AP19" s="411">
        <f t="shared" ref="AP19" si="8">SUM(AN19:AO20)</f>
        <v>9660</v>
      </c>
      <c r="AQ19" s="413">
        <v>0</v>
      </c>
      <c r="AR19" s="408">
        <f>SUM(AP19:AQ20)</f>
        <v>9660</v>
      </c>
    </row>
    <row r="20" spans="1:44" ht="21.95" customHeight="1" thickBot="1" x14ac:dyDescent="0.25">
      <c r="A20" s="223" t="s">
        <v>132</v>
      </c>
      <c r="B20" s="65" t="s">
        <v>139</v>
      </c>
      <c r="C20" s="66" t="s">
        <v>114</v>
      </c>
      <c r="D20" s="28">
        <f>'7'!$G$17</f>
        <v>0</v>
      </c>
      <c r="E20" s="28">
        <f>'7'!$G$28</f>
        <v>3</v>
      </c>
      <c r="F20" s="28">
        <f>'7'!$G$39</f>
        <v>0</v>
      </c>
      <c r="G20" s="28">
        <f>'7'!$G$50</f>
        <v>0</v>
      </c>
      <c r="H20" s="28">
        <f>'7'!$G$61</f>
        <v>1</v>
      </c>
      <c r="I20" s="28">
        <f>'7'!$G$72</f>
        <v>1</v>
      </c>
      <c r="J20" s="28">
        <f>'7'!$G$83</f>
        <v>0</v>
      </c>
      <c r="K20" s="28">
        <f>'7'!G101</f>
        <v>2</v>
      </c>
      <c r="L20" s="28">
        <f>'7'!G112</f>
        <v>3</v>
      </c>
      <c r="M20" s="28">
        <f>'7'!G124</f>
        <v>0</v>
      </c>
      <c r="N20" s="28">
        <f>'7'!G134</f>
        <v>2</v>
      </c>
      <c r="O20" s="28">
        <f>'7'!G146</f>
        <v>0</v>
      </c>
      <c r="P20" s="28">
        <f>'7'!G157</f>
        <v>0</v>
      </c>
      <c r="Q20" s="28">
        <f>'7'!G167</f>
        <v>0</v>
      </c>
      <c r="R20" s="28">
        <f>'7'!G185</f>
        <v>0</v>
      </c>
      <c r="S20" s="28">
        <f>'7'!G196</f>
        <v>2</v>
      </c>
      <c r="T20" s="28">
        <f>'7'!G207</f>
        <v>0</v>
      </c>
      <c r="U20" s="28">
        <f>'7'!G218</f>
        <v>0</v>
      </c>
      <c r="V20" s="28">
        <f>'7'!G229</f>
        <v>0</v>
      </c>
      <c r="W20" s="28">
        <f>'7'!G240</f>
        <v>0</v>
      </c>
      <c r="X20" s="28">
        <f>'7'!G251</f>
        <v>0</v>
      </c>
      <c r="Y20" s="28">
        <f>'7'!G269</f>
        <v>0</v>
      </c>
      <c r="Z20" s="28">
        <f>'7'!G280</f>
        <v>0</v>
      </c>
      <c r="AA20" s="28">
        <f>'7'!G291</f>
        <v>0</v>
      </c>
      <c r="AB20" s="28">
        <f>'7'!G302</f>
        <v>0</v>
      </c>
      <c r="AC20" s="28">
        <f>'7'!G313</f>
        <v>1</v>
      </c>
      <c r="AD20" s="28">
        <f>'7'!G324</f>
        <v>1</v>
      </c>
      <c r="AE20" s="28">
        <f>'7'!G335</f>
        <v>0</v>
      </c>
      <c r="AF20" s="28">
        <f>'7'!G353</f>
        <v>1</v>
      </c>
      <c r="AG20" s="28">
        <f>'7'!G364</f>
        <v>2</v>
      </c>
      <c r="AH20" s="28">
        <f>'7'!G375</f>
        <v>0</v>
      </c>
      <c r="AI20" s="28">
        <f>'7'!$G$386</f>
        <v>0</v>
      </c>
      <c r="AJ20" s="28">
        <f>'7'!$G$397</f>
        <v>0</v>
      </c>
      <c r="AK20" s="28">
        <f>'7'!$G$408</f>
        <v>0</v>
      </c>
      <c r="AL20" s="28">
        <f>'7'!$G$419</f>
        <v>0</v>
      </c>
      <c r="AM20" s="59">
        <f t="shared" si="0"/>
        <v>19</v>
      </c>
      <c r="AN20" s="161">
        <f>40+40</f>
        <v>80</v>
      </c>
      <c r="AO20" s="161">
        <f>AM20*100</f>
        <v>1900</v>
      </c>
      <c r="AP20" s="412"/>
      <c r="AQ20" s="414"/>
      <c r="AR20" s="409"/>
    </row>
    <row r="21" spans="1:44" ht="21.95" customHeight="1" x14ac:dyDescent="0.2">
      <c r="A21" s="221">
        <v>67007</v>
      </c>
      <c r="B21" s="62" t="s">
        <v>117</v>
      </c>
      <c r="C21" s="63" t="s">
        <v>113</v>
      </c>
      <c r="D21" s="27">
        <f>'8'!$F$17</f>
        <v>5</v>
      </c>
      <c r="E21" s="27">
        <f>'8'!$F$28</f>
        <v>6</v>
      </c>
      <c r="F21" s="27">
        <f>'8'!$F$39</f>
        <v>2</v>
      </c>
      <c r="G21" s="27">
        <f>'8'!$F$50</f>
        <v>3</v>
      </c>
      <c r="H21" s="27">
        <f>'8'!$F$61</f>
        <v>2</v>
      </c>
      <c r="I21" s="27">
        <f>'8'!$F$72</f>
        <v>5</v>
      </c>
      <c r="J21" s="210">
        <f>'8'!$F$83</f>
        <v>4</v>
      </c>
      <c r="K21" s="27">
        <f>'8'!$F$101</f>
        <v>6</v>
      </c>
      <c r="L21" s="210">
        <f>'8'!$F$112</f>
        <v>6</v>
      </c>
      <c r="M21" s="27">
        <f>'8'!$F$123</f>
        <v>4</v>
      </c>
      <c r="N21" s="27">
        <f>'8'!$F$134</f>
        <v>4</v>
      </c>
      <c r="O21" s="27">
        <f>'8'!$F$145</f>
        <v>4</v>
      </c>
      <c r="P21" s="27">
        <f>'8'!$F$156</f>
        <v>5</v>
      </c>
      <c r="Q21" s="27">
        <f>'8'!$F$167</f>
        <v>2</v>
      </c>
      <c r="R21" s="27">
        <f>'8'!$F$185</f>
        <v>6</v>
      </c>
      <c r="S21" s="27">
        <f>'8'!$F$196</f>
        <v>4</v>
      </c>
      <c r="T21" s="27">
        <f>'8'!$F$207</f>
        <v>4</v>
      </c>
      <c r="U21" s="27">
        <f>'8'!$F$218</f>
        <v>0</v>
      </c>
      <c r="V21" s="27">
        <f>'8'!$F$229</f>
        <v>0</v>
      </c>
      <c r="W21" s="27">
        <f>'8'!$F$240</f>
        <v>0</v>
      </c>
      <c r="X21" s="27">
        <f>'8'!$F$251</f>
        <v>0</v>
      </c>
      <c r="Y21" s="27">
        <f>'8'!$F$269</f>
        <v>0</v>
      </c>
      <c r="Z21" s="27">
        <f>'8'!$F$280</f>
        <v>0</v>
      </c>
      <c r="AA21" s="27">
        <f>'8'!$F$291</f>
        <v>0</v>
      </c>
      <c r="AB21" s="27">
        <f>'8'!$F$302</f>
        <v>2</v>
      </c>
      <c r="AC21" s="210">
        <f>'8'!$F$313</f>
        <v>5</v>
      </c>
      <c r="AD21" s="27">
        <f>'8'!$F$324</f>
        <v>5</v>
      </c>
      <c r="AE21" s="27">
        <f>'8'!$F$335</f>
        <v>4</v>
      </c>
      <c r="AF21" s="27">
        <f>'8'!$F$353</f>
        <v>6</v>
      </c>
      <c r="AG21" s="27">
        <f>'8'!$F$364</f>
        <v>0</v>
      </c>
      <c r="AH21" s="27">
        <f>'8'!$F$375</f>
        <v>0</v>
      </c>
      <c r="AI21" s="27">
        <f>'8'!$F$386</f>
        <v>0</v>
      </c>
      <c r="AJ21" s="27">
        <f>'8'!$F$397</f>
        <v>0</v>
      </c>
      <c r="AK21" s="27">
        <f>'8'!$F$408</f>
        <v>0</v>
      </c>
      <c r="AL21" s="27">
        <f>'8'!$F$419</f>
        <v>0</v>
      </c>
      <c r="AM21" s="121">
        <f t="shared" si="0"/>
        <v>94</v>
      </c>
      <c r="AN21" s="159">
        <f t="shared" si="2"/>
        <v>7520</v>
      </c>
      <c r="AO21" s="159"/>
      <c r="AP21" s="411">
        <f t="shared" ref="AP21" si="9">SUM(AN21:AO22)</f>
        <v>9920</v>
      </c>
      <c r="AQ21" s="413">
        <v>900</v>
      </c>
      <c r="AR21" s="408">
        <f>SUM(AP21:AQ22)</f>
        <v>10820</v>
      </c>
    </row>
    <row r="22" spans="1:44" ht="21.95" customHeight="1" thickBot="1" x14ac:dyDescent="0.25">
      <c r="A22" s="223" t="s">
        <v>132</v>
      </c>
      <c r="B22" s="65" t="s">
        <v>140</v>
      </c>
      <c r="C22" s="66" t="s">
        <v>114</v>
      </c>
      <c r="D22" s="28">
        <f>'8'!$G$17</f>
        <v>0</v>
      </c>
      <c r="E22" s="28">
        <f>'8'!$G$28</f>
        <v>2</v>
      </c>
      <c r="F22" s="28">
        <f>'8'!$G$39</f>
        <v>1</v>
      </c>
      <c r="G22" s="28">
        <f>'8'!$G$50</f>
        <v>1</v>
      </c>
      <c r="H22" s="28">
        <f>'8'!$G$61</f>
        <v>0</v>
      </c>
      <c r="I22" s="28">
        <f>'8'!$G$72</f>
        <v>1</v>
      </c>
      <c r="J22" s="211">
        <f>'8'!$G$83</f>
        <v>0</v>
      </c>
      <c r="K22" s="28">
        <f>'8'!$G$101</f>
        <v>2</v>
      </c>
      <c r="L22" s="211">
        <f>'8'!$G$112</f>
        <v>3</v>
      </c>
      <c r="M22" s="28">
        <f>'8'!$G$123</f>
        <v>1</v>
      </c>
      <c r="N22" s="28">
        <f>'8'!$G$134</f>
        <v>1</v>
      </c>
      <c r="O22" s="28">
        <f>'8'!$G$145</f>
        <v>4</v>
      </c>
      <c r="P22" s="28">
        <f>'8'!$G$156</f>
        <v>1</v>
      </c>
      <c r="Q22" s="28">
        <f>'8'!$G$167</f>
        <v>1</v>
      </c>
      <c r="R22" s="28">
        <f>'8'!$G$185</f>
        <v>0</v>
      </c>
      <c r="S22" s="28">
        <f>'8'!$G$196</f>
        <v>2</v>
      </c>
      <c r="T22" s="28">
        <f>'8'!$G$207</f>
        <v>0</v>
      </c>
      <c r="U22" s="28">
        <f>'8'!$G$218</f>
        <v>0</v>
      </c>
      <c r="V22" s="28">
        <f>'8'!$G$229</f>
        <v>0</v>
      </c>
      <c r="W22" s="28">
        <f>'8'!$G$240</f>
        <v>0</v>
      </c>
      <c r="X22" s="28">
        <f>'8'!$G$251</f>
        <v>0</v>
      </c>
      <c r="Y22" s="28">
        <f>'8'!$G$269</f>
        <v>0</v>
      </c>
      <c r="Z22" s="28">
        <f>'8'!$G$280</f>
        <v>0</v>
      </c>
      <c r="AA22" s="28">
        <f>'8'!$G$291</f>
        <v>0</v>
      </c>
      <c r="AB22" s="28">
        <f>'8'!$G$302</f>
        <v>0</v>
      </c>
      <c r="AC22" s="211">
        <f>'8'!$G$313</f>
        <v>1</v>
      </c>
      <c r="AD22" s="28">
        <f>'8'!$G$324</f>
        <v>2</v>
      </c>
      <c r="AE22" s="28">
        <f>'8'!$G$335</f>
        <v>0</v>
      </c>
      <c r="AF22" s="28">
        <f>'8'!$G$353</f>
        <v>1</v>
      </c>
      <c r="AG22" s="28">
        <f>'8'!$G$364</f>
        <v>0</v>
      </c>
      <c r="AH22" s="28">
        <f>'8'!$G$375</f>
        <v>0</v>
      </c>
      <c r="AI22" s="28">
        <f>'8'!$G$386</f>
        <v>0</v>
      </c>
      <c r="AJ22" s="28">
        <f>'8'!$G$397</f>
        <v>0</v>
      </c>
      <c r="AK22" s="28">
        <f>'8'!$G$408</f>
        <v>0</v>
      </c>
      <c r="AL22" s="28">
        <f>'8'!$G$419</f>
        <v>0</v>
      </c>
      <c r="AM22" s="59">
        <f t="shared" si="0"/>
        <v>24</v>
      </c>
      <c r="AN22" s="161"/>
      <c r="AO22" s="161">
        <f>AM22*100</f>
        <v>2400</v>
      </c>
      <c r="AP22" s="412"/>
      <c r="AQ22" s="414"/>
      <c r="AR22" s="409"/>
    </row>
    <row r="23" spans="1:44" ht="21.95" customHeight="1" x14ac:dyDescent="0.2">
      <c r="A23" s="221">
        <v>63011</v>
      </c>
      <c r="B23" s="62" t="s">
        <v>52</v>
      </c>
      <c r="C23" s="63" t="s">
        <v>113</v>
      </c>
      <c r="D23" s="27">
        <f>'9'!$F$17</f>
        <v>5</v>
      </c>
      <c r="E23" s="27">
        <f>'9'!$F$28</f>
        <v>5</v>
      </c>
      <c r="F23" s="27">
        <f>'9'!$F$39</f>
        <v>2</v>
      </c>
      <c r="G23" s="27">
        <f>'9'!$F$50</f>
        <v>5</v>
      </c>
      <c r="H23" s="27">
        <f>'9'!$F$61</f>
        <v>6</v>
      </c>
      <c r="I23" s="27">
        <f>'9'!$F$72</f>
        <v>6</v>
      </c>
      <c r="J23" s="27">
        <f>'9'!$F$83</f>
        <v>3</v>
      </c>
      <c r="K23" s="27">
        <f>'9'!$F$101</f>
        <v>6</v>
      </c>
      <c r="L23" s="27">
        <f>'9'!$F$112</f>
        <v>7</v>
      </c>
      <c r="M23" s="27">
        <f>'9'!$F$123</f>
        <v>5</v>
      </c>
      <c r="N23" s="27">
        <f>'9'!$F$134</f>
        <v>5</v>
      </c>
      <c r="O23" s="210">
        <f>'9'!$F$145</f>
        <v>5</v>
      </c>
      <c r="P23" s="210">
        <f>'9'!$F$156</f>
        <v>4</v>
      </c>
      <c r="Q23" s="27">
        <f>'9'!$F$167</f>
        <v>4</v>
      </c>
      <c r="R23" s="27">
        <f>'9'!$F$185</f>
        <v>5</v>
      </c>
      <c r="S23" s="27">
        <f>'9'!$F$196</f>
        <v>4</v>
      </c>
      <c r="T23" s="27">
        <f>'9'!$F$207</f>
        <v>4</v>
      </c>
      <c r="U23" s="27">
        <f>'9'!$F$218</f>
        <v>0</v>
      </c>
      <c r="V23" s="27">
        <f>'9'!$F$229</f>
        <v>0</v>
      </c>
      <c r="W23" s="27">
        <f>'9'!$F$240</f>
        <v>0</v>
      </c>
      <c r="X23" s="27">
        <f>'9'!$F$251</f>
        <v>0</v>
      </c>
      <c r="Y23" s="27">
        <f>'9'!$F$269</f>
        <v>0</v>
      </c>
      <c r="Z23" s="27">
        <f>'9'!$F$280</f>
        <v>0</v>
      </c>
      <c r="AA23" s="27">
        <f>'9'!$F$292</f>
        <v>0</v>
      </c>
      <c r="AB23" s="27">
        <f>'9'!$F$303</f>
        <v>1</v>
      </c>
      <c r="AC23" s="27">
        <f>'9'!$F$315</f>
        <v>6</v>
      </c>
      <c r="AD23" s="27">
        <f>'9'!$F$326</f>
        <v>6</v>
      </c>
      <c r="AE23" s="27">
        <f>'9'!$F$337</f>
        <v>5</v>
      </c>
      <c r="AF23" s="210">
        <f>'9'!$F$355</f>
        <v>6</v>
      </c>
      <c r="AG23" s="27">
        <f>'9'!$F$366</f>
        <v>6</v>
      </c>
      <c r="AH23" s="27">
        <f>'9'!$F$377</f>
        <v>0</v>
      </c>
      <c r="AI23" s="27">
        <f>'9'!$F$386</f>
        <v>0</v>
      </c>
      <c r="AJ23" s="27">
        <f>'9'!$F$397</f>
        <v>0</v>
      </c>
      <c r="AK23" s="27">
        <f>'9'!$F$408</f>
        <v>0</v>
      </c>
      <c r="AL23" s="27">
        <f>'9'!$F$419</f>
        <v>0</v>
      </c>
      <c r="AM23" s="121">
        <f t="shared" si="0"/>
        <v>111</v>
      </c>
      <c r="AN23" s="159">
        <f t="shared" si="2"/>
        <v>8880</v>
      </c>
      <c r="AO23" s="159"/>
      <c r="AP23" s="411">
        <f t="shared" ref="AP23" si="10">SUM(AN23:AO24)</f>
        <v>11320</v>
      </c>
      <c r="AQ23" s="413">
        <v>900</v>
      </c>
      <c r="AR23" s="408">
        <f>SUM(AP23:AQ24)</f>
        <v>12220</v>
      </c>
    </row>
    <row r="24" spans="1:44" ht="21.95" customHeight="1" thickBot="1" x14ac:dyDescent="0.25">
      <c r="A24" s="223" t="s">
        <v>132</v>
      </c>
      <c r="B24" s="65" t="s">
        <v>141</v>
      </c>
      <c r="C24" s="66" t="s">
        <v>114</v>
      </c>
      <c r="D24" s="61">
        <f>'9'!$G$17</f>
        <v>0</v>
      </c>
      <c r="E24" s="61">
        <f>'9'!$G$28</f>
        <v>2</v>
      </c>
      <c r="F24" s="61">
        <f>'9'!$G$39</f>
        <v>0</v>
      </c>
      <c r="G24" s="61">
        <f>'9'!$G$50</f>
        <v>1</v>
      </c>
      <c r="H24" s="61">
        <f>'9'!$G$61</f>
        <v>1</v>
      </c>
      <c r="I24" s="61">
        <f>'9'!$G$72</f>
        <v>1</v>
      </c>
      <c r="J24" s="61">
        <f>'9'!$G$83</f>
        <v>1</v>
      </c>
      <c r="K24" s="61">
        <f>'9'!$G$101</f>
        <v>3</v>
      </c>
      <c r="L24" s="61">
        <f>'9'!$G$112</f>
        <v>2</v>
      </c>
      <c r="M24" s="61">
        <f>'9'!$G$123</f>
        <v>1</v>
      </c>
      <c r="N24" s="61">
        <f>'9'!$G$134</f>
        <v>1</v>
      </c>
      <c r="O24" s="215">
        <f>'9'!$G$145</f>
        <v>4</v>
      </c>
      <c r="P24" s="215">
        <f>'9'!$G$156</f>
        <v>0</v>
      </c>
      <c r="Q24" s="61">
        <f>'9'!$G$167</f>
        <v>0</v>
      </c>
      <c r="R24" s="61">
        <f>'9'!$G$185</f>
        <v>0</v>
      </c>
      <c r="S24" s="61">
        <f>'9'!$G$196</f>
        <v>2</v>
      </c>
      <c r="T24" s="61">
        <f>'9'!$G$207</f>
        <v>0</v>
      </c>
      <c r="U24" s="61">
        <f>'9'!$G$218</f>
        <v>0</v>
      </c>
      <c r="V24" s="61">
        <f>'9'!$G$229</f>
        <v>0</v>
      </c>
      <c r="W24" s="61">
        <f>'9'!$G$240</f>
        <v>0</v>
      </c>
      <c r="X24" s="61">
        <f>'9'!$G$251</f>
        <v>0</v>
      </c>
      <c r="Y24" s="61">
        <f>'9'!$G$269</f>
        <v>0</v>
      </c>
      <c r="Z24" s="61">
        <f>'9'!$G$280</f>
        <v>0</v>
      </c>
      <c r="AA24" s="61">
        <f>'9'!$G$292</f>
        <v>0</v>
      </c>
      <c r="AB24" s="61">
        <f>'9'!$G$303</f>
        <v>0</v>
      </c>
      <c r="AC24" s="61">
        <f>'9'!$G$315</f>
        <v>0</v>
      </c>
      <c r="AD24" s="61">
        <f>'9'!$G$326</f>
        <v>2</v>
      </c>
      <c r="AE24" s="61">
        <f>'9'!$G$337</f>
        <v>0</v>
      </c>
      <c r="AF24" s="215">
        <f>'9'!$G$355</f>
        <v>2</v>
      </c>
      <c r="AG24" s="61">
        <f>'9'!$G$366</f>
        <v>1</v>
      </c>
      <c r="AH24" s="61">
        <f>'9'!$G$377</f>
        <v>0</v>
      </c>
      <c r="AI24" s="28">
        <f>'9'!$G$386</f>
        <v>0</v>
      </c>
      <c r="AJ24" s="28">
        <f>'9'!$G$397</f>
        <v>0</v>
      </c>
      <c r="AK24" s="28">
        <f>'9'!$G$408</f>
        <v>0</v>
      </c>
      <c r="AL24" s="28">
        <f>'9'!$G$419</f>
        <v>0</v>
      </c>
      <c r="AM24" s="59">
        <f t="shared" si="0"/>
        <v>24</v>
      </c>
      <c r="AN24" s="161">
        <v>40</v>
      </c>
      <c r="AO24" s="161">
        <f>AM24*100</f>
        <v>2400</v>
      </c>
      <c r="AP24" s="412"/>
      <c r="AQ24" s="414"/>
      <c r="AR24" s="409"/>
    </row>
    <row r="25" spans="1:44" ht="21.95" customHeight="1" x14ac:dyDescent="0.2">
      <c r="A25" s="221">
        <v>68035</v>
      </c>
      <c r="B25" s="62" t="s">
        <v>158</v>
      </c>
      <c r="C25" s="63" t="s">
        <v>113</v>
      </c>
      <c r="D25" s="27">
        <f>'10'!$F$17</f>
        <v>5</v>
      </c>
      <c r="E25" s="27">
        <f>'10'!$F$28</f>
        <v>5</v>
      </c>
      <c r="F25" s="27">
        <f>'10'!$F$39</f>
        <v>3</v>
      </c>
      <c r="G25" s="27">
        <f>'10'!$F$50</f>
        <v>5</v>
      </c>
      <c r="H25" s="27">
        <f>'10'!$F$61</f>
        <v>6</v>
      </c>
      <c r="I25" s="27">
        <f>'10'!$F$72</f>
        <v>2</v>
      </c>
      <c r="J25" s="27">
        <f>'10'!$F$83</f>
        <v>0</v>
      </c>
      <c r="K25" s="27">
        <f>'10'!$F$101</f>
        <v>0</v>
      </c>
      <c r="L25" s="27">
        <f>'10'!$F$112</f>
        <v>6</v>
      </c>
      <c r="M25" s="27">
        <f>'10'!$F$123</f>
        <v>4</v>
      </c>
      <c r="N25" s="27">
        <f>'10'!$F$134</f>
        <v>6</v>
      </c>
      <c r="O25" s="27">
        <f>'10'!$F$145</f>
        <v>5</v>
      </c>
      <c r="P25" s="27">
        <f>'10'!$F$156</f>
        <v>6</v>
      </c>
      <c r="Q25" s="27">
        <f>'10'!$F$167</f>
        <v>5</v>
      </c>
      <c r="R25" s="27">
        <f>'10'!$F$185</f>
        <v>5</v>
      </c>
      <c r="S25" s="27">
        <f>'10'!$F$196</f>
        <v>3</v>
      </c>
      <c r="T25" s="27">
        <f>'10'!$F$207</f>
        <v>4</v>
      </c>
      <c r="U25" s="27">
        <f>'10'!$F$218</f>
        <v>0</v>
      </c>
      <c r="V25" s="27">
        <f>'10'!$F$229</f>
        <v>0</v>
      </c>
      <c r="W25" s="27">
        <f>'10'!$F$240</f>
        <v>0</v>
      </c>
      <c r="X25" s="27">
        <f>'10'!$F$251</f>
        <v>0</v>
      </c>
      <c r="Y25" s="27">
        <f>'10'!$F$269</f>
        <v>0</v>
      </c>
      <c r="Z25" s="27">
        <f>'10'!$F$280</f>
        <v>0</v>
      </c>
      <c r="AA25" s="27">
        <f>'10'!$F$291</f>
        <v>0</v>
      </c>
      <c r="AB25" s="27">
        <f>'10'!$F$302</f>
        <v>1</v>
      </c>
      <c r="AC25" s="27">
        <f>'10'!$F$313</f>
        <v>5</v>
      </c>
      <c r="AD25" s="27">
        <f>'10'!$F$324</f>
        <v>6</v>
      </c>
      <c r="AE25" s="27">
        <f>'10'!$F$335</f>
        <v>4</v>
      </c>
      <c r="AF25" s="27">
        <f>'10'!$F$354</f>
        <v>6</v>
      </c>
      <c r="AG25" s="210">
        <f>'10'!$F$365</f>
        <v>5</v>
      </c>
      <c r="AH25" s="27">
        <f>'10'!$F$376</f>
        <v>0</v>
      </c>
      <c r="AI25" s="27">
        <f>'10'!$F$387</f>
        <v>0</v>
      </c>
      <c r="AJ25" s="27">
        <f>'10'!$F$398</f>
        <v>0</v>
      </c>
      <c r="AK25" s="27">
        <f>'10'!$F$409</f>
        <v>0</v>
      </c>
      <c r="AL25" s="27">
        <f>'10'!$F$420</f>
        <v>0</v>
      </c>
      <c r="AM25" s="64">
        <f t="shared" si="0"/>
        <v>97</v>
      </c>
      <c r="AN25" s="159">
        <f t="shared" si="2"/>
        <v>7760</v>
      </c>
      <c r="AO25" s="163"/>
      <c r="AP25" s="411">
        <f t="shared" ref="AP25" si="11">SUM(AN25:AO26)</f>
        <v>9860</v>
      </c>
      <c r="AQ25" s="413">
        <v>900</v>
      </c>
      <c r="AR25" s="408">
        <f>SUM(AP25:AQ26)</f>
        <v>10760</v>
      </c>
    </row>
    <row r="26" spans="1:44" ht="21.95" customHeight="1" thickBot="1" x14ac:dyDescent="0.25">
      <c r="A26" s="223" t="s">
        <v>132</v>
      </c>
      <c r="B26" s="65" t="s">
        <v>142</v>
      </c>
      <c r="C26" s="66" t="s">
        <v>114</v>
      </c>
      <c r="D26" s="28">
        <f>'10'!$G$17</f>
        <v>0</v>
      </c>
      <c r="E26" s="28">
        <f>'10'!$G$28</f>
        <v>2</v>
      </c>
      <c r="F26" s="28">
        <f>'10'!$G$39</f>
        <v>0</v>
      </c>
      <c r="G26" s="28">
        <f>'10'!$G$50</f>
        <v>1</v>
      </c>
      <c r="H26" s="28">
        <f>'10'!$G$61</f>
        <v>1</v>
      </c>
      <c r="I26" s="28">
        <f>'10'!$G$72</f>
        <v>0</v>
      </c>
      <c r="J26" s="28">
        <f>'10'!$G$83</f>
        <v>0</v>
      </c>
      <c r="K26" s="28">
        <f>'10'!$G$101</f>
        <v>0</v>
      </c>
      <c r="L26" s="28">
        <f>'10'!$G$112</f>
        <v>3</v>
      </c>
      <c r="M26" s="28">
        <f>'10'!$G$123</f>
        <v>1</v>
      </c>
      <c r="N26" s="28">
        <f>'10'!$G$134</f>
        <v>1</v>
      </c>
      <c r="O26" s="28">
        <f>'10'!$G$145</f>
        <v>4</v>
      </c>
      <c r="P26" s="28">
        <f>'10'!$G$156</f>
        <v>1</v>
      </c>
      <c r="Q26" s="28">
        <f>'10'!$G$167</f>
        <v>0</v>
      </c>
      <c r="R26" s="28">
        <f>'10'!$G$185</f>
        <v>0</v>
      </c>
      <c r="S26" s="28">
        <f>'10'!$G$196</f>
        <v>2</v>
      </c>
      <c r="T26" s="28">
        <f>'10'!$G$207</f>
        <v>0</v>
      </c>
      <c r="U26" s="28">
        <f>'10'!$G$218</f>
        <v>0</v>
      </c>
      <c r="V26" s="28">
        <f>'10'!$G$229</f>
        <v>0</v>
      </c>
      <c r="W26" s="28">
        <f>'10'!$G$240</f>
        <v>0</v>
      </c>
      <c r="X26" s="28">
        <f>'10'!$G$251</f>
        <v>0</v>
      </c>
      <c r="Y26" s="28">
        <f>'10'!$G$269</f>
        <v>0</v>
      </c>
      <c r="Z26" s="28">
        <f>'10'!$G$280</f>
        <v>0</v>
      </c>
      <c r="AA26" s="28">
        <f>'10'!$G$291</f>
        <v>0</v>
      </c>
      <c r="AB26" s="28">
        <f>'10'!$G$302</f>
        <v>0</v>
      </c>
      <c r="AC26" s="28">
        <f>'10'!$G$313</f>
        <v>1</v>
      </c>
      <c r="AD26" s="28">
        <f>'10'!$G$324</f>
        <v>2</v>
      </c>
      <c r="AE26" s="28">
        <f>'10'!$G$335</f>
        <v>0</v>
      </c>
      <c r="AF26" s="28">
        <f>'10'!$G$354</f>
        <v>1</v>
      </c>
      <c r="AG26" s="211">
        <f>'10'!$G$365</f>
        <v>1</v>
      </c>
      <c r="AH26" s="28">
        <f>'10'!$G$376</f>
        <v>0</v>
      </c>
      <c r="AI26" s="28">
        <f>'10'!$G$387</f>
        <v>0</v>
      </c>
      <c r="AJ26" s="28">
        <f>'10'!$G$398</f>
        <v>0</v>
      </c>
      <c r="AK26" s="28">
        <f>'10'!$G$409</f>
        <v>0</v>
      </c>
      <c r="AL26" s="28">
        <f>'10'!$G$420</f>
        <v>0</v>
      </c>
      <c r="AM26" s="67">
        <f t="shared" si="0"/>
        <v>21</v>
      </c>
      <c r="AN26" s="164"/>
      <c r="AO26" s="161">
        <f>AM26*100</f>
        <v>2100</v>
      </c>
      <c r="AP26" s="412"/>
      <c r="AQ26" s="414"/>
      <c r="AR26" s="409"/>
    </row>
    <row r="27" spans="1:44" ht="21.95" customHeight="1" x14ac:dyDescent="0.2">
      <c r="A27" s="221">
        <v>65041</v>
      </c>
      <c r="B27" s="62" t="s">
        <v>95</v>
      </c>
      <c r="C27" s="63" t="s">
        <v>113</v>
      </c>
      <c r="D27" s="27">
        <f>'11'!$F$17</f>
        <v>5</v>
      </c>
      <c r="E27" s="27">
        <f>'11'!$F$28</f>
        <v>5</v>
      </c>
      <c r="F27" s="27">
        <f>'11'!$F$39</f>
        <v>3</v>
      </c>
      <c r="G27" s="27">
        <f>'11'!$F$50</f>
        <v>5</v>
      </c>
      <c r="H27" s="27">
        <f>'11'!$F$61</f>
        <v>5</v>
      </c>
      <c r="I27" s="27">
        <f>'11'!$F$72</f>
        <v>7</v>
      </c>
      <c r="J27" s="27">
        <f>'11'!$F$83</f>
        <v>0</v>
      </c>
      <c r="K27" s="27">
        <f>'11'!$F$101</f>
        <v>2</v>
      </c>
      <c r="L27" s="27">
        <f>'11'!$F$112</f>
        <v>0</v>
      </c>
      <c r="M27" s="27">
        <f>'11'!$F$123</f>
        <v>0</v>
      </c>
      <c r="N27" s="27">
        <f>'11'!$F$134</f>
        <v>0</v>
      </c>
      <c r="O27" s="27">
        <f>'11'!$F$145</f>
        <v>0</v>
      </c>
      <c r="P27" s="27">
        <f>'11'!$F$156</f>
        <v>0</v>
      </c>
      <c r="Q27" s="210">
        <f>'11'!$F$167</f>
        <v>5</v>
      </c>
      <c r="R27" s="27">
        <f>'11'!$F$185</f>
        <v>5</v>
      </c>
      <c r="S27" s="27">
        <f>'11'!$F$196</f>
        <v>3</v>
      </c>
      <c r="T27" s="27">
        <f>'11'!$F$207</f>
        <v>4</v>
      </c>
      <c r="U27" s="27">
        <f>'11'!$F$218</f>
        <v>0</v>
      </c>
      <c r="V27" s="27">
        <f>'11'!$F$229</f>
        <v>0</v>
      </c>
      <c r="W27" s="27">
        <f>'11'!$F$240</f>
        <v>0</v>
      </c>
      <c r="X27" s="27">
        <f>'11'!$F$251</f>
        <v>0</v>
      </c>
      <c r="Y27" s="27">
        <f>'11'!$F$269</f>
        <v>0</v>
      </c>
      <c r="Z27" s="27">
        <f>'11'!$F$280</f>
        <v>0</v>
      </c>
      <c r="AA27" s="27">
        <f>'11'!$F$291</f>
        <v>0</v>
      </c>
      <c r="AB27" s="27">
        <f>'11'!$F$302</f>
        <v>1</v>
      </c>
      <c r="AC27" s="27">
        <f>'11'!$F$313</f>
        <v>4</v>
      </c>
      <c r="AD27" s="27">
        <f>'11'!$F$324</f>
        <v>5</v>
      </c>
      <c r="AE27" s="210">
        <f>'11'!$F$335</f>
        <v>5</v>
      </c>
      <c r="AF27" s="27">
        <f>'11'!$F$354</f>
        <v>5</v>
      </c>
      <c r="AG27" s="210">
        <f>'11'!$F$365</f>
        <v>6</v>
      </c>
      <c r="AH27" s="27">
        <f>'11'!$F$376</f>
        <v>0</v>
      </c>
      <c r="AI27" s="27">
        <f>'11'!$F$386</f>
        <v>0</v>
      </c>
      <c r="AJ27" s="27">
        <f>'11'!$F$398</f>
        <v>0</v>
      </c>
      <c r="AK27" s="27">
        <f>'11'!$F$409</f>
        <v>0</v>
      </c>
      <c r="AL27" s="27">
        <f>'11'!$F$420</f>
        <v>0</v>
      </c>
      <c r="AM27" s="64">
        <f t="shared" si="0"/>
        <v>75</v>
      </c>
      <c r="AN27" s="159">
        <f t="shared" ref="AN27" si="12">AM27*$AN$4</f>
        <v>6000</v>
      </c>
      <c r="AO27" s="163"/>
      <c r="AP27" s="411">
        <f t="shared" ref="AP27" si="13">SUM(AN27:AO28)</f>
        <v>7600</v>
      </c>
      <c r="AQ27" s="413">
        <v>900</v>
      </c>
      <c r="AR27" s="408">
        <f>SUM(AP27:AQ28)</f>
        <v>8500</v>
      </c>
    </row>
    <row r="28" spans="1:44" ht="21.95" customHeight="1" thickBot="1" x14ac:dyDescent="0.25">
      <c r="A28" s="223" t="s">
        <v>132</v>
      </c>
      <c r="B28" s="65" t="s">
        <v>143</v>
      </c>
      <c r="C28" s="66" t="s">
        <v>114</v>
      </c>
      <c r="D28" s="28">
        <f>'11'!$G$17</f>
        <v>0</v>
      </c>
      <c r="E28" s="28">
        <f>'11'!$G$28</f>
        <v>2</v>
      </c>
      <c r="F28" s="28">
        <f>'11'!$G$39</f>
        <v>0</v>
      </c>
      <c r="G28" s="28">
        <f>'11'!$G$50</f>
        <v>1</v>
      </c>
      <c r="H28" s="28">
        <f>'11'!$G$61</f>
        <v>2</v>
      </c>
      <c r="I28" s="28">
        <f>'11'!$G$72</f>
        <v>2</v>
      </c>
      <c r="J28" s="28">
        <f>'11'!$G$83</f>
        <v>0</v>
      </c>
      <c r="K28" s="28">
        <f>'11'!$G$101</f>
        <v>0</v>
      </c>
      <c r="L28" s="28">
        <f>'11'!$G$112</f>
        <v>1</v>
      </c>
      <c r="M28" s="28">
        <f>'11'!$G$123</f>
        <v>0</v>
      </c>
      <c r="N28" s="28">
        <f>'11'!$G$134</f>
        <v>0</v>
      </c>
      <c r="O28" s="28">
        <f>'11'!$G$145</f>
        <v>0</v>
      </c>
      <c r="P28" s="28">
        <f>'11'!$G$156</f>
        <v>0</v>
      </c>
      <c r="Q28" s="211">
        <f>'11'!$G$167</f>
        <v>0</v>
      </c>
      <c r="R28" s="28">
        <f>'11'!$G$185</f>
        <v>0</v>
      </c>
      <c r="S28" s="28">
        <f>'11'!$G$196</f>
        <v>2</v>
      </c>
      <c r="T28" s="28">
        <f>'11'!$G$207</f>
        <v>0</v>
      </c>
      <c r="U28" s="28">
        <f>'11'!$G$218</f>
        <v>0</v>
      </c>
      <c r="V28" s="28">
        <f>'11'!$G$229</f>
        <v>0</v>
      </c>
      <c r="W28" s="28">
        <f>'11'!$G$240</f>
        <v>0</v>
      </c>
      <c r="X28" s="28">
        <f>'11'!$G$251</f>
        <v>0</v>
      </c>
      <c r="Y28" s="28">
        <f>'11'!$G$269</f>
        <v>0</v>
      </c>
      <c r="Z28" s="28">
        <f>'11'!$G$280</f>
        <v>0</v>
      </c>
      <c r="AA28" s="28">
        <f>'11'!$G$291</f>
        <v>0</v>
      </c>
      <c r="AB28" s="28">
        <f>'11'!$G$302</f>
        <v>0</v>
      </c>
      <c r="AC28" s="28">
        <f>'11'!$G$313</f>
        <v>1</v>
      </c>
      <c r="AD28" s="28">
        <f>'11'!$G$324</f>
        <v>3</v>
      </c>
      <c r="AE28" s="211">
        <f>'11'!$G$335</f>
        <v>0</v>
      </c>
      <c r="AF28" s="28">
        <f>'11'!$G$354</f>
        <v>1</v>
      </c>
      <c r="AG28" s="211">
        <f>'11'!$G$365</f>
        <v>1</v>
      </c>
      <c r="AH28" s="28">
        <f>'11'!$G$376</f>
        <v>0</v>
      </c>
      <c r="AI28" s="28">
        <f>'11'!$G$386</f>
        <v>0</v>
      </c>
      <c r="AJ28" s="28">
        <f>'11'!$G$398</f>
        <v>0</v>
      </c>
      <c r="AK28" s="28">
        <f>'11'!$G$409</f>
        <v>0</v>
      </c>
      <c r="AL28" s="28">
        <f>'11'!$G$420</f>
        <v>0</v>
      </c>
      <c r="AM28" s="67">
        <f t="shared" si="0"/>
        <v>16</v>
      </c>
      <c r="AN28" s="164"/>
      <c r="AO28" s="161">
        <f>AM28*100</f>
        <v>1600</v>
      </c>
      <c r="AP28" s="412"/>
      <c r="AQ28" s="414"/>
      <c r="AR28" s="409"/>
    </row>
    <row r="29" spans="1:44" ht="21.95" customHeight="1" x14ac:dyDescent="0.2">
      <c r="A29" s="221">
        <v>66120</v>
      </c>
      <c r="B29" s="62" t="s">
        <v>115</v>
      </c>
      <c r="C29" s="63" t="s">
        <v>113</v>
      </c>
      <c r="D29" s="27">
        <f>'12'!$F$17</f>
        <v>6</v>
      </c>
      <c r="E29" s="27">
        <f>'12'!$F$28</f>
        <v>6</v>
      </c>
      <c r="F29" s="27">
        <f>'12'!$F$39</f>
        <v>2</v>
      </c>
      <c r="G29" s="27">
        <f>'12'!$F$50</f>
        <v>5</v>
      </c>
      <c r="H29" s="27">
        <f>'12'!$F$61</f>
        <v>6</v>
      </c>
      <c r="I29" s="27">
        <f>'12'!$F$72</f>
        <v>7</v>
      </c>
      <c r="J29" s="27">
        <f>'12'!$F$83</f>
        <v>5</v>
      </c>
      <c r="K29" s="27">
        <f>'12'!$F$101</f>
        <v>7</v>
      </c>
      <c r="L29" s="27">
        <f>'12'!$F$112</f>
        <v>6</v>
      </c>
      <c r="M29" s="27">
        <f>'12'!$F$123</f>
        <v>4</v>
      </c>
      <c r="N29" s="27">
        <f>'12'!$F$134</f>
        <v>5</v>
      </c>
      <c r="O29" s="27">
        <f>'12'!$F$145</f>
        <v>4</v>
      </c>
      <c r="P29" s="27">
        <f>'12'!$F$156</f>
        <v>6</v>
      </c>
      <c r="Q29" s="27">
        <f>'12'!$F$167</f>
        <v>5</v>
      </c>
      <c r="R29" s="27">
        <f>'12'!$F$185</f>
        <v>6</v>
      </c>
      <c r="S29" s="27">
        <f>'12'!$F$196</f>
        <v>4</v>
      </c>
      <c r="T29" s="27">
        <f>'12'!$F$207</f>
        <v>4</v>
      </c>
      <c r="U29" s="27">
        <f>'12'!$F$218</f>
        <v>0</v>
      </c>
      <c r="V29" s="27">
        <f>'12'!$F$229</f>
        <v>0</v>
      </c>
      <c r="W29" s="27">
        <f>'12'!$F$240</f>
        <v>0</v>
      </c>
      <c r="X29" s="27">
        <f>'12'!$F$251</f>
        <v>0</v>
      </c>
      <c r="Y29" s="27">
        <f>'12'!$F$269</f>
        <v>0</v>
      </c>
      <c r="Z29" s="27">
        <f>'12'!$F$280</f>
        <v>0</v>
      </c>
      <c r="AA29" s="27">
        <f>'12'!$F$291</f>
        <v>0</v>
      </c>
      <c r="AB29" s="27">
        <f>'12'!$F$302</f>
        <v>1</v>
      </c>
      <c r="AC29" s="27">
        <f>'12'!$F$313</f>
        <v>6</v>
      </c>
      <c r="AD29" s="27">
        <f>'12'!$F$324</f>
        <v>5</v>
      </c>
      <c r="AE29" s="27">
        <f>'12'!$F$335</f>
        <v>5</v>
      </c>
      <c r="AF29" s="27">
        <f>'12'!$F$354</f>
        <v>5</v>
      </c>
      <c r="AG29" s="27">
        <f>'12'!$F$365</f>
        <v>5</v>
      </c>
      <c r="AH29" s="27">
        <f>'12'!$F$376</f>
        <v>0</v>
      </c>
      <c r="AI29" s="27">
        <f>'12'!$F$386</f>
        <v>0</v>
      </c>
      <c r="AJ29" s="27">
        <f>'12'!$F$398</f>
        <v>0</v>
      </c>
      <c r="AK29" s="27">
        <f>'12'!$F$409</f>
        <v>0</v>
      </c>
      <c r="AL29" s="27">
        <f>'12'!$F$420</f>
        <v>0</v>
      </c>
      <c r="AM29" s="64">
        <f>SUM(D29:AL29)</f>
        <v>115</v>
      </c>
      <c r="AN29" s="159">
        <f t="shared" ref="AN29" si="14">AM29*$AN$4</f>
        <v>9200</v>
      </c>
      <c r="AO29" s="163"/>
      <c r="AP29" s="411">
        <f t="shared" ref="AP29" si="15">SUM(AN29:AO30)</f>
        <v>11600</v>
      </c>
      <c r="AQ29" s="413">
        <v>900</v>
      </c>
      <c r="AR29" s="408">
        <f>SUM(AP29:AQ30)</f>
        <v>12500</v>
      </c>
    </row>
    <row r="30" spans="1:44" ht="21.95" customHeight="1" thickBot="1" x14ac:dyDescent="0.25">
      <c r="A30" s="223" t="s">
        <v>132</v>
      </c>
      <c r="B30" s="145" t="s">
        <v>145</v>
      </c>
      <c r="C30" s="66" t="s">
        <v>114</v>
      </c>
      <c r="D30" s="28">
        <f>'12'!$G$17</f>
        <v>0</v>
      </c>
      <c r="E30" s="28">
        <f>'12'!$G$28</f>
        <v>2</v>
      </c>
      <c r="F30" s="28">
        <f>'12'!$G$39</f>
        <v>0</v>
      </c>
      <c r="G30" s="28">
        <f>'12'!$G$50</f>
        <v>1</v>
      </c>
      <c r="H30" s="28">
        <f>'12'!$G$61</f>
        <v>1</v>
      </c>
      <c r="I30" s="28">
        <f>'12'!$G$72</f>
        <v>1</v>
      </c>
      <c r="J30" s="28">
        <f>'12'!$G$83</f>
        <v>0</v>
      </c>
      <c r="K30" s="28">
        <f>'12'!$G$101</f>
        <v>3</v>
      </c>
      <c r="L30" s="28">
        <f>'12'!$G$112</f>
        <v>3</v>
      </c>
      <c r="M30" s="28">
        <f>'12'!$G$123</f>
        <v>1</v>
      </c>
      <c r="N30" s="28">
        <f>'12'!$G$134</f>
        <v>1</v>
      </c>
      <c r="O30" s="28">
        <f>'12'!$G$145</f>
        <v>4</v>
      </c>
      <c r="P30" s="28">
        <f>'12'!$G$156</f>
        <v>0</v>
      </c>
      <c r="Q30" s="28">
        <f>'12'!$G$167</f>
        <v>0</v>
      </c>
      <c r="R30" s="28">
        <f>'12'!$G$185</f>
        <v>0</v>
      </c>
      <c r="S30" s="28">
        <f>'12'!$G$196</f>
        <v>2</v>
      </c>
      <c r="T30" s="28">
        <f>'12'!$G$207</f>
        <v>0</v>
      </c>
      <c r="U30" s="28">
        <f>'12'!$G$218</f>
        <v>0</v>
      </c>
      <c r="V30" s="28">
        <f>'12'!$G$229</f>
        <v>0</v>
      </c>
      <c r="W30" s="28">
        <f>'12'!$G$240</f>
        <v>0</v>
      </c>
      <c r="X30" s="28">
        <f>'12'!$G$251</f>
        <v>0</v>
      </c>
      <c r="Y30" s="28">
        <f>'12'!$G$269</f>
        <v>0</v>
      </c>
      <c r="Z30" s="28">
        <f>'12'!$G$280</f>
        <v>0</v>
      </c>
      <c r="AA30" s="28">
        <f>'12'!$G$291</f>
        <v>0</v>
      </c>
      <c r="AB30" s="28">
        <f>'12'!$G$302</f>
        <v>0</v>
      </c>
      <c r="AC30" s="28">
        <f>'12'!$G$313</f>
        <v>0</v>
      </c>
      <c r="AD30" s="28">
        <f>'12'!$G$324</f>
        <v>3</v>
      </c>
      <c r="AE30" s="28">
        <f>'12'!$G$335</f>
        <v>0</v>
      </c>
      <c r="AF30" s="28">
        <f>'12'!$G$354</f>
        <v>2</v>
      </c>
      <c r="AG30" s="28">
        <f>'12'!$G$365</f>
        <v>0</v>
      </c>
      <c r="AH30" s="28">
        <f>'12'!$G$376</f>
        <v>0</v>
      </c>
      <c r="AI30" s="28">
        <f>'12'!$G$386</f>
        <v>0</v>
      </c>
      <c r="AJ30" s="28">
        <f>'12'!$G$398</f>
        <v>0</v>
      </c>
      <c r="AK30" s="28">
        <f>'12'!$G$409</f>
        <v>0</v>
      </c>
      <c r="AL30" s="28">
        <f>'12'!$G$420</f>
        <v>0</v>
      </c>
      <c r="AM30" s="67">
        <f>SUM(D30:AL30)</f>
        <v>24</v>
      </c>
      <c r="AN30" s="164"/>
      <c r="AO30" s="161">
        <f>AM30*100</f>
        <v>2400</v>
      </c>
      <c r="AP30" s="412"/>
      <c r="AQ30" s="414"/>
      <c r="AR30" s="409"/>
    </row>
    <row r="31" spans="1:44" ht="21.95" customHeight="1" x14ac:dyDescent="0.2">
      <c r="A31" s="221">
        <v>68032</v>
      </c>
      <c r="B31" s="153" t="s">
        <v>144</v>
      </c>
      <c r="C31" s="146" t="s">
        <v>113</v>
      </c>
      <c r="D31" s="27">
        <f>'13'!$F$17</f>
        <v>3</v>
      </c>
      <c r="E31" s="27">
        <f>'13'!$F$28</f>
        <v>3</v>
      </c>
      <c r="F31" s="27">
        <f>'13'!$F$39</f>
        <v>0</v>
      </c>
      <c r="G31" s="27">
        <f>'13'!$F$50</f>
        <v>4</v>
      </c>
      <c r="H31" s="27">
        <f>'13'!$F$61</f>
        <v>0</v>
      </c>
      <c r="I31" s="27">
        <f>'13'!$F$72</f>
        <v>0</v>
      </c>
      <c r="J31" s="27">
        <f>'13'!$F$83</f>
        <v>0</v>
      </c>
      <c r="K31" s="27">
        <f>'13'!$F$101</f>
        <v>2</v>
      </c>
      <c r="L31" s="27">
        <f>'13'!$F$112</f>
        <v>0</v>
      </c>
      <c r="M31" s="27">
        <f>'13'!$F$123</f>
        <v>0</v>
      </c>
      <c r="N31" s="27">
        <f>'13'!$F$134</f>
        <v>3</v>
      </c>
      <c r="O31" s="27">
        <f>'13'!$F$145</f>
        <v>2</v>
      </c>
      <c r="P31" s="27">
        <f>'13'!$F$156</f>
        <v>0</v>
      </c>
      <c r="Q31" s="27">
        <f>'13'!$F$167</f>
        <v>2</v>
      </c>
      <c r="R31" s="27">
        <f>'13'!$F$185</f>
        <v>0</v>
      </c>
      <c r="S31" s="27">
        <f>'13'!$F$196</f>
        <v>0</v>
      </c>
      <c r="T31" s="27">
        <f>'13'!$F$207</f>
        <v>0</v>
      </c>
      <c r="U31" s="27">
        <f>'13'!$F$218</f>
        <v>0</v>
      </c>
      <c r="V31" s="27">
        <f>'13'!$F$229</f>
        <v>0</v>
      </c>
      <c r="W31" s="27">
        <f>'13'!$F$240</f>
        <v>0</v>
      </c>
      <c r="X31" s="27">
        <f>'13'!$F$251</f>
        <v>0</v>
      </c>
      <c r="Y31" s="27">
        <f>'13'!$F$269</f>
        <v>0</v>
      </c>
      <c r="Z31" s="27">
        <f>'13'!$F$280</f>
        <v>0</v>
      </c>
      <c r="AA31" s="27">
        <f>'13'!$F$291</f>
        <v>0</v>
      </c>
      <c r="AB31" s="27">
        <f>'13'!$F$302</f>
        <v>0</v>
      </c>
      <c r="AC31" s="27">
        <f>'13'!$F$313</f>
        <v>4</v>
      </c>
      <c r="AD31" s="27">
        <f>'13'!$F$324</f>
        <v>0</v>
      </c>
      <c r="AE31" s="27">
        <f>'13'!$F$335</f>
        <v>0</v>
      </c>
      <c r="AF31" s="27">
        <f>'13'!$F$354</f>
        <v>1</v>
      </c>
      <c r="AG31" s="27">
        <f>'13'!$F$365</f>
        <v>2</v>
      </c>
      <c r="AH31" s="27">
        <f>'13'!$F$376</f>
        <v>0</v>
      </c>
      <c r="AI31" s="27">
        <f>'13'!$F$386</f>
        <v>0</v>
      </c>
      <c r="AJ31" s="27">
        <f>'13'!$F$398</f>
        <v>0</v>
      </c>
      <c r="AK31" s="27">
        <f>'13'!$F$409</f>
        <v>0</v>
      </c>
      <c r="AL31" s="27">
        <f>'13'!$F$420</f>
        <v>0</v>
      </c>
      <c r="AM31" s="64">
        <f t="shared" ref="AM31:AM32" si="16">SUM(D31:AL31)</f>
        <v>26</v>
      </c>
      <c r="AN31" s="159">
        <f>AM31*$AN$4</f>
        <v>2080</v>
      </c>
      <c r="AO31" s="163"/>
      <c r="AP31" s="411">
        <f t="shared" ref="AP31" si="17">SUM(AN31:AO32)</f>
        <v>2380</v>
      </c>
      <c r="AQ31" s="413">
        <v>0</v>
      </c>
      <c r="AR31" s="408">
        <f>SUM(AP31:AQ32)</f>
        <v>2380</v>
      </c>
    </row>
    <row r="32" spans="1:44" ht="21.95" customHeight="1" thickBot="1" x14ac:dyDescent="0.25">
      <c r="A32" s="223" t="s">
        <v>132</v>
      </c>
      <c r="B32" s="154" t="s">
        <v>146</v>
      </c>
      <c r="C32" s="58" t="s">
        <v>114</v>
      </c>
      <c r="D32" s="28">
        <f>'13'!$G$17</f>
        <v>0</v>
      </c>
      <c r="E32" s="28">
        <f>'13'!$G$28</f>
        <v>1</v>
      </c>
      <c r="F32" s="28">
        <f>'13'!$G$39</f>
        <v>0</v>
      </c>
      <c r="G32" s="28">
        <f>'13'!$G$50</f>
        <v>1</v>
      </c>
      <c r="H32" s="28">
        <f>'13'!$G$61</f>
        <v>0</v>
      </c>
      <c r="I32" s="28">
        <f>'13'!$G$72</f>
        <v>0</v>
      </c>
      <c r="J32" s="28">
        <f>'13'!$G$83</f>
        <v>0</v>
      </c>
      <c r="K32" s="28">
        <f>'13'!$G$101</f>
        <v>0</v>
      </c>
      <c r="L32" s="28">
        <f>'13'!$G$112</f>
        <v>0</v>
      </c>
      <c r="M32" s="28">
        <f>'13'!$G$123</f>
        <v>0</v>
      </c>
      <c r="N32" s="28">
        <f>'13'!$G$134</f>
        <v>1</v>
      </c>
      <c r="O32" s="28">
        <f>'13'!$G$145</f>
        <v>0</v>
      </c>
      <c r="P32" s="28">
        <f>'13'!$G$156</f>
        <v>0</v>
      </c>
      <c r="Q32" s="28">
        <f>'13'!$G$167</f>
        <v>0</v>
      </c>
      <c r="R32" s="28">
        <f>'13'!$G$185</f>
        <v>0</v>
      </c>
      <c r="S32" s="28">
        <f>'13'!$G$196</f>
        <v>0</v>
      </c>
      <c r="T32" s="28">
        <f>'13'!$G$207</f>
        <v>0</v>
      </c>
      <c r="U32" s="28">
        <f>'13'!$G$218</f>
        <v>0</v>
      </c>
      <c r="V32" s="28">
        <f>'13'!$G$229</f>
        <v>0</v>
      </c>
      <c r="W32" s="28">
        <f>'13'!$G$240</f>
        <v>0</v>
      </c>
      <c r="X32" s="28">
        <f>'13'!$G$251</f>
        <v>0</v>
      </c>
      <c r="Y32" s="28">
        <f>'13'!$G$269</f>
        <v>0</v>
      </c>
      <c r="Z32" s="28">
        <f>'13'!$G$280</f>
        <v>0</v>
      </c>
      <c r="AA32" s="28">
        <f>'13'!$G$291</f>
        <v>0</v>
      </c>
      <c r="AB32" s="28">
        <f>'13'!$G$302</f>
        <v>0</v>
      </c>
      <c r="AC32" s="28">
        <f>'13'!$G$313</f>
        <v>0</v>
      </c>
      <c r="AD32" s="28">
        <f>'13'!$G$324</f>
        <v>0</v>
      </c>
      <c r="AE32" s="28">
        <f>'13'!$G$335</f>
        <v>0</v>
      </c>
      <c r="AF32" s="28">
        <f>'13'!$G$354</f>
        <v>0</v>
      </c>
      <c r="AG32" s="28">
        <f>'13'!$G$365</f>
        <v>0</v>
      </c>
      <c r="AH32" s="28">
        <f>'13'!$G$376</f>
        <v>0</v>
      </c>
      <c r="AI32" s="28">
        <f>'13'!$G$386</f>
        <v>0</v>
      </c>
      <c r="AJ32" s="28">
        <f>'13'!$G$398</f>
        <v>0</v>
      </c>
      <c r="AK32" s="28">
        <f>'13'!$G$409</f>
        <v>0</v>
      </c>
      <c r="AL32" s="28">
        <f>'13'!$G$420</f>
        <v>0</v>
      </c>
      <c r="AM32" s="67">
        <f t="shared" si="16"/>
        <v>3</v>
      </c>
      <c r="AN32" s="164"/>
      <c r="AO32" s="161">
        <f>AM32*100</f>
        <v>300</v>
      </c>
      <c r="AP32" s="412"/>
      <c r="AQ32" s="414"/>
      <c r="AR32" s="409"/>
    </row>
    <row r="33" spans="1:44" s="156" customFormat="1" ht="21.95" customHeight="1" x14ac:dyDescent="0.2">
      <c r="A33" s="155">
        <v>67072</v>
      </c>
      <c r="B33" s="147" t="s">
        <v>121</v>
      </c>
      <c r="C33" s="148" t="s">
        <v>113</v>
      </c>
      <c r="D33" s="27">
        <f>'14'!$F$17</f>
        <v>0</v>
      </c>
      <c r="E33" s="27">
        <f>'14'!$F$28</f>
        <v>0</v>
      </c>
      <c r="F33" s="27">
        <f>'14'!$F$39</f>
        <v>0</v>
      </c>
      <c r="G33" s="27">
        <f>'14'!$F$50</f>
        <v>0</v>
      </c>
      <c r="H33" s="27">
        <f>'14'!$F$61</f>
        <v>0</v>
      </c>
      <c r="I33" s="27">
        <f>'14'!$F$72</f>
        <v>0</v>
      </c>
      <c r="J33" s="27">
        <f>'14'!$F$83</f>
        <v>0</v>
      </c>
      <c r="K33" s="27">
        <f>'14'!$F$101</f>
        <v>1</v>
      </c>
      <c r="L33" s="27">
        <f>'14'!$F$112</f>
        <v>0</v>
      </c>
      <c r="M33" s="27">
        <f>'14'!$F$123</f>
        <v>0</v>
      </c>
      <c r="N33" s="27">
        <f>'14'!$F$134</f>
        <v>0</v>
      </c>
      <c r="O33" s="27">
        <f>'14'!$F$145</f>
        <v>0</v>
      </c>
      <c r="P33" s="27">
        <f>'14'!$F$156</f>
        <v>0</v>
      </c>
      <c r="Q33" s="27">
        <f>'14'!$F$167</f>
        <v>0</v>
      </c>
      <c r="R33" s="27">
        <f>'14'!$F$185</f>
        <v>2</v>
      </c>
      <c r="S33" s="27">
        <f>'14'!$F$196</f>
        <v>0</v>
      </c>
      <c r="T33" s="27">
        <f>'14'!$F$207</f>
        <v>0</v>
      </c>
      <c r="U33" s="27">
        <f>'14'!$F$218</f>
        <v>0</v>
      </c>
      <c r="V33" s="27">
        <f>'14'!$F$229</f>
        <v>0</v>
      </c>
      <c r="W33" s="27">
        <f>'14'!$F$240</f>
        <v>0</v>
      </c>
      <c r="X33" s="27">
        <f>'14'!$F$251</f>
        <v>0</v>
      </c>
      <c r="Y33" s="27">
        <f>'14'!$F$269</f>
        <v>0</v>
      </c>
      <c r="Z33" s="27">
        <f>'14'!$F$280</f>
        <v>0</v>
      </c>
      <c r="AA33" s="27">
        <f>'14'!$F$291</f>
        <v>0</v>
      </c>
      <c r="AB33" s="27">
        <f>'14'!$F$302</f>
        <v>0</v>
      </c>
      <c r="AC33" s="27">
        <f>'14'!$F$313</f>
        <v>0</v>
      </c>
      <c r="AD33" s="27">
        <f>'14'!$F$324</f>
        <v>0</v>
      </c>
      <c r="AE33" s="27">
        <f>'14'!$F$335</f>
        <v>0</v>
      </c>
      <c r="AF33" s="27">
        <f>'14'!$F$354</f>
        <v>0</v>
      </c>
      <c r="AG33" s="27">
        <f>'14'!$F$365</f>
        <v>0</v>
      </c>
      <c r="AH33" s="27">
        <f>'14'!$F$376</f>
        <v>0</v>
      </c>
      <c r="AI33" s="27">
        <f>'14'!$F$386</f>
        <v>0</v>
      </c>
      <c r="AJ33" s="27">
        <f>'14'!$F$398</f>
        <v>0</v>
      </c>
      <c r="AK33" s="27">
        <f>'14'!$F$409</f>
        <v>0</v>
      </c>
      <c r="AL33" s="27">
        <f>'14'!$F$420</f>
        <v>0</v>
      </c>
      <c r="AM33" s="149">
        <f t="shared" ref="AM33:AM34" si="18">SUM(D33:AL33)</f>
        <v>3</v>
      </c>
      <c r="AN33" s="165">
        <f>AM33*$AN$4</f>
        <v>240</v>
      </c>
      <c r="AO33" s="166"/>
      <c r="AP33" s="477">
        <f t="shared" ref="AP33" si="19">SUM(AN33:AO34)</f>
        <v>240</v>
      </c>
      <c r="AQ33" s="479">
        <v>0</v>
      </c>
      <c r="AR33" s="377">
        <f>SUM(AP33:AQ34)</f>
        <v>240</v>
      </c>
    </row>
    <row r="34" spans="1:44" s="156" customFormat="1" ht="21.95" customHeight="1" thickBot="1" x14ac:dyDescent="0.25">
      <c r="A34" s="157" t="s">
        <v>132</v>
      </c>
      <c r="B34" s="150" t="s">
        <v>147</v>
      </c>
      <c r="C34" s="151" t="s">
        <v>114</v>
      </c>
      <c r="D34" s="28">
        <f>'14'!$G$17</f>
        <v>0</v>
      </c>
      <c r="E34" s="28">
        <f>'14'!$G$28</f>
        <v>0</v>
      </c>
      <c r="F34" s="28">
        <f>'14'!$G$39</f>
        <v>0</v>
      </c>
      <c r="G34" s="28">
        <f>'14'!$G$50</f>
        <v>0</v>
      </c>
      <c r="H34" s="28">
        <f>'14'!$G$61</f>
        <v>0</v>
      </c>
      <c r="I34" s="28">
        <f>'14'!$G$72</f>
        <v>0</v>
      </c>
      <c r="J34" s="28">
        <f>'14'!$G$83</f>
        <v>0</v>
      </c>
      <c r="K34" s="28">
        <f>'14'!$G$101</f>
        <v>0</v>
      </c>
      <c r="L34" s="28">
        <f>'14'!$G$112</f>
        <v>0</v>
      </c>
      <c r="M34" s="28">
        <f>'14'!$G$123</f>
        <v>0</v>
      </c>
      <c r="N34" s="28">
        <f>'14'!$G$134</f>
        <v>0</v>
      </c>
      <c r="O34" s="28">
        <f>'14'!$G$145</f>
        <v>0</v>
      </c>
      <c r="P34" s="28">
        <f>'14'!$G$156</f>
        <v>0</v>
      </c>
      <c r="Q34" s="28">
        <f>'14'!$G$167</f>
        <v>0</v>
      </c>
      <c r="R34" s="28">
        <f>'14'!$G$185</f>
        <v>0</v>
      </c>
      <c r="S34" s="28">
        <f>'14'!$G$196</f>
        <v>0</v>
      </c>
      <c r="T34" s="28">
        <f>'14'!$G$207</f>
        <v>0</v>
      </c>
      <c r="U34" s="28">
        <f>'14'!$G$218</f>
        <v>0</v>
      </c>
      <c r="V34" s="28">
        <f>'14'!$G$229</f>
        <v>0</v>
      </c>
      <c r="W34" s="28">
        <f>'14'!$G$240</f>
        <v>0</v>
      </c>
      <c r="X34" s="28">
        <f>'14'!$G$251</f>
        <v>0</v>
      </c>
      <c r="Y34" s="28">
        <f>'14'!$G$269</f>
        <v>0</v>
      </c>
      <c r="Z34" s="28">
        <f>'14'!$G$280</f>
        <v>0</v>
      </c>
      <c r="AA34" s="28">
        <f>'14'!$G$291</f>
        <v>0</v>
      </c>
      <c r="AB34" s="28">
        <f>'14'!$G$302</f>
        <v>0</v>
      </c>
      <c r="AC34" s="28">
        <f>'14'!$G$313</f>
        <v>0</v>
      </c>
      <c r="AD34" s="28">
        <f>'14'!$G$324</f>
        <v>0</v>
      </c>
      <c r="AE34" s="28">
        <f>'14'!$G$335</f>
        <v>0</v>
      </c>
      <c r="AF34" s="28">
        <f>'14'!$G$354</f>
        <v>0</v>
      </c>
      <c r="AG34" s="28">
        <f>'14'!$G$365</f>
        <v>0</v>
      </c>
      <c r="AH34" s="28">
        <f>'14'!$G$376</f>
        <v>0</v>
      </c>
      <c r="AI34" s="28">
        <f>'14'!$G$386</f>
        <v>0</v>
      </c>
      <c r="AJ34" s="28">
        <f>'14'!$G$398</f>
        <v>0</v>
      </c>
      <c r="AK34" s="28">
        <f>'14'!$G$409</f>
        <v>0</v>
      </c>
      <c r="AL34" s="28">
        <f>'14'!$G$420</f>
        <v>0</v>
      </c>
      <c r="AM34" s="152">
        <f t="shared" si="18"/>
        <v>0</v>
      </c>
      <c r="AN34" s="167"/>
      <c r="AO34" s="168">
        <f>AM34*100</f>
        <v>0</v>
      </c>
      <c r="AP34" s="478"/>
      <c r="AQ34" s="480"/>
      <c r="AR34" s="378"/>
    </row>
    <row r="35" spans="1:44" ht="21.95" hidden="1" customHeight="1" x14ac:dyDescent="0.2">
      <c r="A35" s="221"/>
      <c r="B35" s="153"/>
      <c r="C35" s="146" t="s">
        <v>113</v>
      </c>
      <c r="D35" s="27">
        <f>'15'!$F$17</f>
        <v>0</v>
      </c>
      <c r="E35" s="27">
        <f>'15'!$F$28</f>
        <v>0</v>
      </c>
      <c r="F35" s="27">
        <f>'15'!$F$39</f>
        <v>0</v>
      </c>
      <c r="G35" s="27">
        <f>'15'!$F$50</f>
        <v>0</v>
      </c>
      <c r="H35" s="27">
        <f>'15'!$F$61</f>
        <v>0</v>
      </c>
      <c r="I35" s="27">
        <f>'15'!$F$72</f>
        <v>0</v>
      </c>
      <c r="J35" s="27">
        <f>'15'!$F$83</f>
        <v>0</v>
      </c>
      <c r="K35" s="27">
        <f>'15'!$F$101</f>
        <v>0</v>
      </c>
      <c r="L35" s="27">
        <f>'15'!$F$112</f>
        <v>0</v>
      </c>
      <c r="M35" s="27">
        <f>'15'!$F$123</f>
        <v>0</v>
      </c>
      <c r="N35" s="27">
        <f>'15'!$F$134</f>
        <v>0</v>
      </c>
      <c r="O35" s="27">
        <f>'15'!$F$145</f>
        <v>0</v>
      </c>
      <c r="P35" s="27">
        <f>'15'!$F$156</f>
        <v>0</v>
      </c>
      <c r="Q35" s="27">
        <f>'15'!$F$167</f>
        <v>0</v>
      </c>
      <c r="R35" s="27">
        <f>'15'!$F$185</f>
        <v>0</v>
      </c>
      <c r="S35" s="27">
        <f>'15'!$F$196</f>
        <v>0</v>
      </c>
      <c r="T35" s="27">
        <f>'15'!$F$207</f>
        <v>0</v>
      </c>
      <c r="U35" s="27">
        <f>'15'!$F$218</f>
        <v>0</v>
      </c>
      <c r="V35" s="27">
        <f>'15'!$F$229</f>
        <v>0</v>
      </c>
      <c r="W35" s="27">
        <f>'15'!$F$240</f>
        <v>0</v>
      </c>
      <c r="X35" s="27">
        <f>'15'!$F$251</f>
        <v>0</v>
      </c>
      <c r="Y35" s="27">
        <f>'15'!$F$269</f>
        <v>0</v>
      </c>
      <c r="Z35" s="27">
        <f>'15'!$F$280</f>
        <v>0</v>
      </c>
      <c r="AA35" s="27">
        <f>'15'!$F$291</f>
        <v>0</v>
      </c>
      <c r="AB35" s="27">
        <f>'15'!$F$302</f>
        <v>0</v>
      </c>
      <c r="AC35" s="27">
        <f>'15'!$F$313</f>
        <v>0</v>
      </c>
      <c r="AD35" s="27">
        <f>'15'!$F$324</f>
        <v>0</v>
      </c>
      <c r="AE35" s="27">
        <f>'15'!$F$335</f>
        <v>0</v>
      </c>
      <c r="AF35" s="27">
        <f>'15'!$F$354</f>
        <v>0</v>
      </c>
      <c r="AG35" s="27">
        <f>'15'!$F$365</f>
        <v>0</v>
      </c>
      <c r="AH35" s="27">
        <f>'15'!$F$376</f>
        <v>0</v>
      </c>
      <c r="AI35" s="27">
        <f>'15'!$F$386</f>
        <v>0</v>
      </c>
      <c r="AJ35" s="27">
        <f>'15'!$F$398</f>
        <v>0</v>
      </c>
      <c r="AK35" s="27">
        <f>'15'!$F$409</f>
        <v>0</v>
      </c>
      <c r="AL35" s="27">
        <f>'15'!$F$420</f>
        <v>0</v>
      </c>
      <c r="AM35" s="64">
        <f t="shared" ref="AM35:AM36" si="20">SUM(D35:AL35)</f>
        <v>0</v>
      </c>
      <c r="AN35" s="159">
        <f>AM35*$AN$4</f>
        <v>0</v>
      </c>
      <c r="AO35" s="163"/>
      <c r="AP35" s="411">
        <f t="shared" ref="AP35" si="21">SUM(AN35:AO36)</f>
        <v>0</v>
      </c>
      <c r="AQ35" s="413">
        <v>0</v>
      </c>
      <c r="AR35" s="408">
        <f>SUM(AP35:AQ36)</f>
        <v>0</v>
      </c>
    </row>
    <row r="36" spans="1:44" ht="21.95" hidden="1" customHeight="1" thickBot="1" x14ac:dyDescent="0.25">
      <c r="A36" s="223" t="s">
        <v>132</v>
      </c>
      <c r="B36" s="154" t="s">
        <v>148</v>
      </c>
      <c r="C36" s="58" t="s">
        <v>114</v>
      </c>
      <c r="D36" s="28">
        <f>'15'!$G$17</f>
        <v>0</v>
      </c>
      <c r="E36" s="28">
        <f>'15'!$G$28</f>
        <v>0</v>
      </c>
      <c r="F36" s="28">
        <f>'15'!$G$39</f>
        <v>0</v>
      </c>
      <c r="G36" s="28">
        <f>'15'!$G$50</f>
        <v>0</v>
      </c>
      <c r="H36" s="28">
        <f>'15'!$G$61</f>
        <v>0</v>
      </c>
      <c r="I36" s="28">
        <f>'15'!$G$72</f>
        <v>0</v>
      </c>
      <c r="J36" s="28">
        <f>'15'!$G$83</f>
        <v>0</v>
      </c>
      <c r="K36" s="28">
        <f>'15'!$G$101</f>
        <v>0</v>
      </c>
      <c r="L36" s="28">
        <f>'15'!$G$112</f>
        <v>0</v>
      </c>
      <c r="M36" s="28">
        <f>'15'!$G$123</f>
        <v>0</v>
      </c>
      <c r="N36" s="28">
        <f>'15'!$G$134</f>
        <v>0</v>
      </c>
      <c r="O36" s="28">
        <f>'15'!$G$145</f>
        <v>0</v>
      </c>
      <c r="P36" s="28">
        <f>'15'!$G$156</f>
        <v>0</v>
      </c>
      <c r="Q36" s="28">
        <f>'15'!$G$167</f>
        <v>0</v>
      </c>
      <c r="R36" s="28">
        <f>'15'!$G$185</f>
        <v>0</v>
      </c>
      <c r="S36" s="28">
        <f>'15'!$G$196</f>
        <v>0</v>
      </c>
      <c r="T36" s="28">
        <f>'15'!$G$207</f>
        <v>0</v>
      </c>
      <c r="U36" s="28">
        <f>'15'!$G$218</f>
        <v>0</v>
      </c>
      <c r="V36" s="28">
        <f>'15'!$G$229</f>
        <v>0</v>
      </c>
      <c r="W36" s="28">
        <f>'15'!$G$240</f>
        <v>0</v>
      </c>
      <c r="X36" s="28">
        <f>'15'!$G$251</f>
        <v>0</v>
      </c>
      <c r="Y36" s="28">
        <f>'15'!$G$269</f>
        <v>0</v>
      </c>
      <c r="Z36" s="28">
        <f>'15'!$G$280</f>
        <v>0</v>
      </c>
      <c r="AA36" s="28">
        <f>'15'!$G$291</f>
        <v>0</v>
      </c>
      <c r="AB36" s="28">
        <f>'15'!$G$302</f>
        <v>0</v>
      </c>
      <c r="AC36" s="28">
        <f>'15'!$G$313</f>
        <v>0</v>
      </c>
      <c r="AD36" s="28">
        <f>'15'!$G$324</f>
        <v>0</v>
      </c>
      <c r="AE36" s="28">
        <f>'15'!$G$335</f>
        <v>0</v>
      </c>
      <c r="AF36" s="28">
        <f>'15'!$G$354</f>
        <v>0</v>
      </c>
      <c r="AG36" s="28">
        <f>'15'!$G$365</f>
        <v>0</v>
      </c>
      <c r="AH36" s="28">
        <f>'15'!$G$376</f>
        <v>0</v>
      </c>
      <c r="AI36" s="28">
        <f>'15'!$G$386</f>
        <v>0</v>
      </c>
      <c r="AJ36" s="28">
        <f>'15'!$G$398</f>
        <v>0</v>
      </c>
      <c r="AK36" s="28">
        <f>'15'!$G$409</f>
        <v>0</v>
      </c>
      <c r="AL36" s="28">
        <f>'15'!$G$420</f>
        <v>0</v>
      </c>
      <c r="AM36" s="67">
        <f t="shared" si="20"/>
        <v>0</v>
      </c>
      <c r="AN36" s="164"/>
      <c r="AO36" s="161">
        <f>AM36*100</f>
        <v>0</v>
      </c>
      <c r="AP36" s="412"/>
      <c r="AQ36" s="414"/>
      <c r="AR36" s="409"/>
    </row>
    <row r="37" spans="1:44" ht="21.95" hidden="1" customHeight="1" x14ac:dyDescent="0.2">
      <c r="A37" s="463"/>
      <c r="B37" s="441"/>
      <c r="C37" s="146" t="s">
        <v>113</v>
      </c>
      <c r="D37" s="27">
        <f>รถโม่เสริม!F17</f>
        <v>0</v>
      </c>
      <c r="E37" s="27">
        <f>รถโม่เสริม!$F$28</f>
        <v>0</v>
      </c>
      <c r="F37" s="27">
        <f>รถโม่เสริม!$F$39</f>
        <v>0</v>
      </c>
      <c r="G37" s="27">
        <f>รถโม่เสริม!$F$50</f>
        <v>0</v>
      </c>
      <c r="H37" s="27">
        <f>รถโม่เสริม!$F$61</f>
        <v>0</v>
      </c>
      <c r="I37" s="27">
        <f>รถโม่เสริม!$F$72</f>
        <v>0</v>
      </c>
      <c r="J37" s="27">
        <f>รถโม่เสริม!$F$83</f>
        <v>0</v>
      </c>
      <c r="K37" s="27">
        <f>รถโม่เสริม!$F$101</f>
        <v>0</v>
      </c>
      <c r="L37" s="27">
        <f>รถโม่เสริม!$F$112</f>
        <v>0</v>
      </c>
      <c r="M37" s="27">
        <f>รถโม่เสริม!$F$123</f>
        <v>0</v>
      </c>
      <c r="N37" s="27">
        <f>รถโม่เสริม!$F$134</f>
        <v>0</v>
      </c>
      <c r="O37" s="27">
        <f>รถโม่เสริม!$F$145</f>
        <v>0</v>
      </c>
      <c r="P37" s="27">
        <f>รถโม่เสริม!$F$156</f>
        <v>0</v>
      </c>
      <c r="Q37" s="27">
        <f>รถโม่เสริม!$F$167</f>
        <v>0</v>
      </c>
      <c r="R37" s="27">
        <f>รถโม่เสริม!$F$186</f>
        <v>0</v>
      </c>
      <c r="S37" s="27">
        <f>รถโม่เสริม!$F$197</f>
        <v>0</v>
      </c>
      <c r="T37" s="27">
        <f>รถโม่เสริม!$F$208</f>
        <v>0</v>
      </c>
      <c r="U37" s="27">
        <f>รถโม่เสริม!$F$219</f>
        <v>0</v>
      </c>
      <c r="V37" s="27">
        <f>รถโม่เสริม!$F$230</f>
        <v>0</v>
      </c>
      <c r="W37" s="27">
        <f>รถโม่เสริม!$F$241</f>
        <v>0</v>
      </c>
      <c r="X37" s="27">
        <f>รถโม่เสริม!$F$252</f>
        <v>0</v>
      </c>
      <c r="Y37" s="27">
        <f>รถโม่เสริม!$F$270</f>
        <v>0</v>
      </c>
      <c r="Z37" s="27">
        <f>รถโม่เสริม!$F$281</f>
        <v>0</v>
      </c>
      <c r="AA37" s="27">
        <f>รถโม่เสริม!$F$292</f>
        <v>0</v>
      </c>
      <c r="AB37" s="27">
        <f>รถโม่เสริม!$F$303</f>
        <v>0</v>
      </c>
      <c r="AC37" s="27">
        <f>รถโม่เสริม!$F$314</f>
        <v>0</v>
      </c>
      <c r="AD37" s="27">
        <f>รถโม่เสริม!$F$325</f>
        <v>0</v>
      </c>
      <c r="AE37" s="27">
        <f>รถโม่เสริม!$F$336</f>
        <v>0</v>
      </c>
      <c r="AF37" s="27">
        <f>รถโม่เสริม!$F$354</f>
        <v>0</v>
      </c>
      <c r="AG37" s="27">
        <f>รถโม่เสริม!$F$365</f>
        <v>0</v>
      </c>
      <c r="AH37" s="27">
        <f>รถโม่เสริม!F376</f>
        <v>0</v>
      </c>
      <c r="AI37" s="27">
        <f>รถโม่เสริม!F387</f>
        <v>0</v>
      </c>
      <c r="AJ37" s="27">
        <f>รถโม่เสริม!F398</f>
        <v>0</v>
      </c>
      <c r="AK37" s="27">
        <f>รถโม่เสริม!F409</f>
        <v>0</v>
      </c>
      <c r="AL37" s="27">
        <f>รถโม่เสริม!F420</f>
        <v>0</v>
      </c>
      <c r="AM37" s="64">
        <f t="shared" si="0"/>
        <v>0</v>
      </c>
      <c r="AN37" s="159">
        <f>AM37*$AN$4</f>
        <v>0</v>
      </c>
      <c r="AO37" s="163"/>
      <c r="AP37" s="411">
        <f t="shared" ref="AP37" si="22">SUM(AN37:AO38)</f>
        <v>0</v>
      </c>
      <c r="AQ37" s="413">
        <v>0</v>
      </c>
      <c r="AR37" s="408">
        <f>SUM(AP37:AQ38)</f>
        <v>0</v>
      </c>
    </row>
    <row r="38" spans="1:44" ht="21.95" hidden="1" customHeight="1" thickBot="1" x14ac:dyDescent="0.25">
      <c r="A38" s="382"/>
      <c r="B38" s="442"/>
      <c r="C38" s="58" t="s">
        <v>114</v>
      </c>
      <c r="D38" s="28">
        <f>รถโม่เสริม!G17</f>
        <v>0</v>
      </c>
      <c r="E38" s="28">
        <f>รถโม่เสริม!$G$28</f>
        <v>0</v>
      </c>
      <c r="F38" s="28">
        <f>รถโม่เสริม!$G$39</f>
        <v>0</v>
      </c>
      <c r="G38" s="28">
        <f>รถโม่เสริม!$G$50</f>
        <v>0</v>
      </c>
      <c r="H38" s="28">
        <f>รถโม่เสริม!$G$61</f>
        <v>0</v>
      </c>
      <c r="I38" s="28">
        <f>รถโม่เสริม!$G$72</f>
        <v>0</v>
      </c>
      <c r="J38" s="28">
        <f>รถโม่เสริม!$G$83</f>
        <v>0</v>
      </c>
      <c r="K38" s="28">
        <f>รถโม่เสริม!$G$101</f>
        <v>0</v>
      </c>
      <c r="L38" s="28">
        <f>รถโม่เสริม!$G$112</f>
        <v>0</v>
      </c>
      <c r="M38" s="28">
        <f>รถโม่เสริม!$G$123</f>
        <v>0</v>
      </c>
      <c r="N38" s="28">
        <f>รถโม่เสริม!$G$134</f>
        <v>0</v>
      </c>
      <c r="O38" s="28">
        <f>รถโม่เสริม!$G$145</f>
        <v>0</v>
      </c>
      <c r="P38" s="28">
        <f>รถโม่เสริม!$G$156</f>
        <v>0</v>
      </c>
      <c r="Q38" s="28">
        <f>รถโม่เสริม!$G$167</f>
        <v>0</v>
      </c>
      <c r="R38" s="28">
        <f>รถโม่เสริม!$G$186</f>
        <v>0</v>
      </c>
      <c r="S38" s="28">
        <f>รถโม่เสริม!$G$197</f>
        <v>0</v>
      </c>
      <c r="T38" s="28">
        <f>รถโม่เสริม!$G$208</f>
        <v>0</v>
      </c>
      <c r="U38" s="28">
        <f>รถโม่เสริม!$G$219</f>
        <v>0</v>
      </c>
      <c r="V38" s="28">
        <f>รถโม่เสริม!$G$230</f>
        <v>0</v>
      </c>
      <c r="W38" s="28">
        <f>รถโม่เสริม!$G$241</f>
        <v>0</v>
      </c>
      <c r="X38" s="28">
        <f>รถโม่เสริม!$G$252</f>
        <v>0</v>
      </c>
      <c r="Y38" s="28">
        <f>รถโม่เสริม!$G$270</f>
        <v>0</v>
      </c>
      <c r="Z38" s="28">
        <f>รถโม่เสริม!$G$281</f>
        <v>0</v>
      </c>
      <c r="AA38" s="28">
        <f>รถโม่เสริม!$G$292</f>
        <v>0</v>
      </c>
      <c r="AB38" s="28">
        <f>รถโม่เสริม!$G$303</f>
        <v>0</v>
      </c>
      <c r="AC38" s="28">
        <f>รถโม่เสริม!$G$314</f>
        <v>0</v>
      </c>
      <c r="AD38" s="28">
        <f>รถโม่เสริม!$G$325</f>
        <v>0</v>
      </c>
      <c r="AE38" s="28">
        <f>รถโม่เสริม!$G$336</f>
        <v>0</v>
      </c>
      <c r="AF38" s="28">
        <f>รถโม่เสริม!$G$354</f>
        <v>0</v>
      </c>
      <c r="AG38" s="28">
        <f>รถโม่เสริม!$G$365</f>
        <v>0</v>
      </c>
      <c r="AH38" s="28">
        <f>รถโม่เสริม!G376</f>
        <v>0</v>
      </c>
      <c r="AI38" s="28">
        <f>รถโม่เสริม!G387</f>
        <v>0</v>
      </c>
      <c r="AJ38" s="28">
        <f>รถโม่เสริม!G398</f>
        <v>0</v>
      </c>
      <c r="AK38" s="28">
        <f>รถโม่เสริม!G409</f>
        <v>0</v>
      </c>
      <c r="AL38" s="28">
        <f>รถโม่เสริม!G420</f>
        <v>0</v>
      </c>
      <c r="AM38" s="67">
        <f t="shared" si="0"/>
        <v>0</v>
      </c>
      <c r="AN38" s="164"/>
      <c r="AO38" s="161">
        <f>AM38*100</f>
        <v>0</v>
      </c>
      <c r="AP38" s="412"/>
      <c r="AQ38" s="414"/>
      <c r="AR38" s="409"/>
    </row>
    <row r="39" spans="1:44" ht="24" customHeight="1" thickBot="1" x14ac:dyDescent="0.25">
      <c r="A39" s="461" t="s">
        <v>10</v>
      </c>
      <c r="B39" s="462"/>
      <c r="C39" s="462"/>
      <c r="D39" s="462"/>
      <c r="E39" s="462"/>
      <c r="F39" s="462"/>
      <c r="G39" s="462"/>
      <c r="H39" s="462"/>
      <c r="I39" s="462"/>
      <c r="J39" s="462"/>
      <c r="K39" s="462"/>
      <c r="L39" s="462"/>
      <c r="M39" s="462"/>
      <c r="N39" s="462"/>
      <c r="O39" s="462"/>
      <c r="P39" s="462"/>
      <c r="Q39" s="462"/>
      <c r="R39" s="462"/>
      <c r="S39" s="462"/>
      <c r="T39" s="462"/>
      <c r="U39" s="462"/>
      <c r="V39" s="462"/>
      <c r="W39" s="462"/>
      <c r="X39" s="462"/>
      <c r="Y39" s="462"/>
      <c r="Z39" s="462"/>
      <c r="AA39" s="462"/>
      <c r="AB39" s="462"/>
      <c r="AC39" s="462"/>
      <c r="AD39" s="462"/>
      <c r="AE39" s="462"/>
      <c r="AF39" s="462"/>
      <c r="AG39" s="462"/>
      <c r="AH39" s="462"/>
      <c r="AI39" s="462"/>
      <c r="AJ39" s="462"/>
      <c r="AK39" s="462"/>
      <c r="AL39" s="462"/>
      <c r="AM39" s="462"/>
      <c r="AN39" s="169">
        <f>SUM(AN7:AN38)</f>
        <v>92520</v>
      </c>
      <c r="AO39" s="169">
        <f>SUM(AO7:AO38)</f>
        <v>25200</v>
      </c>
      <c r="AP39" s="169">
        <f>SUM(AP7:AP38)</f>
        <v>117720</v>
      </c>
      <c r="AQ39" s="170">
        <f>SUM(AQ7:AQ38)</f>
        <v>9000</v>
      </c>
      <c r="AR39" s="180">
        <f>SUM(AR7:AR38)</f>
        <v>126720</v>
      </c>
    </row>
    <row r="40" spans="1:44" ht="21" customHeight="1" x14ac:dyDescent="0.2">
      <c r="A40" s="469" t="s">
        <v>149</v>
      </c>
      <c r="B40" s="470"/>
      <c r="C40" s="470"/>
      <c r="D40" s="470"/>
      <c r="E40" s="470"/>
      <c r="F40" s="470"/>
      <c r="G40" s="470"/>
      <c r="H40" s="470"/>
      <c r="I40" s="470"/>
      <c r="J40" s="470"/>
      <c r="K40" s="470"/>
      <c r="L40" s="470"/>
      <c r="M40" s="470"/>
      <c r="N40" s="470"/>
      <c r="O40" s="470"/>
      <c r="P40" s="470"/>
      <c r="Q40" s="470"/>
      <c r="R40" s="470"/>
      <c r="S40" s="470"/>
      <c r="T40" s="470"/>
      <c r="U40" s="470"/>
      <c r="V40" s="470"/>
      <c r="W40" s="470"/>
      <c r="X40" s="470"/>
      <c r="Y40" s="470"/>
      <c r="Z40" s="470"/>
      <c r="AA40" s="470"/>
      <c r="AB40" s="470"/>
      <c r="AC40" s="470"/>
      <c r="AD40" s="470"/>
      <c r="AE40" s="470"/>
      <c r="AF40" s="470"/>
      <c r="AG40" s="470"/>
      <c r="AH40" s="470"/>
      <c r="AI40" s="470"/>
      <c r="AJ40" s="470"/>
      <c r="AK40" s="470"/>
      <c r="AL40" s="471"/>
      <c r="AM40" s="475" t="s">
        <v>44</v>
      </c>
      <c r="AN40" s="209">
        <v>200</v>
      </c>
      <c r="AO40" s="209">
        <v>0</v>
      </c>
      <c r="AP40" s="481" t="s">
        <v>152</v>
      </c>
      <c r="AQ40" s="481" t="s">
        <v>106</v>
      </c>
      <c r="AR40" s="483" t="s">
        <v>48</v>
      </c>
    </row>
    <row r="41" spans="1:44" ht="21" customHeight="1" thickBot="1" x14ac:dyDescent="0.25">
      <c r="A41" s="472"/>
      <c r="B41" s="473"/>
      <c r="C41" s="473"/>
      <c r="D41" s="473"/>
      <c r="E41" s="473"/>
      <c r="F41" s="473"/>
      <c r="G41" s="473"/>
      <c r="H41" s="473"/>
      <c r="I41" s="473"/>
      <c r="J41" s="473"/>
      <c r="K41" s="473"/>
      <c r="L41" s="473"/>
      <c r="M41" s="473"/>
      <c r="N41" s="473"/>
      <c r="O41" s="473"/>
      <c r="P41" s="473"/>
      <c r="Q41" s="473"/>
      <c r="R41" s="473"/>
      <c r="S41" s="473"/>
      <c r="T41" s="473"/>
      <c r="U41" s="473"/>
      <c r="V41" s="473"/>
      <c r="W41" s="473"/>
      <c r="X41" s="473"/>
      <c r="Y41" s="473"/>
      <c r="Z41" s="473"/>
      <c r="AA41" s="473"/>
      <c r="AB41" s="473"/>
      <c r="AC41" s="473"/>
      <c r="AD41" s="473"/>
      <c r="AE41" s="473"/>
      <c r="AF41" s="473"/>
      <c r="AG41" s="473"/>
      <c r="AH41" s="473"/>
      <c r="AI41" s="473"/>
      <c r="AJ41" s="473"/>
      <c r="AK41" s="473"/>
      <c r="AL41" s="474"/>
      <c r="AM41" s="476"/>
      <c r="AN41" s="204" t="s">
        <v>43</v>
      </c>
      <c r="AO41" s="205" t="s">
        <v>43</v>
      </c>
      <c r="AP41" s="482"/>
      <c r="AQ41" s="482"/>
      <c r="AR41" s="484"/>
    </row>
    <row r="42" spans="1:44" ht="21.95" customHeight="1" x14ac:dyDescent="0.2">
      <c r="A42" s="221">
        <v>67072</v>
      </c>
      <c r="B42" s="62" t="s">
        <v>121</v>
      </c>
      <c r="C42" s="63" t="s">
        <v>153</v>
      </c>
      <c r="D42" s="27">
        <f>เทรลเลอร์1!E7</f>
        <v>3</v>
      </c>
      <c r="E42" s="27">
        <f>เทรลเลอร์1!E9</f>
        <v>3</v>
      </c>
      <c r="F42" s="27">
        <f>เทรลเลอร์1!E11</f>
        <v>3</v>
      </c>
      <c r="G42" s="27">
        <f>เทรลเลอร์1!E13</f>
        <v>2</v>
      </c>
      <c r="H42" s="27">
        <f>เทรลเลอร์1!E15</f>
        <v>2</v>
      </c>
      <c r="I42" s="27">
        <f>เทรลเลอร์1!E17</f>
        <v>3</v>
      </c>
      <c r="J42" s="27">
        <f>เทรลเลอร์1!E19</f>
        <v>2</v>
      </c>
      <c r="K42" s="27">
        <f>เทรลเลอร์1!E21</f>
        <v>3</v>
      </c>
      <c r="L42" s="27">
        <f>เทรลเลอร์1!E23</f>
        <v>0</v>
      </c>
      <c r="M42" s="27">
        <f>เทรลเลอร์1!E25</f>
        <v>0</v>
      </c>
      <c r="N42" s="27">
        <f>เทรลเลอร์1!E27</f>
        <v>0</v>
      </c>
      <c r="O42" s="27">
        <f>เทรลเลอร์1!E29</f>
        <v>0</v>
      </c>
      <c r="P42" s="27">
        <f>เทรลเลอร์1!E31</f>
        <v>0</v>
      </c>
      <c r="Q42" s="27">
        <f>เทรลเลอร์1!E33</f>
        <v>2</v>
      </c>
      <c r="R42" s="27">
        <f>เทรลเลอร์1!E35</f>
        <v>1</v>
      </c>
      <c r="S42" s="27">
        <f>เทรลเลอร์1!E37</f>
        <v>2</v>
      </c>
      <c r="T42" s="27">
        <f>เทรลเลอร์1!E39</f>
        <v>3</v>
      </c>
      <c r="U42" s="27">
        <f>เทรลเลอร์1!E50</f>
        <v>0</v>
      </c>
      <c r="V42" s="27">
        <f>เทรลเลอร์1!E52</f>
        <v>0</v>
      </c>
      <c r="W42" s="27">
        <f>เทรลเลอร์1!E54</f>
        <v>0</v>
      </c>
      <c r="X42" s="27">
        <f>เทรลเลอร์1!E56</f>
        <v>0</v>
      </c>
      <c r="Y42" s="27">
        <f>เทรลเลอร์1!E58</f>
        <v>4</v>
      </c>
      <c r="Z42" s="27">
        <f>เทรลเลอร์1!E60</f>
        <v>4</v>
      </c>
      <c r="AA42" s="27">
        <f>เทรลเลอร์1!E62</f>
        <v>4</v>
      </c>
      <c r="AB42" s="27">
        <f>เทรลเลอร์1!E64</f>
        <v>0</v>
      </c>
      <c r="AC42" s="27">
        <f>เทรลเลอร์1!E66</f>
        <v>3</v>
      </c>
      <c r="AD42" s="27">
        <f>เทรลเลอร์1!E68</f>
        <v>3</v>
      </c>
      <c r="AE42" s="27">
        <f>เทรลเลอร์1!E70</f>
        <v>3</v>
      </c>
      <c r="AF42" s="27">
        <f>เทรลเลอร์1!E72</f>
        <v>4</v>
      </c>
      <c r="AG42" s="27">
        <f>เทรลเลอร์1!E74</f>
        <v>4</v>
      </c>
      <c r="AH42" s="158">
        <f>เทรลเลอร์1!E76</f>
        <v>0</v>
      </c>
      <c r="AI42" s="158">
        <f>เทรลเลอร์1!E78</f>
        <v>0</v>
      </c>
      <c r="AJ42" s="158">
        <f>เทรลเลอร์1!E80</f>
        <v>0</v>
      </c>
      <c r="AK42" s="158">
        <f>เทรลเลอร์1!E82</f>
        <v>0</v>
      </c>
      <c r="AL42" s="27">
        <f>เทรลเลอร์1!E84</f>
        <v>0</v>
      </c>
      <c r="AM42" s="64">
        <f t="shared" ref="AM42:AM47" si="23">SUM(D42:AL42)</f>
        <v>58</v>
      </c>
      <c r="AN42" s="159">
        <f>AM42*$AN$40</f>
        <v>11600</v>
      </c>
      <c r="AO42" s="163"/>
      <c r="AP42" s="411">
        <f>SUM(AN42:AO43)</f>
        <v>11600</v>
      </c>
      <c r="AQ42" s="413">
        <v>1000</v>
      </c>
      <c r="AR42" s="408">
        <f>SUM(AP42:AQ43)</f>
        <v>12600</v>
      </c>
    </row>
    <row r="43" spans="1:44" ht="21.95" customHeight="1" thickBot="1" x14ac:dyDescent="0.25">
      <c r="A43" s="223" t="s">
        <v>132</v>
      </c>
      <c r="B43" s="145" t="s">
        <v>1743</v>
      </c>
      <c r="C43" s="66" t="s">
        <v>154</v>
      </c>
      <c r="D43" s="28">
        <f>เทรลเลอร์1!E8</f>
        <v>0</v>
      </c>
      <c r="E43" s="28">
        <f>เทรลเลอร์1!E10</f>
        <v>0</v>
      </c>
      <c r="F43" s="28">
        <f>เทรลเลอร์1!E12</f>
        <v>0</v>
      </c>
      <c r="G43" s="28">
        <f>เทรลเลอร์1!E14</f>
        <v>0</v>
      </c>
      <c r="H43" s="28">
        <f>เทรลเลอร์1!E16</f>
        <v>0</v>
      </c>
      <c r="I43" s="28">
        <f>เทรลเลอร์1!E18</f>
        <v>0</v>
      </c>
      <c r="J43" s="28">
        <f>เทรลเลอร์1!E20</f>
        <v>0</v>
      </c>
      <c r="K43" s="28">
        <f>เทรลเลอร์1!E22</f>
        <v>0</v>
      </c>
      <c r="L43" s="28">
        <f>เทรลเลอร์1!E24</f>
        <v>0</v>
      </c>
      <c r="M43" s="28">
        <f>เทรลเลอร์1!E26</f>
        <v>0</v>
      </c>
      <c r="N43" s="28">
        <f>เทรลเลอร์1!E28</f>
        <v>0</v>
      </c>
      <c r="O43" s="28">
        <f>เทรลเลอร์1!E30</f>
        <v>0</v>
      </c>
      <c r="P43" s="28">
        <f>เทรลเลอร์1!E32</f>
        <v>0</v>
      </c>
      <c r="Q43" s="28">
        <f>เทรลเลอร์1!E34</f>
        <v>0</v>
      </c>
      <c r="R43" s="28">
        <f>เทรลเลอร์1!E36</f>
        <v>0</v>
      </c>
      <c r="S43" s="28">
        <f>เทรลเลอร์1!E38</f>
        <v>0</v>
      </c>
      <c r="T43" s="28">
        <f>เทรลเลอร์1!E40</f>
        <v>0</v>
      </c>
      <c r="U43" s="28">
        <f>เทรลเลอร์1!E51</f>
        <v>0</v>
      </c>
      <c r="V43" s="28">
        <f>เทรลเลอร์1!E53</f>
        <v>0</v>
      </c>
      <c r="W43" s="28">
        <f>เทรลเลอร์1!E55</f>
        <v>0</v>
      </c>
      <c r="X43" s="28">
        <f>เทรลเลอร์1!E57</f>
        <v>0</v>
      </c>
      <c r="Y43" s="28">
        <f>เทรลเลอร์1!E59</f>
        <v>0</v>
      </c>
      <c r="Z43" s="28">
        <f>เทรลเลอร์1!E61</f>
        <v>0</v>
      </c>
      <c r="AA43" s="28">
        <f>เทรลเลอร์1!E63</f>
        <v>0</v>
      </c>
      <c r="AB43" s="28">
        <f>เทรลเลอร์1!E65</f>
        <v>0</v>
      </c>
      <c r="AC43" s="28">
        <f>เทรลเลอร์1!E67</f>
        <v>0</v>
      </c>
      <c r="AD43" s="28">
        <f>เทรลเลอร์1!E69</f>
        <v>0</v>
      </c>
      <c r="AE43" s="28">
        <f>เทรลเลอร์1!E71</f>
        <v>0</v>
      </c>
      <c r="AF43" s="28">
        <f>เทรลเลอร์1!E73</f>
        <v>0</v>
      </c>
      <c r="AG43" s="28">
        <f>เทรลเลอร์1!E75</f>
        <v>0</v>
      </c>
      <c r="AH43" s="28">
        <f>เทรลเลอร์1!E77</f>
        <v>0</v>
      </c>
      <c r="AI43" s="28">
        <f>เทรลเลอร์1!E79</f>
        <v>0</v>
      </c>
      <c r="AJ43" s="28">
        <f>เทรลเลอร์1!E81</f>
        <v>0</v>
      </c>
      <c r="AK43" s="28">
        <f>เทรลเลอร์1!E83</f>
        <v>0</v>
      </c>
      <c r="AL43" s="28">
        <f>เทรลเลอร์1!E84</f>
        <v>0</v>
      </c>
      <c r="AM43" s="67">
        <f t="shared" si="23"/>
        <v>0</v>
      </c>
      <c r="AN43" s="164"/>
      <c r="AO43" s="161">
        <f>AM43*AO40</f>
        <v>0</v>
      </c>
      <c r="AP43" s="412"/>
      <c r="AQ43" s="414"/>
      <c r="AR43" s="409"/>
    </row>
    <row r="44" spans="1:44" ht="21.95" customHeight="1" x14ac:dyDescent="0.2">
      <c r="A44" s="221">
        <v>65041</v>
      </c>
      <c r="B44" s="62" t="s">
        <v>95</v>
      </c>
      <c r="C44" s="63" t="s">
        <v>153</v>
      </c>
      <c r="D44" s="27">
        <f>เทรลเลอร์2!E7</f>
        <v>0</v>
      </c>
      <c r="E44" s="27">
        <f>เทรลเลอร์2!E9</f>
        <v>0</v>
      </c>
      <c r="F44" s="27">
        <f>เทรลเลอร์2!E11</f>
        <v>0</v>
      </c>
      <c r="G44" s="27">
        <f>เทรลเลอร์2!E13</f>
        <v>0</v>
      </c>
      <c r="H44" s="27">
        <f>เทรลเลอร์2!E15</f>
        <v>0</v>
      </c>
      <c r="I44" s="27">
        <f>เทรลเลอร์2!E17</f>
        <v>0</v>
      </c>
      <c r="J44" s="27">
        <f>เทรลเลอร์2!E19</f>
        <v>0</v>
      </c>
      <c r="K44" s="27">
        <f>เทรลเลอร์2!E21</f>
        <v>0</v>
      </c>
      <c r="L44" s="27">
        <f>เทรลเลอร์2!E23</f>
        <v>3</v>
      </c>
      <c r="M44" s="27">
        <f>เทรลเลอร์2!E25</f>
        <v>3</v>
      </c>
      <c r="N44" s="27">
        <f>เทรลเลอร์2!E27</f>
        <v>3</v>
      </c>
      <c r="O44" s="27">
        <f>เทรลเลอร์2!E29</f>
        <v>2</v>
      </c>
      <c r="P44" s="27">
        <f>เทรลเลอร์2!E31</f>
        <v>2</v>
      </c>
      <c r="Q44" s="27">
        <f>เทรลเลอร์2!E33</f>
        <v>0</v>
      </c>
      <c r="R44" s="27">
        <f>เทรลเลอร์2!E35</f>
        <v>0</v>
      </c>
      <c r="S44" s="27">
        <f>เทรลเลอร์2!E37</f>
        <v>0</v>
      </c>
      <c r="T44" s="27">
        <f>เทรลเลอร์2!E39</f>
        <v>0</v>
      </c>
      <c r="U44" s="27">
        <f>เทรลเลอร์2!E50</f>
        <v>0</v>
      </c>
      <c r="V44" s="27">
        <f>เทรลเลอร์2!E52</f>
        <v>0</v>
      </c>
      <c r="W44" s="27">
        <f>เทรลเลอร์2!E54</f>
        <v>0</v>
      </c>
      <c r="X44" s="27">
        <f>เทรลเลอร์2!E56</f>
        <v>0</v>
      </c>
      <c r="Y44" s="27">
        <f>เทรลเลอร์2!E58</f>
        <v>0</v>
      </c>
      <c r="Z44" s="27">
        <f>เทรลเลอร์2!E60</f>
        <v>0</v>
      </c>
      <c r="AA44" s="27">
        <f>เทรลเลอร์2!E62</f>
        <v>0</v>
      </c>
      <c r="AB44" s="27">
        <f>เทรลเลอร์2!E64</f>
        <v>0</v>
      </c>
      <c r="AC44" s="27">
        <f>เทรลเลอร์2!E66</f>
        <v>0</v>
      </c>
      <c r="AD44" s="27">
        <f>เทรลเลอร์2!E68</f>
        <v>0</v>
      </c>
      <c r="AE44" s="27">
        <f>เทรลเลอร์2!E70</f>
        <v>0</v>
      </c>
      <c r="AF44" s="27">
        <f>เทรลเลอร์2!E72</f>
        <v>0</v>
      </c>
      <c r="AG44" s="27">
        <f>เทรลเลอร์2!E74</f>
        <v>0</v>
      </c>
      <c r="AH44" s="158">
        <f>เทรลเลอร์2!E76</f>
        <v>0</v>
      </c>
      <c r="AI44" s="158">
        <f>เทรลเลอร์2!E78</f>
        <v>0</v>
      </c>
      <c r="AJ44" s="158">
        <f>เทรลเลอร์2!E80</f>
        <v>0</v>
      </c>
      <c r="AK44" s="158">
        <f>เทรลเลอร์2!E82</f>
        <v>0</v>
      </c>
      <c r="AL44" s="27">
        <f>เทรลเลอร์2!E84</f>
        <v>0</v>
      </c>
      <c r="AM44" s="64">
        <f t="shared" si="23"/>
        <v>13</v>
      </c>
      <c r="AN44" s="159">
        <f>AM44*$AN$40</f>
        <v>2600</v>
      </c>
      <c r="AO44" s="163"/>
      <c r="AP44" s="411">
        <f>SUM(AN44:AO45)</f>
        <v>2600</v>
      </c>
      <c r="AQ44" s="413">
        <v>0</v>
      </c>
      <c r="AR44" s="408">
        <f>SUM(AP44:AQ45)</f>
        <v>2600</v>
      </c>
    </row>
    <row r="45" spans="1:44" ht="21.95" customHeight="1" thickBot="1" x14ac:dyDescent="0.25">
      <c r="A45" s="223" t="s">
        <v>132</v>
      </c>
      <c r="B45" s="145" t="s">
        <v>1743</v>
      </c>
      <c r="C45" s="66" t="s">
        <v>154</v>
      </c>
      <c r="D45" s="28">
        <f>เทรลเลอร์2!E8</f>
        <v>0</v>
      </c>
      <c r="E45" s="28">
        <f>เทรลเลอร์2!E10</f>
        <v>0</v>
      </c>
      <c r="F45" s="28">
        <f>เทรลเลอร์2!E12</f>
        <v>0</v>
      </c>
      <c r="G45" s="28">
        <f>เทรลเลอร์2!E14</f>
        <v>0</v>
      </c>
      <c r="H45" s="28">
        <f>เทรลเลอร์2!E16</f>
        <v>0</v>
      </c>
      <c r="I45" s="28">
        <f>เทรลเลอร์2!E18</f>
        <v>0</v>
      </c>
      <c r="J45" s="28">
        <f>เทรลเลอร์2!E20</f>
        <v>0</v>
      </c>
      <c r="K45" s="28">
        <f>เทรลเลอร์2!E22</f>
        <v>0</v>
      </c>
      <c r="L45" s="28">
        <f>เทรลเลอร์2!E24</f>
        <v>0</v>
      </c>
      <c r="M45" s="28">
        <f>เทรลเลอร์2!E26</f>
        <v>0</v>
      </c>
      <c r="N45" s="28">
        <f>เทรลเลอร์2!E28</f>
        <v>0</v>
      </c>
      <c r="O45" s="28">
        <f>เทรลเลอร์2!E30</f>
        <v>0</v>
      </c>
      <c r="P45" s="28">
        <f>เทรลเลอร์2!E32</f>
        <v>0</v>
      </c>
      <c r="Q45" s="28">
        <f>เทรลเลอร์2!E34</f>
        <v>0</v>
      </c>
      <c r="R45" s="28">
        <f>เทรลเลอร์2!E36</f>
        <v>0</v>
      </c>
      <c r="S45" s="28">
        <f>เทรลเลอร์2!E38</f>
        <v>0</v>
      </c>
      <c r="T45" s="28">
        <f>เทรลเลอร์2!E40</f>
        <v>0</v>
      </c>
      <c r="U45" s="28">
        <f>เทรลเลอร์2!E51</f>
        <v>0</v>
      </c>
      <c r="V45" s="28">
        <f>เทรลเลอร์2!E53</f>
        <v>0</v>
      </c>
      <c r="W45" s="28">
        <f>เทรลเลอร์2!E55</f>
        <v>0</v>
      </c>
      <c r="X45" s="28">
        <f>เทรลเลอร์2!E57</f>
        <v>0</v>
      </c>
      <c r="Y45" s="28">
        <f>เทรลเลอร์2!E59</f>
        <v>0</v>
      </c>
      <c r="Z45" s="28">
        <f>เทรลเลอร์2!E61</f>
        <v>0</v>
      </c>
      <c r="AA45" s="28">
        <f>เทรลเลอร์2!E63</f>
        <v>0</v>
      </c>
      <c r="AB45" s="28">
        <f>เทรลเลอร์2!E65</f>
        <v>0</v>
      </c>
      <c r="AC45" s="28">
        <f>เทรลเลอร์2!E67</f>
        <v>0</v>
      </c>
      <c r="AD45" s="28">
        <f>เทรลเลอร์2!E69</f>
        <v>0</v>
      </c>
      <c r="AE45" s="28">
        <f>เทรลเลอร์2!E71</f>
        <v>0</v>
      </c>
      <c r="AF45" s="28">
        <f>เทรลเลอร์2!E73</f>
        <v>0</v>
      </c>
      <c r="AG45" s="28">
        <f>เทรลเลอร์2!E75</f>
        <v>0</v>
      </c>
      <c r="AH45" s="28">
        <f>เทรลเลอร์2!E77</f>
        <v>0</v>
      </c>
      <c r="AI45" s="28">
        <f>เทรลเลอร์2!E79</f>
        <v>0</v>
      </c>
      <c r="AJ45" s="28">
        <f>เทรลเลอร์2!E81</f>
        <v>0</v>
      </c>
      <c r="AK45" s="28">
        <f>เทรลเลอร์2!E83</f>
        <v>0</v>
      </c>
      <c r="AL45" s="28">
        <f>เทรลเลอร์2!E84</f>
        <v>0</v>
      </c>
      <c r="AM45" s="67">
        <f t="shared" si="23"/>
        <v>0</v>
      </c>
      <c r="AN45" s="164"/>
      <c r="AO45" s="161">
        <f>AM45*AO40</f>
        <v>0</v>
      </c>
      <c r="AP45" s="412"/>
      <c r="AQ45" s="414"/>
      <c r="AR45" s="409"/>
    </row>
    <row r="46" spans="1:44" s="156" customFormat="1" ht="21.95" hidden="1" customHeight="1" x14ac:dyDescent="0.2">
      <c r="A46" s="155"/>
      <c r="B46" s="171"/>
      <c r="C46" s="63" t="s">
        <v>153</v>
      </c>
      <c r="D46" s="172">
        <f>เทรลเลอร์3!E7</f>
        <v>0</v>
      </c>
      <c r="E46" s="172">
        <f>เทรลเลอร์3!E9</f>
        <v>0</v>
      </c>
      <c r="F46" s="172">
        <f>เทรลเลอร์3!E11</f>
        <v>0</v>
      </c>
      <c r="G46" s="172">
        <f>เทรลเลอร์3!E13</f>
        <v>0</v>
      </c>
      <c r="H46" s="172">
        <f>เทรลเลอร์3!E15</f>
        <v>0</v>
      </c>
      <c r="I46" s="172">
        <f>เทรลเลอร์3!E17</f>
        <v>0</v>
      </c>
      <c r="J46" s="172">
        <f>เทรลเลอร์3!E19</f>
        <v>0</v>
      </c>
      <c r="K46" s="172">
        <f>เทรลเลอร์3!E21</f>
        <v>0</v>
      </c>
      <c r="L46" s="172">
        <f>เทรลเลอร์3!E23</f>
        <v>0</v>
      </c>
      <c r="M46" s="172">
        <f>เทรลเลอร์3!E25</f>
        <v>0</v>
      </c>
      <c r="N46" s="172">
        <f>เทรลเลอร์3!E27</f>
        <v>0</v>
      </c>
      <c r="O46" s="172">
        <f>เทรลเลอร์3!E29</f>
        <v>0</v>
      </c>
      <c r="P46" s="172">
        <f>เทรลเลอร์3!E31</f>
        <v>0</v>
      </c>
      <c r="Q46" s="172">
        <f>เทรลเลอร์3!E33</f>
        <v>0</v>
      </c>
      <c r="R46" s="172">
        <f>เทรลเลอร์3!E35</f>
        <v>0</v>
      </c>
      <c r="S46" s="172">
        <f>เทรลเลอร์3!E37</f>
        <v>0</v>
      </c>
      <c r="T46" s="172">
        <f>เทรลเลอร์3!E39</f>
        <v>0</v>
      </c>
      <c r="U46" s="172">
        <f>เทรลเลอร์3!E50</f>
        <v>0</v>
      </c>
      <c r="V46" s="172">
        <f>เทรลเลอร์3!E52</f>
        <v>0</v>
      </c>
      <c r="W46" s="172">
        <f>เทรลเลอร์3!E54</f>
        <v>0</v>
      </c>
      <c r="X46" s="172">
        <f>เทรลเลอร์3!E56</f>
        <v>0</v>
      </c>
      <c r="Y46" s="172">
        <f>เทรลเลอร์3!E58</f>
        <v>0</v>
      </c>
      <c r="Z46" s="172">
        <f>เทรลเลอร์3!E60</f>
        <v>0</v>
      </c>
      <c r="AA46" s="172">
        <f>เทรลเลอร์3!E62</f>
        <v>0</v>
      </c>
      <c r="AB46" s="172">
        <f>เทรลเลอร์3!E64</f>
        <v>0</v>
      </c>
      <c r="AC46" s="172">
        <f>เทรลเลอร์3!E66</f>
        <v>0</v>
      </c>
      <c r="AD46" s="172">
        <f>เทรลเลอร์3!E68</f>
        <v>0</v>
      </c>
      <c r="AE46" s="172">
        <f>เทรลเลอร์3!E70</f>
        <v>0</v>
      </c>
      <c r="AF46" s="172">
        <f>เทรลเลอร์3!E72</f>
        <v>0</v>
      </c>
      <c r="AG46" s="172">
        <f>เทรลเลอร์3!E74</f>
        <v>0</v>
      </c>
      <c r="AH46" s="173">
        <f>เทรลเลอร์3!E76</f>
        <v>0</v>
      </c>
      <c r="AI46" s="173">
        <f>เทรลเลอร์3!E78</f>
        <v>0</v>
      </c>
      <c r="AJ46" s="173">
        <f>เทรลเลอร์3!E80</f>
        <v>0</v>
      </c>
      <c r="AK46" s="173">
        <f>เทรลเลอร์3!E82</f>
        <v>0</v>
      </c>
      <c r="AL46" s="172">
        <f>เทรลเลอร์3!E84</f>
        <v>0</v>
      </c>
      <c r="AM46" s="149">
        <f t="shared" si="23"/>
        <v>0</v>
      </c>
      <c r="AN46" s="165">
        <f>AM46*$AN$40</f>
        <v>0</v>
      </c>
      <c r="AO46" s="166"/>
      <c r="AP46" s="477">
        <f>SUM(AN46:AO47)</f>
        <v>0</v>
      </c>
      <c r="AQ46" s="479">
        <v>0</v>
      </c>
      <c r="AR46" s="377">
        <f>SUM(AP46:AQ47)</f>
        <v>0</v>
      </c>
    </row>
    <row r="47" spans="1:44" s="156" customFormat="1" ht="21.95" hidden="1" customHeight="1" thickBot="1" x14ac:dyDescent="0.25">
      <c r="A47" s="157" t="s">
        <v>132</v>
      </c>
      <c r="B47" s="174"/>
      <c r="C47" s="66" t="s">
        <v>154</v>
      </c>
      <c r="D47" s="175">
        <f>เทรลเลอร์3!E8</f>
        <v>0</v>
      </c>
      <c r="E47" s="175">
        <f>เทรลเลอร์3!E10</f>
        <v>0</v>
      </c>
      <c r="F47" s="175">
        <f>เทรลเลอร์3!E12</f>
        <v>0</v>
      </c>
      <c r="G47" s="175">
        <f>เทรลเลอร์3!E14</f>
        <v>0</v>
      </c>
      <c r="H47" s="175">
        <f>เทรลเลอร์3!E16</f>
        <v>0</v>
      </c>
      <c r="I47" s="175">
        <f>เทรลเลอร์3!E18</f>
        <v>0</v>
      </c>
      <c r="J47" s="175">
        <f>เทรลเลอร์3!E20</f>
        <v>0</v>
      </c>
      <c r="K47" s="175">
        <f>เทรลเลอร์3!E22</f>
        <v>0</v>
      </c>
      <c r="L47" s="175">
        <f>เทรลเลอร์3!E24</f>
        <v>0</v>
      </c>
      <c r="M47" s="175">
        <f>เทรลเลอร์3!E26</f>
        <v>0</v>
      </c>
      <c r="N47" s="175">
        <f>เทรลเลอร์3!E28</f>
        <v>0</v>
      </c>
      <c r="O47" s="175">
        <f>เทรลเลอร์3!E30</f>
        <v>0</v>
      </c>
      <c r="P47" s="175">
        <f>เทรลเลอร์3!E32</f>
        <v>0</v>
      </c>
      <c r="Q47" s="175">
        <f>เทรลเลอร์3!E34</f>
        <v>0</v>
      </c>
      <c r="R47" s="175">
        <f>เทรลเลอร์3!E36</f>
        <v>0</v>
      </c>
      <c r="S47" s="175">
        <f>เทรลเลอร์3!E38</f>
        <v>0</v>
      </c>
      <c r="T47" s="175">
        <f>เทรลเลอร์3!E40</f>
        <v>0</v>
      </c>
      <c r="U47" s="175">
        <f>เทรลเลอร์3!E51</f>
        <v>0</v>
      </c>
      <c r="V47" s="175">
        <f>เทรลเลอร์3!E53</f>
        <v>0</v>
      </c>
      <c r="W47" s="175">
        <f>เทรลเลอร์3!E55</f>
        <v>0</v>
      </c>
      <c r="X47" s="175">
        <f>เทรลเลอร์3!E57</f>
        <v>0</v>
      </c>
      <c r="Y47" s="175">
        <f>เทรลเลอร์3!E59</f>
        <v>0</v>
      </c>
      <c r="Z47" s="175">
        <f>เทรลเลอร์3!E61</f>
        <v>0</v>
      </c>
      <c r="AA47" s="175">
        <f>เทรลเลอร์3!E63</f>
        <v>0</v>
      </c>
      <c r="AB47" s="175">
        <f>เทรลเลอร์3!E65</f>
        <v>0</v>
      </c>
      <c r="AC47" s="175">
        <f>เทรลเลอร์3!E67</f>
        <v>0</v>
      </c>
      <c r="AD47" s="175">
        <f>เทรลเลอร์3!E69</f>
        <v>0</v>
      </c>
      <c r="AE47" s="175">
        <f>เทรลเลอร์3!E71</f>
        <v>0</v>
      </c>
      <c r="AF47" s="175">
        <f>เทรลเลอร์3!E73</f>
        <v>0</v>
      </c>
      <c r="AG47" s="175">
        <f>เทรลเลอร์3!E75</f>
        <v>0</v>
      </c>
      <c r="AH47" s="175">
        <f>เทรลเลอร์3!E77</f>
        <v>0</v>
      </c>
      <c r="AI47" s="175">
        <f>เทรลเลอร์3!E79</f>
        <v>0</v>
      </c>
      <c r="AJ47" s="175">
        <f>เทรลเลอร์3!E81</f>
        <v>0</v>
      </c>
      <c r="AK47" s="175">
        <f>เทรลเลอร์3!E83</f>
        <v>0</v>
      </c>
      <c r="AL47" s="175">
        <f>เทรลเลอร์3!E84</f>
        <v>0</v>
      </c>
      <c r="AM47" s="152">
        <f t="shared" si="23"/>
        <v>0</v>
      </c>
      <c r="AN47" s="167"/>
      <c r="AO47" s="168">
        <f>AM47*AO40</f>
        <v>0</v>
      </c>
      <c r="AP47" s="478"/>
      <c r="AQ47" s="480"/>
      <c r="AR47" s="378"/>
    </row>
    <row r="48" spans="1:44" ht="24" customHeight="1" thickBot="1" x14ac:dyDescent="0.25">
      <c r="A48" s="400" t="s">
        <v>10</v>
      </c>
      <c r="B48" s="401"/>
      <c r="C48" s="401"/>
      <c r="D48" s="401"/>
      <c r="E48" s="401"/>
      <c r="F48" s="401"/>
      <c r="G48" s="401"/>
      <c r="H48" s="401"/>
      <c r="I48" s="401"/>
      <c r="J48" s="401"/>
      <c r="K48" s="401"/>
      <c r="L48" s="401"/>
      <c r="M48" s="401"/>
      <c r="N48" s="401"/>
      <c r="O48" s="401"/>
      <c r="P48" s="401"/>
      <c r="Q48" s="401"/>
      <c r="R48" s="401"/>
      <c r="S48" s="401"/>
      <c r="T48" s="401"/>
      <c r="U48" s="401"/>
      <c r="V48" s="401"/>
      <c r="W48" s="401"/>
      <c r="X48" s="401"/>
      <c r="Y48" s="401"/>
      <c r="Z48" s="401"/>
      <c r="AA48" s="401"/>
      <c r="AB48" s="401"/>
      <c r="AC48" s="401"/>
      <c r="AD48" s="401"/>
      <c r="AE48" s="401"/>
      <c r="AF48" s="401"/>
      <c r="AG48" s="401"/>
      <c r="AH48" s="401"/>
      <c r="AI48" s="401"/>
      <c r="AJ48" s="401"/>
      <c r="AK48" s="401"/>
      <c r="AL48" s="401"/>
      <c r="AM48" s="401"/>
      <c r="AN48" s="169">
        <f>SUM(AN42:AN47)</f>
        <v>14200</v>
      </c>
      <c r="AO48" s="169">
        <f>SUM(AO42:AO47)</f>
        <v>0</v>
      </c>
      <c r="AP48" s="169">
        <f>SUM(AP42:AP47)</f>
        <v>14200</v>
      </c>
      <c r="AQ48" s="170">
        <f>SUM(AQ42:AQ47)</f>
        <v>1000</v>
      </c>
      <c r="AR48" s="180">
        <f>SUM(AR42:AR47)</f>
        <v>15200</v>
      </c>
    </row>
    <row r="49" spans="1:45" ht="21.95" customHeight="1" x14ac:dyDescent="0.2">
      <c r="A49" s="402" t="s">
        <v>70</v>
      </c>
      <c r="B49" s="403"/>
      <c r="C49" s="403"/>
      <c r="D49" s="403"/>
      <c r="E49" s="403"/>
      <c r="F49" s="403"/>
      <c r="G49" s="403"/>
      <c r="H49" s="403"/>
      <c r="I49" s="403"/>
      <c r="J49" s="403"/>
      <c r="K49" s="403"/>
      <c r="L49" s="403"/>
      <c r="M49" s="403"/>
      <c r="N49" s="403"/>
      <c r="O49" s="403"/>
      <c r="P49" s="403"/>
      <c r="Q49" s="403"/>
      <c r="R49" s="403"/>
      <c r="S49" s="403"/>
      <c r="T49" s="403"/>
      <c r="U49" s="403"/>
      <c r="V49" s="403"/>
      <c r="W49" s="403"/>
      <c r="X49" s="403"/>
      <c r="Y49" s="403"/>
      <c r="Z49" s="403"/>
      <c r="AA49" s="403"/>
      <c r="AB49" s="403"/>
      <c r="AC49" s="403"/>
      <c r="AD49" s="403"/>
      <c r="AE49" s="403"/>
      <c r="AF49" s="403"/>
      <c r="AG49" s="403"/>
      <c r="AH49" s="403"/>
      <c r="AI49" s="403"/>
      <c r="AJ49" s="403"/>
      <c r="AK49" s="403"/>
      <c r="AL49" s="404"/>
      <c r="AM49" s="197" t="s">
        <v>44</v>
      </c>
      <c r="AN49" s="438" t="s">
        <v>111</v>
      </c>
      <c r="AO49" s="439"/>
      <c r="AP49" s="198" t="s">
        <v>10</v>
      </c>
      <c r="AQ49" s="199" t="s">
        <v>110</v>
      </c>
      <c r="AR49" s="200" t="s">
        <v>48</v>
      </c>
    </row>
    <row r="50" spans="1:45" ht="21.95" customHeight="1" x14ac:dyDescent="0.2">
      <c r="A50" s="222">
        <v>68032</v>
      </c>
      <c r="B50" s="305" t="s">
        <v>144</v>
      </c>
      <c r="C50" s="222" t="s">
        <v>70</v>
      </c>
      <c r="D50" s="201">
        <f>รถน้ำ!$D$7</f>
        <v>7</v>
      </c>
      <c r="E50" s="201">
        <v>7</v>
      </c>
      <c r="F50" s="201">
        <f>รถน้ำ!$D$11</f>
        <v>13</v>
      </c>
      <c r="G50" s="201">
        <v>1</v>
      </c>
      <c r="H50" s="201">
        <v>0</v>
      </c>
      <c r="I50" s="201">
        <f>รถน้ำ!$D$17</f>
        <v>11</v>
      </c>
      <c r="J50" s="201">
        <f>รถน้ำ!$D$19</f>
        <v>7</v>
      </c>
      <c r="K50" s="201">
        <v>9</v>
      </c>
      <c r="L50" s="201">
        <f>รถน้ำ!$D$23</f>
        <v>17</v>
      </c>
      <c r="M50" s="201">
        <f>รถน้ำ!$D$25</f>
        <v>12</v>
      </c>
      <c r="N50" s="201">
        <f>รถน้ำ!$D$27</f>
        <v>10</v>
      </c>
      <c r="O50" s="216">
        <f>รถน้ำ!$D$29</f>
        <v>11</v>
      </c>
      <c r="P50" s="201">
        <f>รถน้ำ!$D$31</f>
        <v>14</v>
      </c>
      <c r="Q50" s="201">
        <f>รถน้ำ!$D$33</f>
        <v>10</v>
      </c>
      <c r="R50" s="201">
        <f>รถน้ำ!$D$35</f>
        <v>11</v>
      </c>
      <c r="S50" s="201">
        <f>รถน้ำ!$D$37</f>
        <v>13</v>
      </c>
      <c r="T50" s="201">
        <f>รถน้ำ!$D$39</f>
        <v>10</v>
      </c>
      <c r="U50" s="201">
        <f>รถน้ำ!$D$50</f>
        <v>0</v>
      </c>
      <c r="V50" s="201">
        <f>รถน้ำ!$D$52</f>
        <v>0</v>
      </c>
      <c r="W50" s="201">
        <f>รถน้ำ!$D$54</f>
        <v>0</v>
      </c>
      <c r="X50" s="201">
        <f>รถน้ำ!$D$56</f>
        <v>0</v>
      </c>
      <c r="Y50" s="201">
        <f>รถน้ำ!$D$58</f>
        <v>0</v>
      </c>
      <c r="Z50" s="201">
        <f>รถน้ำ!$D$60</f>
        <v>0</v>
      </c>
      <c r="AA50" s="201">
        <f>รถน้ำ!$D$62</f>
        <v>7</v>
      </c>
      <c r="AB50" s="201">
        <f>รถน้ำ!$D$64</f>
        <v>3</v>
      </c>
      <c r="AC50" s="216">
        <f>รถน้ำ!$D$66</f>
        <v>7</v>
      </c>
      <c r="AD50" s="201">
        <f>รถน้ำ!$D$68</f>
        <v>14</v>
      </c>
      <c r="AE50" s="201">
        <f>รถน้ำ!$D$70</f>
        <v>10</v>
      </c>
      <c r="AF50" s="201">
        <f>รถน้ำ!$D$72</f>
        <v>13</v>
      </c>
      <c r="AG50" s="201">
        <f>รถน้ำ!$D$74</f>
        <v>7</v>
      </c>
      <c r="AH50" s="201">
        <f>รถน้ำ!$D$76</f>
        <v>0</v>
      </c>
      <c r="AI50" s="201">
        <f>รถน้ำ!$D$78</f>
        <v>0</v>
      </c>
      <c r="AJ50" s="201">
        <f>รถน้ำ!$D$80</f>
        <v>0</v>
      </c>
      <c r="AK50" s="201">
        <f>รถน้ำ!$D$82</f>
        <v>0</v>
      </c>
      <c r="AL50" s="201">
        <f>รถน้ำ!$D$84</f>
        <v>0</v>
      </c>
      <c r="AM50" s="202">
        <f>SUM(D50:AL50)</f>
        <v>224</v>
      </c>
      <c r="AN50" s="440">
        <v>45</v>
      </c>
      <c r="AO50" s="440"/>
      <c r="AP50" s="128">
        <f>AM50*AN50</f>
        <v>10080</v>
      </c>
      <c r="AQ50" s="203">
        <v>0</v>
      </c>
      <c r="AR50" s="177">
        <f>AP50+AQ50</f>
        <v>10080</v>
      </c>
    </row>
    <row r="51" spans="1:45" ht="21.95" customHeight="1" x14ac:dyDescent="0.2">
      <c r="A51" s="222">
        <v>68029</v>
      </c>
      <c r="B51" s="305" t="s">
        <v>157</v>
      </c>
      <c r="C51" s="222" t="s">
        <v>70</v>
      </c>
      <c r="D51" s="185">
        <v>0</v>
      </c>
      <c r="E51" s="185">
        <v>3</v>
      </c>
      <c r="F51" s="185">
        <v>0</v>
      </c>
      <c r="G51" s="185">
        <v>0</v>
      </c>
      <c r="H51" s="185">
        <v>0</v>
      </c>
      <c r="I51" s="185">
        <v>0</v>
      </c>
      <c r="J51" s="185">
        <v>0</v>
      </c>
      <c r="K51" s="185">
        <v>0</v>
      </c>
      <c r="L51" s="185">
        <v>0</v>
      </c>
      <c r="M51" s="185">
        <v>0</v>
      </c>
      <c r="N51" s="185">
        <v>0</v>
      </c>
      <c r="O51" s="185">
        <v>0</v>
      </c>
      <c r="P51" s="185">
        <v>0</v>
      </c>
      <c r="Q51" s="185">
        <v>0</v>
      </c>
      <c r="R51" s="185">
        <v>0</v>
      </c>
      <c r="S51" s="185">
        <v>0</v>
      </c>
      <c r="T51" s="185">
        <v>0</v>
      </c>
      <c r="U51" s="185">
        <f>รถน้ำ!$D$50</f>
        <v>0</v>
      </c>
      <c r="V51" s="185">
        <f>รถน้ำ!$D$52</f>
        <v>0</v>
      </c>
      <c r="W51" s="185">
        <f>รถน้ำ!$D$54</f>
        <v>0</v>
      </c>
      <c r="X51" s="185">
        <f>รถน้ำ!$D$56</f>
        <v>0</v>
      </c>
      <c r="Y51" s="185">
        <f>รถน้ำ!$D$58</f>
        <v>0</v>
      </c>
      <c r="Z51" s="185">
        <f>รถน้ำ!$D$60</f>
        <v>0</v>
      </c>
      <c r="AA51" s="185">
        <v>0</v>
      </c>
      <c r="AB51" s="185">
        <v>0</v>
      </c>
      <c r="AC51" s="185">
        <v>0</v>
      </c>
      <c r="AD51" s="185">
        <v>0</v>
      </c>
      <c r="AE51" s="185">
        <v>0</v>
      </c>
      <c r="AF51" s="185">
        <v>0</v>
      </c>
      <c r="AG51" s="185">
        <v>0</v>
      </c>
      <c r="AH51" s="185">
        <f>รถน้ำ!$D$76</f>
        <v>0</v>
      </c>
      <c r="AI51" s="185">
        <f>รถน้ำ!$D$78</f>
        <v>0</v>
      </c>
      <c r="AJ51" s="185">
        <f>รถน้ำ!$D$80</f>
        <v>0</v>
      </c>
      <c r="AK51" s="185">
        <f>รถน้ำ!$D$82</f>
        <v>0</v>
      </c>
      <c r="AL51" s="185">
        <f>รถน้ำ!$D$84</f>
        <v>0</v>
      </c>
      <c r="AM51" s="186">
        <f t="shared" ref="AM51" si="24">SUM(D51:AL51)</f>
        <v>3</v>
      </c>
      <c r="AN51" s="373">
        <v>45</v>
      </c>
      <c r="AO51" s="373"/>
      <c r="AP51" s="131">
        <f t="shared" ref="AP51" si="25">AM51*AN51</f>
        <v>135</v>
      </c>
      <c r="AQ51" s="187">
        <v>0</v>
      </c>
      <c r="AR51" s="306">
        <f t="shared" ref="AR51" si="26">AP51+AQ51</f>
        <v>135</v>
      </c>
    </row>
    <row r="52" spans="1:45" ht="21.95" customHeight="1" x14ac:dyDescent="0.2">
      <c r="A52" s="222">
        <v>67007</v>
      </c>
      <c r="B52" s="305" t="s">
        <v>117</v>
      </c>
      <c r="C52" s="222" t="s">
        <v>70</v>
      </c>
      <c r="D52" s="185">
        <v>0</v>
      </c>
      <c r="E52" s="185">
        <v>0</v>
      </c>
      <c r="F52" s="185">
        <v>0</v>
      </c>
      <c r="G52" s="185">
        <v>0</v>
      </c>
      <c r="H52" s="185">
        <v>4</v>
      </c>
      <c r="I52" s="185">
        <v>0</v>
      </c>
      <c r="J52" s="185">
        <v>0</v>
      </c>
      <c r="K52" s="185">
        <v>0</v>
      </c>
      <c r="L52" s="185">
        <v>0</v>
      </c>
      <c r="M52" s="185">
        <v>0</v>
      </c>
      <c r="N52" s="185">
        <v>0</v>
      </c>
      <c r="O52" s="185">
        <v>0</v>
      </c>
      <c r="P52" s="185">
        <v>0</v>
      </c>
      <c r="Q52" s="185">
        <v>0</v>
      </c>
      <c r="R52" s="185">
        <v>0</v>
      </c>
      <c r="S52" s="185">
        <v>0</v>
      </c>
      <c r="T52" s="185">
        <v>0</v>
      </c>
      <c r="U52" s="185">
        <f>รถน้ำ!$D$50</f>
        <v>0</v>
      </c>
      <c r="V52" s="185">
        <f>รถน้ำ!$D$52</f>
        <v>0</v>
      </c>
      <c r="W52" s="185">
        <f>รถน้ำ!$D$54</f>
        <v>0</v>
      </c>
      <c r="X52" s="185">
        <f>รถน้ำ!$D$56</f>
        <v>0</v>
      </c>
      <c r="Y52" s="185">
        <f>รถน้ำ!$D$58</f>
        <v>0</v>
      </c>
      <c r="Z52" s="185">
        <f>รถน้ำ!$D$60</f>
        <v>0</v>
      </c>
      <c r="AA52" s="185">
        <v>0</v>
      </c>
      <c r="AB52" s="185">
        <v>0</v>
      </c>
      <c r="AC52" s="185">
        <v>0</v>
      </c>
      <c r="AD52" s="185">
        <v>0</v>
      </c>
      <c r="AE52" s="185">
        <v>0</v>
      </c>
      <c r="AF52" s="185">
        <v>0</v>
      </c>
      <c r="AG52" s="185">
        <v>0</v>
      </c>
      <c r="AH52" s="185">
        <f>รถน้ำ!$D$76</f>
        <v>0</v>
      </c>
      <c r="AI52" s="185">
        <f>รถน้ำ!$D$78</f>
        <v>0</v>
      </c>
      <c r="AJ52" s="185">
        <f>รถน้ำ!$D$80</f>
        <v>0</v>
      </c>
      <c r="AK52" s="185">
        <f>รถน้ำ!$D$82</f>
        <v>0</v>
      </c>
      <c r="AL52" s="185">
        <f>รถน้ำ!$D$84</f>
        <v>0</v>
      </c>
      <c r="AM52" s="186">
        <f t="shared" ref="AM52:AM53" si="27">SUM(D52:AL52)</f>
        <v>4</v>
      </c>
      <c r="AN52" s="373">
        <v>45</v>
      </c>
      <c r="AO52" s="373"/>
      <c r="AP52" s="131">
        <f t="shared" ref="AP52:AP53" si="28">AM52*AN52</f>
        <v>180</v>
      </c>
      <c r="AQ52" s="187">
        <v>0</v>
      </c>
      <c r="AR52" s="306">
        <f t="shared" ref="AR52:AR53" si="29">AP52+AQ52</f>
        <v>180</v>
      </c>
    </row>
    <row r="53" spans="1:45" ht="21.95" customHeight="1" x14ac:dyDescent="0.2">
      <c r="A53" s="218">
        <v>65041</v>
      </c>
      <c r="B53" s="139" t="s">
        <v>95</v>
      </c>
      <c r="C53" s="218" t="s">
        <v>70</v>
      </c>
      <c r="D53" s="185">
        <v>0</v>
      </c>
      <c r="E53" s="185">
        <v>0</v>
      </c>
      <c r="F53" s="185">
        <v>0</v>
      </c>
      <c r="G53" s="185">
        <v>0</v>
      </c>
      <c r="H53" s="185">
        <v>0</v>
      </c>
      <c r="I53" s="185">
        <v>0</v>
      </c>
      <c r="J53" s="185">
        <v>0</v>
      </c>
      <c r="K53" s="185">
        <v>2</v>
      </c>
      <c r="L53" s="185">
        <v>0</v>
      </c>
      <c r="M53" s="185">
        <v>0</v>
      </c>
      <c r="N53" s="185">
        <v>0</v>
      </c>
      <c r="O53" s="185">
        <v>0</v>
      </c>
      <c r="P53" s="185">
        <v>0</v>
      </c>
      <c r="Q53" s="185">
        <v>0</v>
      </c>
      <c r="R53" s="185">
        <v>0</v>
      </c>
      <c r="S53" s="185">
        <v>0</v>
      </c>
      <c r="T53" s="185">
        <v>0</v>
      </c>
      <c r="U53" s="185">
        <f>รถน้ำ!$D$50</f>
        <v>0</v>
      </c>
      <c r="V53" s="185">
        <f>รถน้ำ!$D$52</f>
        <v>0</v>
      </c>
      <c r="W53" s="185">
        <f>รถน้ำ!$D$54</f>
        <v>0</v>
      </c>
      <c r="X53" s="185">
        <f>รถน้ำ!$D$56</f>
        <v>0</v>
      </c>
      <c r="Y53" s="185">
        <f>รถน้ำ!$D$58</f>
        <v>0</v>
      </c>
      <c r="Z53" s="185">
        <f>รถน้ำ!$D$60</f>
        <v>0</v>
      </c>
      <c r="AA53" s="185">
        <v>0</v>
      </c>
      <c r="AB53" s="185">
        <v>0</v>
      </c>
      <c r="AC53" s="185">
        <v>0</v>
      </c>
      <c r="AD53" s="185">
        <v>0</v>
      </c>
      <c r="AE53" s="185">
        <v>0</v>
      </c>
      <c r="AF53" s="185">
        <v>0</v>
      </c>
      <c r="AG53" s="185">
        <v>0</v>
      </c>
      <c r="AH53" s="185">
        <f>รถน้ำ!$D$76</f>
        <v>0</v>
      </c>
      <c r="AI53" s="185">
        <f>รถน้ำ!$D$78</f>
        <v>0</v>
      </c>
      <c r="AJ53" s="185">
        <f>รถน้ำ!$D$80</f>
        <v>0</v>
      </c>
      <c r="AK53" s="185">
        <f>รถน้ำ!$D$82</f>
        <v>0</v>
      </c>
      <c r="AL53" s="185">
        <f>รถน้ำ!$D$84</f>
        <v>0</v>
      </c>
      <c r="AM53" s="186">
        <f t="shared" si="27"/>
        <v>2</v>
      </c>
      <c r="AN53" s="373">
        <v>45</v>
      </c>
      <c r="AO53" s="373"/>
      <c r="AP53" s="131">
        <f t="shared" si="28"/>
        <v>90</v>
      </c>
      <c r="AQ53" s="187">
        <v>0</v>
      </c>
      <c r="AR53" s="306">
        <f t="shared" si="29"/>
        <v>90</v>
      </c>
    </row>
    <row r="54" spans="1:45" ht="21.95" customHeight="1" thickBot="1" x14ac:dyDescent="0.25">
      <c r="A54" s="223">
        <v>67072</v>
      </c>
      <c r="B54" s="65" t="s">
        <v>121</v>
      </c>
      <c r="C54" s="223" t="s">
        <v>70</v>
      </c>
      <c r="D54" s="185">
        <v>0</v>
      </c>
      <c r="E54" s="185">
        <v>0</v>
      </c>
      <c r="F54" s="185">
        <v>0</v>
      </c>
      <c r="G54" s="185">
        <v>7</v>
      </c>
      <c r="H54" s="185">
        <v>7</v>
      </c>
      <c r="I54" s="185">
        <v>0</v>
      </c>
      <c r="J54" s="185">
        <v>0</v>
      </c>
      <c r="K54" s="185">
        <v>0</v>
      </c>
      <c r="L54" s="185">
        <v>0</v>
      </c>
      <c r="M54" s="185">
        <v>0</v>
      </c>
      <c r="N54" s="185">
        <v>0</v>
      </c>
      <c r="O54" s="185">
        <v>0</v>
      </c>
      <c r="P54" s="185">
        <v>0</v>
      </c>
      <c r="Q54" s="185">
        <v>0</v>
      </c>
      <c r="R54" s="185">
        <v>0</v>
      </c>
      <c r="S54" s="185">
        <v>0</v>
      </c>
      <c r="T54" s="185">
        <v>0</v>
      </c>
      <c r="U54" s="185">
        <f>รถน้ำ!$D$50</f>
        <v>0</v>
      </c>
      <c r="V54" s="185">
        <f>รถน้ำ!$D$52</f>
        <v>0</v>
      </c>
      <c r="W54" s="185">
        <f>รถน้ำ!$D$54</f>
        <v>0</v>
      </c>
      <c r="X54" s="185">
        <f>รถน้ำ!$D$56</f>
        <v>0</v>
      </c>
      <c r="Y54" s="185">
        <f>รถน้ำ!$D$58</f>
        <v>0</v>
      </c>
      <c r="Z54" s="185">
        <f>รถน้ำ!$D$60</f>
        <v>0</v>
      </c>
      <c r="AA54" s="185">
        <v>0</v>
      </c>
      <c r="AB54" s="185">
        <v>0</v>
      </c>
      <c r="AC54" s="185">
        <v>0</v>
      </c>
      <c r="AD54" s="185">
        <v>0</v>
      </c>
      <c r="AE54" s="185">
        <v>0</v>
      </c>
      <c r="AF54" s="185">
        <v>0</v>
      </c>
      <c r="AG54" s="185">
        <v>0</v>
      </c>
      <c r="AH54" s="185">
        <f>รถน้ำ!$D$76</f>
        <v>0</v>
      </c>
      <c r="AI54" s="185">
        <f>รถน้ำ!$D$78</f>
        <v>0</v>
      </c>
      <c r="AJ54" s="185">
        <f>รถน้ำ!$D$80</f>
        <v>0</v>
      </c>
      <c r="AK54" s="185">
        <f>รถน้ำ!$D$82</f>
        <v>0</v>
      </c>
      <c r="AL54" s="185">
        <f>รถน้ำ!$D$84</f>
        <v>0</v>
      </c>
      <c r="AM54" s="186">
        <f>SUM(D54:AL54)</f>
        <v>14</v>
      </c>
      <c r="AN54" s="373">
        <v>45</v>
      </c>
      <c r="AO54" s="373"/>
      <c r="AP54" s="131">
        <f>AM54*AN54</f>
        <v>630</v>
      </c>
      <c r="AQ54" s="187">
        <v>0</v>
      </c>
      <c r="AR54" s="306">
        <f>AP54+AQ54</f>
        <v>630</v>
      </c>
    </row>
    <row r="55" spans="1:45" ht="24" customHeight="1" thickBot="1" x14ac:dyDescent="0.25">
      <c r="A55" s="374" t="s">
        <v>10</v>
      </c>
      <c r="B55" s="375"/>
      <c r="C55" s="375"/>
      <c r="D55" s="375"/>
      <c r="E55" s="375"/>
      <c r="F55" s="375"/>
      <c r="G55" s="375"/>
      <c r="H55" s="375"/>
      <c r="I55" s="375"/>
      <c r="J55" s="375"/>
      <c r="K55" s="375"/>
      <c r="L55" s="375"/>
      <c r="M55" s="375"/>
      <c r="N55" s="375"/>
      <c r="O55" s="375"/>
      <c r="P55" s="375"/>
      <c r="Q55" s="375"/>
      <c r="R55" s="375"/>
      <c r="S55" s="375"/>
      <c r="T55" s="375"/>
      <c r="U55" s="375"/>
      <c r="V55" s="375"/>
      <c r="W55" s="375"/>
      <c r="X55" s="375"/>
      <c r="Y55" s="375"/>
      <c r="Z55" s="375"/>
      <c r="AA55" s="375"/>
      <c r="AB55" s="375"/>
      <c r="AC55" s="375"/>
      <c r="AD55" s="375"/>
      <c r="AE55" s="375"/>
      <c r="AF55" s="375"/>
      <c r="AG55" s="375"/>
      <c r="AH55" s="375"/>
      <c r="AI55" s="375"/>
      <c r="AJ55" s="375"/>
      <c r="AK55" s="375"/>
      <c r="AL55" s="375"/>
      <c r="AM55" s="375"/>
      <c r="AN55" s="375"/>
      <c r="AO55" s="376"/>
      <c r="AP55" s="188">
        <f>SUM(AP50:AP54)</f>
        <v>11115</v>
      </c>
      <c r="AQ55" s="189">
        <f>SUM(AQ50:AQ54)</f>
        <v>0</v>
      </c>
      <c r="AR55" s="190">
        <f>SUM(AR50:AR54)</f>
        <v>11115</v>
      </c>
    </row>
    <row r="56" spans="1:45" ht="21.95" customHeight="1" x14ac:dyDescent="0.2">
      <c r="A56" s="394" t="s">
        <v>12</v>
      </c>
      <c r="B56" s="395"/>
      <c r="C56" s="395"/>
      <c r="D56" s="395"/>
      <c r="E56" s="395"/>
      <c r="F56" s="395"/>
      <c r="G56" s="395"/>
      <c r="H56" s="395"/>
      <c r="I56" s="395"/>
      <c r="J56" s="395"/>
      <c r="K56" s="395"/>
      <c r="L56" s="395"/>
      <c r="M56" s="395"/>
      <c r="N56" s="395"/>
      <c r="O56" s="395"/>
      <c r="P56" s="395"/>
      <c r="Q56" s="395"/>
      <c r="R56" s="395"/>
      <c r="S56" s="395"/>
      <c r="T56" s="395"/>
      <c r="U56" s="395"/>
      <c r="V56" s="395"/>
      <c r="W56" s="395"/>
      <c r="X56" s="395"/>
      <c r="Y56" s="395"/>
      <c r="Z56" s="395"/>
      <c r="AA56" s="395"/>
      <c r="AB56" s="395"/>
      <c r="AC56" s="395"/>
      <c r="AD56" s="395"/>
      <c r="AE56" s="395"/>
      <c r="AF56" s="395"/>
      <c r="AG56" s="395"/>
      <c r="AH56" s="395"/>
      <c r="AI56" s="395"/>
      <c r="AJ56" s="395"/>
      <c r="AK56" s="395"/>
      <c r="AL56" s="396"/>
      <c r="AM56" s="181" t="s">
        <v>45</v>
      </c>
      <c r="AN56" s="430" t="s">
        <v>108</v>
      </c>
      <c r="AO56" s="431"/>
      <c r="AP56" s="132" t="s">
        <v>10</v>
      </c>
      <c r="AQ56" s="133" t="s">
        <v>110</v>
      </c>
      <c r="AR56" s="183" t="s">
        <v>48</v>
      </c>
    </row>
    <row r="57" spans="1:45" ht="21.95" customHeight="1" thickBot="1" x14ac:dyDescent="0.25">
      <c r="A57" s="218">
        <v>62077</v>
      </c>
      <c r="B57" s="191" t="s">
        <v>42</v>
      </c>
      <c r="C57" s="218" t="s">
        <v>13</v>
      </c>
      <c r="D57" s="192">
        <f>Loader!D7</f>
        <v>311.5</v>
      </c>
      <c r="E57" s="192">
        <f>Loader!D9</f>
        <v>516</v>
      </c>
      <c r="F57" s="192">
        <f>Loader!D11</f>
        <v>167.25</v>
      </c>
      <c r="G57" s="192">
        <f>Loader!D13</f>
        <v>361.25</v>
      </c>
      <c r="H57" s="192">
        <f>Loader!$D$15</f>
        <v>413.75</v>
      </c>
      <c r="I57" s="192">
        <f>Loader!D17</f>
        <v>422.5</v>
      </c>
      <c r="J57" s="192">
        <v>0</v>
      </c>
      <c r="K57" s="212">
        <v>0</v>
      </c>
      <c r="L57" s="192">
        <f>Loader!$D$23</f>
        <v>609</v>
      </c>
      <c r="M57" s="192">
        <f>Loader!D25</f>
        <v>217</v>
      </c>
      <c r="N57" s="212">
        <f>Loader!D27</f>
        <v>354.75</v>
      </c>
      <c r="O57" s="192">
        <f>Loader!D29</f>
        <v>505.5</v>
      </c>
      <c r="P57" s="192">
        <f>Loader!D31</f>
        <v>369.75</v>
      </c>
      <c r="Q57" s="192">
        <f>Loader!D33</f>
        <v>284</v>
      </c>
      <c r="R57" s="192">
        <f>Loader!D35</f>
        <v>322</v>
      </c>
      <c r="S57" s="192">
        <f>Loader!$D$37</f>
        <v>318.25</v>
      </c>
      <c r="T57" s="192">
        <f>Loader!D39</f>
        <v>251</v>
      </c>
      <c r="U57" s="192">
        <f>Loader!$D$50</f>
        <v>0</v>
      </c>
      <c r="V57" s="192">
        <f>Loader!$D$52</f>
        <v>0</v>
      </c>
      <c r="W57" s="192">
        <f>Loader!D54</f>
        <v>0</v>
      </c>
      <c r="X57" s="192">
        <f>Loader!$D$56</f>
        <v>0</v>
      </c>
      <c r="Y57" s="192">
        <f>Loader!$D$58</f>
        <v>0</v>
      </c>
      <c r="Z57" s="192">
        <f>Loader!D60</f>
        <v>0</v>
      </c>
      <c r="AA57" s="192">
        <f>Loader!$D$62</f>
        <v>10</v>
      </c>
      <c r="AB57" s="192">
        <f>Loader!$D$64</f>
        <v>60</v>
      </c>
      <c r="AC57" s="192">
        <f>Loader!$D$66</f>
        <v>396.5</v>
      </c>
      <c r="AD57" s="192">
        <f>Loader!$D$68</f>
        <v>523.5</v>
      </c>
      <c r="AE57" s="192">
        <f>Loader!$D$70</f>
        <v>272.25</v>
      </c>
      <c r="AF57" s="192">
        <f>Loader!$D$72</f>
        <v>479.5</v>
      </c>
      <c r="AG57" s="192">
        <f>Loader!$D$74</f>
        <v>422.7</v>
      </c>
      <c r="AH57" s="192">
        <f>Loader!$D$76</f>
        <v>0</v>
      </c>
      <c r="AI57" s="192">
        <f>Loader!$D$78</f>
        <v>0</v>
      </c>
      <c r="AJ57" s="192">
        <f>Loader!$D$80</f>
        <v>0</v>
      </c>
      <c r="AK57" s="192">
        <f>Loader!$D$82</f>
        <v>0</v>
      </c>
      <c r="AL57" s="192">
        <f>Loader!$D$84</f>
        <v>0</v>
      </c>
      <c r="AM57" s="307">
        <f>SUM(D57:AL57)</f>
        <v>7587.95</v>
      </c>
      <c r="AN57" s="428">
        <v>2</v>
      </c>
      <c r="AO57" s="429"/>
      <c r="AP57" s="184">
        <f>AM57*AN57</f>
        <v>15175.9</v>
      </c>
      <c r="AQ57" s="131">
        <v>0</v>
      </c>
      <c r="AR57" s="219">
        <f>AP57+AQ57</f>
        <v>15175.9</v>
      </c>
    </row>
    <row r="58" spans="1:45" ht="21.95" customHeight="1" x14ac:dyDescent="0.2">
      <c r="A58" s="397" t="s">
        <v>102</v>
      </c>
      <c r="B58" s="398"/>
      <c r="C58" s="398"/>
      <c r="D58" s="398"/>
      <c r="E58" s="398"/>
      <c r="F58" s="398"/>
      <c r="G58" s="398"/>
      <c r="H58" s="398"/>
      <c r="I58" s="398"/>
      <c r="J58" s="398"/>
      <c r="K58" s="398"/>
      <c r="L58" s="398"/>
      <c r="M58" s="398"/>
      <c r="N58" s="398"/>
      <c r="O58" s="398"/>
      <c r="P58" s="398"/>
      <c r="Q58" s="398"/>
      <c r="R58" s="398"/>
      <c r="S58" s="398"/>
      <c r="T58" s="398"/>
      <c r="U58" s="398"/>
      <c r="V58" s="398"/>
      <c r="W58" s="398"/>
      <c r="X58" s="398"/>
      <c r="Y58" s="398"/>
      <c r="Z58" s="398"/>
      <c r="AA58" s="398"/>
      <c r="AB58" s="398"/>
      <c r="AC58" s="398"/>
      <c r="AD58" s="398"/>
      <c r="AE58" s="398"/>
      <c r="AF58" s="398"/>
      <c r="AG58" s="398"/>
      <c r="AH58" s="398"/>
      <c r="AI58" s="398"/>
      <c r="AJ58" s="398"/>
      <c r="AK58" s="398"/>
      <c r="AL58" s="399"/>
      <c r="AM58" s="193" t="s">
        <v>45</v>
      </c>
      <c r="AN58" s="432" t="s">
        <v>108</v>
      </c>
      <c r="AO58" s="433"/>
      <c r="AP58" s="194" t="s">
        <v>10</v>
      </c>
      <c r="AQ58" s="195" t="s">
        <v>110</v>
      </c>
      <c r="AR58" s="196" t="s">
        <v>48</v>
      </c>
    </row>
    <row r="59" spans="1:45" ht="21.95" customHeight="1" x14ac:dyDescent="0.2">
      <c r="A59" s="222">
        <v>62068</v>
      </c>
      <c r="B59" s="68" t="s">
        <v>51</v>
      </c>
      <c r="C59" s="222" t="s">
        <v>49</v>
      </c>
      <c r="D59" s="102">
        <f>Loader!D7</f>
        <v>311.5</v>
      </c>
      <c r="E59" s="102">
        <f>Loader!D9</f>
        <v>516</v>
      </c>
      <c r="F59" s="102">
        <f>Loader!D11</f>
        <v>167.25</v>
      </c>
      <c r="G59" s="102">
        <f>Loader!D13</f>
        <v>361.25</v>
      </c>
      <c r="H59" s="102">
        <f>Loader!D15</f>
        <v>413.75</v>
      </c>
      <c r="I59" s="102">
        <f>Loader!D17</f>
        <v>422.5</v>
      </c>
      <c r="J59" s="102">
        <f>Loader!D19</f>
        <v>241</v>
      </c>
      <c r="K59" s="102">
        <v>0</v>
      </c>
      <c r="L59" s="102">
        <f>Loader!D23</f>
        <v>609</v>
      </c>
      <c r="M59" s="102">
        <f>Loader!D25</f>
        <v>217</v>
      </c>
      <c r="N59" s="102">
        <f>Loader!D27</f>
        <v>354.75</v>
      </c>
      <c r="O59" s="102">
        <f>Loader!D29</f>
        <v>505.5</v>
      </c>
      <c r="P59" s="102">
        <f>Loader!D31</f>
        <v>369.75</v>
      </c>
      <c r="Q59" s="217">
        <f>Loader!D33</f>
        <v>284</v>
      </c>
      <c r="R59" s="102">
        <f>Loader!D35</f>
        <v>322</v>
      </c>
      <c r="S59" s="102">
        <f>Loader!D37</f>
        <v>318.25</v>
      </c>
      <c r="T59" s="102">
        <f>Loader!D39</f>
        <v>251</v>
      </c>
      <c r="U59" s="102">
        <f>Loader!D50</f>
        <v>0</v>
      </c>
      <c r="V59" s="102">
        <f>Loader!D52</f>
        <v>0</v>
      </c>
      <c r="W59" s="102">
        <f>Loader!D54</f>
        <v>0</v>
      </c>
      <c r="X59" s="102">
        <f>Loader!D56</f>
        <v>0</v>
      </c>
      <c r="Y59" s="102">
        <f>Loader!D58</f>
        <v>0</v>
      </c>
      <c r="Z59" s="102">
        <f>Loader!D60</f>
        <v>0</v>
      </c>
      <c r="AA59" s="102">
        <f>Loader!D62</f>
        <v>10</v>
      </c>
      <c r="AB59" s="102">
        <f>Loader!D64</f>
        <v>60</v>
      </c>
      <c r="AC59" s="102">
        <f>Loader!D66</f>
        <v>396.5</v>
      </c>
      <c r="AD59" s="102">
        <f>Loader!D68</f>
        <v>523.5</v>
      </c>
      <c r="AE59" s="217">
        <f>Loader!D70</f>
        <v>272.25</v>
      </c>
      <c r="AF59" s="102">
        <f>Loader!D72</f>
        <v>479.5</v>
      </c>
      <c r="AG59" s="217">
        <f>Loader!D74</f>
        <v>422.7</v>
      </c>
      <c r="AH59" s="102">
        <f>Loader!D76</f>
        <v>0</v>
      </c>
      <c r="AI59" s="102">
        <f>Loader!D78</f>
        <v>0</v>
      </c>
      <c r="AJ59" s="102">
        <f>Loader!D80</f>
        <v>0</v>
      </c>
      <c r="AK59" s="102">
        <f>Loader!D82</f>
        <v>0</v>
      </c>
      <c r="AL59" s="102">
        <f>Loader!D84</f>
        <v>0</v>
      </c>
      <c r="AM59" s="70">
        <f>SUM(D59:AL59)</f>
        <v>7828.95</v>
      </c>
      <c r="AN59" s="410">
        <v>1</v>
      </c>
      <c r="AO59" s="410"/>
      <c r="AP59" s="130">
        <f t="shared" ref="AP59:AP67" si="30">AM59*$AN$59</f>
        <v>7828.95</v>
      </c>
      <c r="AQ59" s="130">
        <v>0</v>
      </c>
      <c r="AR59" s="176">
        <f>AP59+AQ59</f>
        <v>7828.95</v>
      </c>
    </row>
    <row r="60" spans="1:45" ht="21.95" customHeight="1" x14ac:dyDescent="0.2">
      <c r="A60" s="222">
        <v>63012</v>
      </c>
      <c r="B60" s="68" t="s">
        <v>53</v>
      </c>
      <c r="C60" s="222" t="s">
        <v>49</v>
      </c>
      <c r="D60" s="102">
        <f>Loader!D7</f>
        <v>311.5</v>
      </c>
      <c r="E60" s="102">
        <f>Loader!D9</f>
        <v>516</v>
      </c>
      <c r="F60" s="102">
        <f>Loader!D11</f>
        <v>167.25</v>
      </c>
      <c r="G60" s="102">
        <f>Loader!D13</f>
        <v>361.25</v>
      </c>
      <c r="H60" s="102">
        <f>Loader!D15</f>
        <v>413.75</v>
      </c>
      <c r="I60" s="102">
        <f>Loader!D17</f>
        <v>422.5</v>
      </c>
      <c r="J60" s="102">
        <f>Loader!D19</f>
        <v>241</v>
      </c>
      <c r="K60" s="102">
        <v>0</v>
      </c>
      <c r="L60" s="102">
        <f>Loader!D23</f>
        <v>609</v>
      </c>
      <c r="M60" s="102">
        <v>0</v>
      </c>
      <c r="N60" s="102">
        <v>0</v>
      </c>
      <c r="O60" s="102">
        <f>Loader!D29</f>
        <v>505.5</v>
      </c>
      <c r="P60" s="102">
        <f>Loader!D31</f>
        <v>369.75</v>
      </c>
      <c r="Q60" s="102">
        <f>Loader!D33</f>
        <v>284</v>
      </c>
      <c r="R60" s="102">
        <f>Loader!D35</f>
        <v>322</v>
      </c>
      <c r="S60" s="102">
        <f>Loader!D37</f>
        <v>318.25</v>
      </c>
      <c r="T60" s="102">
        <f>Loader!D39</f>
        <v>251</v>
      </c>
      <c r="U60" s="102">
        <f>Loader!D50</f>
        <v>0</v>
      </c>
      <c r="V60" s="102">
        <f>Loader!D52</f>
        <v>0</v>
      </c>
      <c r="W60" s="102">
        <f>Loader!D54</f>
        <v>0</v>
      </c>
      <c r="X60" s="102">
        <f>Loader!D56</f>
        <v>0</v>
      </c>
      <c r="Y60" s="102">
        <f>Loader!D58</f>
        <v>0</v>
      </c>
      <c r="Z60" s="102">
        <f>Loader!D60</f>
        <v>0</v>
      </c>
      <c r="AA60" s="102">
        <f>Loader!D62</f>
        <v>10</v>
      </c>
      <c r="AB60" s="102">
        <v>0</v>
      </c>
      <c r="AC60" s="102">
        <f>Loader!D66</f>
        <v>396.5</v>
      </c>
      <c r="AD60" s="102">
        <f>Loader!D68</f>
        <v>523.5</v>
      </c>
      <c r="AE60" s="102">
        <f>Loader!D70</f>
        <v>272.25</v>
      </c>
      <c r="AF60" s="102">
        <f>Loader!D72</f>
        <v>479.5</v>
      </c>
      <c r="AG60" s="102">
        <f>Loader!D74</f>
        <v>422.7</v>
      </c>
      <c r="AH60" s="102">
        <f>Loader!D76</f>
        <v>0</v>
      </c>
      <c r="AI60" s="102">
        <f>Loader!D78</f>
        <v>0</v>
      </c>
      <c r="AJ60" s="102">
        <f>Loader!D80</f>
        <v>0</v>
      </c>
      <c r="AK60" s="102">
        <f>Loader!D82</f>
        <v>0</v>
      </c>
      <c r="AL60" s="102">
        <f>Loader!D84</f>
        <v>0</v>
      </c>
      <c r="AM60" s="70">
        <f>SUM(D60:AL60)</f>
        <v>7197.2</v>
      </c>
      <c r="AN60" s="392">
        <v>1</v>
      </c>
      <c r="AO60" s="392"/>
      <c r="AP60" s="128">
        <f t="shared" si="30"/>
        <v>7197.2</v>
      </c>
      <c r="AQ60" s="128">
        <v>0</v>
      </c>
      <c r="AR60" s="177">
        <f>AP60+AQ60</f>
        <v>7197.2</v>
      </c>
      <c r="AS60" s="106"/>
    </row>
    <row r="61" spans="1:45" ht="21.95" customHeight="1" x14ac:dyDescent="0.2">
      <c r="A61" s="222">
        <v>63033</v>
      </c>
      <c r="B61" s="68" t="s">
        <v>69</v>
      </c>
      <c r="C61" s="222" t="s">
        <v>50</v>
      </c>
      <c r="D61" s="102">
        <f>Loader!D7</f>
        <v>311.5</v>
      </c>
      <c r="E61" s="102">
        <f>Loader!D9</f>
        <v>516</v>
      </c>
      <c r="F61" s="102">
        <f>Loader!D11</f>
        <v>167.25</v>
      </c>
      <c r="G61" s="102">
        <f>Loader!D13</f>
        <v>361.25</v>
      </c>
      <c r="H61" s="102">
        <f>Loader!D15</f>
        <v>413.75</v>
      </c>
      <c r="I61" s="102">
        <f>Loader!D17</f>
        <v>422.5</v>
      </c>
      <c r="J61" s="102">
        <f>Loader!D19</f>
        <v>241</v>
      </c>
      <c r="K61" s="102">
        <v>0</v>
      </c>
      <c r="L61" s="102">
        <f>Loader!D23</f>
        <v>609</v>
      </c>
      <c r="M61" s="102">
        <f>Loader!D25</f>
        <v>217</v>
      </c>
      <c r="N61" s="102">
        <f>Loader!D27</f>
        <v>354.75</v>
      </c>
      <c r="O61" s="102">
        <v>0</v>
      </c>
      <c r="P61" s="102">
        <f>Loader!D31</f>
        <v>369.75</v>
      </c>
      <c r="Q61" s="102">
        <f>Loader!D33</f>
        <v>284</v>
      </c>
      <c r="R61" s="102">
        <f>Loader!D35</f>
        <v>322</v>
      </c>
      <c r="S61" s="102">
        <f>Loader!D37</f>
        <v>318.25</v>
      </c>
      <c r="T61" s="102">
        <f>Loader!D39</f>
        <v>251</v>
      </c>
      <c r="U61" s="102">
        <f>Loader!D50</f>
        <v>0</v>
      </c>
      <c r="V61" s="102">
        <f>Loader!D52</f>
        <v>0</v>
      </c>
      <c r="W61" s="102">
        <f>Loader!D54</f>
        <v>0</v>
      </c>
      <c r="X61" s="127">
        <f>Loader!D56</f>
        <v>0</v>
      </c>
      <c r="Y61" s="102">
        <f>Loader!D58</f>
        <v>0</v>
      </c>
      <c r="Z61" s="102">
        <f>Loader!D60</f>
        <v>0</v>
      </c>
      <c r="AA61" s="102">
        <f>Loader!D62</f>
        <v>10</v>
      </c>
      <c r="AB61" s="217">
        <f>Loader!D64</f>
        <v>60</v>
      </c>
      <c r="AC61" s="102">
        <v>0</v>
      </c>
      <c r="AD61" s="102">
        <f>Loader!D68</f>
        <v>523.5</v>
      </c>
      <c r="AE61" s="102">
        <f>Loader!D70</f>
        <v>272.25</v>
      </c>
      <c r="AF61" s="102">
        <f>Loader!D72</f>
        <v>479.5</v>
      </c>
      <c r="AG61" s="102">
        <f>Loader!D74</f>
        <v>422.7</v>
      </c>
      <c r="AH61" s="102">
        <f>Loader!D76</f>
        <v>0</v>
      </c>
      <c r="AI61" s="102">
        <f>Loader!D78</f>
        <v>0</v>
      </c>
      <c r="AJ61" s="102">
        <f>Loader!D80</f>
        <v>0</v>
      </c>
      <c r="AK61" s="102">
        <f>Loader!D82</f>
        <v>0</v>
      </c>
      <c r="AL61" s="102">
        <f>Loader!D84</f>
        <v>0</v>
      </c>
      <c r="AM61" s="70">
        <f t="shared" ref="AM61:AM66" si="31">SUM(D61:AL61)</f>
        <v>6926.95</v>
      </c>
      <c r="AN61" s="392">
        <v>1</v>
      </c>
      <c r="AO61" s="392"/>
      <c r="AP61" s="128">
        <f t="shared" si="30"/>
        <v>6926.95</v>
      </c>
      <c r="AQ61" s="128">
        <v>0</v>
      </c>
      <c r="AR61" s="177">
        <f t="shared" ref="AR61:AR67" si="32">AP61+AQ61</f>
        <v>6926.95</v>
      </c>
      <c r="AS61" s="106"/>
    </row>
    <row r="62" spans="1:45" ht="21.95" customHeight="1" x14ac:dyDescent="0.2">
      <c r="A62" s="218">
        <v>64018</v>
      </c>
      <c r="B62" s="113" t="s">
        <v>88</v>
      </c>
      <c r="C62" s="218" t="s">
        <v>50</v>
      </c>
      <c r="D62" s="101">
        <f>Loader!D7</f>
        <v>311.5</v>
      </c>
      <c r="E62" s="101">
        <f>Loader!D9</f>
        <v>516</v>
      </c>
      <c r="F62" s="101">
        <f>Loader!D11</f>
        <v>167.25</v>
      </c>
      <c r="G62" s="101">
        <f>Loader!D13</f>
        <v>361.25</v>
      </c>
      <c r="H62" s="101">
        <f>Loader!D15</f>
        <v>413.75</v>
      </c>
      <c r="I62" s="101">
        <f>Loader!D17</f>
        <v>422.5</v>
      </c>
      <c r="J62" s="101">
        <f>Loader!D19</f>
        <v>241</v>
      </c>
      <c r="K62" s="101">
        <v>0</v>
      </c>
      <c r="L62" s="101">
        <f>Loader!D23</f>
        <v>609</v>
      </c>
      <c r="M62" s="213">
        <f>Loader!D25</f>
        <v>217</v>
      </c>
      <c r="N62" s="101">
        <f>Loader!D27</f>
        <v>354.75</v>
      </c>
      <c r="O62" s="101">
        <f>Loader!D29</f>
        <v>505.5</v>
      </c>
      <c r="P62" s="101">
        <v>0</v>
      </c>
      <c r="Q62" s="101">
        <f>Loader!D33</f>
        <v>284</v>
      </c>
      <c r="R62" s="101">
        <f>Loader!D35</f>
        <v>322</v>
      </c>
      <c r="S62" s="101">
        <f>Loader!D37</f>
        <v>318.25</v>
      </c>
      <c r="T62" s="101">
        <f>Loader!D39</f>
        <v>251</v>
      </c>
      <c r="U62" s="101">
        <f>Loader!D50</f>
        <v>0</v>
      </c>
      <c r="V62" s="101">
        <f>Loader!D52</f>
        <v>0</v>
      </c>
      <c r="W62" s="101">
        <f>Loader!D54</f>
        <v>0</v>
      </c>
      <c r="X62" s="101">
        <f>Loader!D56</f>
        <v>0</v>
      </c>
      <c r="Y62" s="101">
        <f>Loader!D58</f>
        <v>0</v>
      </c>
      <c r="Z62" s="101">
        <f>Loader!D60</f>
        <v>0</v>
      </c>
      <c r="AA62" s="101">
        <f>Loader!D62</f>
        <v>10</v>
      </c>
      <c r="AB62" s="101">
        <f>Loader!D64</f>
        <v>60</v>
      </c>
      <c r="AC62" s="101">
        <f>Loader!D66</f>
        <v>396.5</v>
      </c>
      <c r="AD62" s="101">
        <f>Loader!D68</f>
        <v>523.5</v>
      </c>
      <c r="AE62" s="101">
        <f>Loader!D70</f>
        <v>272.25</v>
      </c>
      <c r="AF62" s="101">
        <f>Loader!D72</f>
        <v>479.5</v>
      </c>
      <c r="AG62" s="101">
        <f>Loader!D74</f>
        <v>422.7</v>
      </c>
      <c r="AH62" s="101">
        <f>Loader!D76</f>
        <v>0</v>
      </c>
      <c r="AI62" s="102">
        <f>Loader!D78</f>
        <v>0</v>
      </c>
      <c r="AJ62" s="102">
        <f>Loader!D80</f>
        <v>0</v>
      </c>
      <c r="AK62" s="102">
        <f>Loader!D82</f>
        <v>0</v>
      </c>
      <c r="AL62" s="102">
        <f>Loader!D84</f>
        <v>0</v>
      </c>
      <c r="AM62" s="111">
        <f t="shared" si="31"/>
        <v>7459.2</v>
      </c>
      <c r="AN62" s="392">
        <v>1</v>
      </c>
      <c r="AO62" s="392"/>
      <c r="AP62" s="128">
        <f t="shared" si="30"/>
        <v>7459.2</v>
      </c>
      <c r="AQ62" s="128">
        <v>0</v>
      </c>
      <c r="AR62" s="177">
        <f t="shared" si="32"/>
        <v>7459.2</v>
      </c>
    </row>
    <row r="63" spans="1:45" ht="21.95" customHeight="1" x14ac:dyDescent="0.2">
      <c r="A63" s="218">
        <v>66075</v>
      </c>
      <c r="B63" s="113" t="s">
        <v>105</v>
      </c>
      <c r="C63" s="112" t="s">
        <v>50</v>
      </c>
      <c r="D63" s="101">
        <v>0</v>
      </c>
      <c r="E63" s="101">
        <v>0</v>
      </c>
      <c r="F63" s="101">
        <f>Loader!D11</f>
        <v>167.25</v>
      </c>
      <c r="G63" s="101">
        <f>Loader!D13</f>
        <v>361.25</v>
      </c>
      <c r="H63" s="101">
        <f>Loader!D15</f>
        <v>413.75</v>
      </c>
      <c r="I63" s="101">
        <f>Loader!D17</f>
        <v>422.5</v>
      </c>
      <c r="J63" s="101">
        <f>Loader!D19</f>
        <v>241</v>
      </c>
      <c r="K63" s="101">
        <v>0</v>
      </c>
      <c r="L63" s="101">
        <f>Loader!D23</f>
        <v>609</v>
      </c>
      <c r="M63" s="101">
        <v>0</v>
      </c>
      <c r="N63" s="101">
        <v>0</v>
      </c>
      <c r="O63" s="101">
        <f>Loader!D29</f>
        <v>505.5</v>
      </c>
      <c r="P63" s="101">
        <f>Loader!D31</f>
        <v>369.75</v>
      </c>
      <c r="Q63" s="101">
        <f>Loader!D33</f>
        <v>284</v>
      </c>
      <c r="R63" s="101">
        <f>Loader!D35</f>
        <v>322</v>
      </c>
      <c r="S63" s="101">
        <f>Loader!D37</f>
        <v>318.25</v>
      </c>
      <c r="T63" s="101">
        <f>Loader!D39</f>
        <v>251</v>
      </c>
      <c r="U63" s="101">
        <f>Loader!D50</f>
        <v>0</v>
      </c>
      <c r="V63" s="101">
        <f>Loader!D52</f>
        <v>0</v>
      </c>
      <c r="W63" s="101">
        <f>Loader!D54</f>
        <v>0</v>
      </c>
      <c r="X63" s="101">
        <f>Loader!D56</f>
        <v>0</v>
      </c>
      <c r="Y63" s="101">
        <f>Loader!D58</f>
        <v>0</v>
      </c>
      <c r="Z63" s="101">
        <f>Loader!D60</f>
        <v>0</v>
      </c>
      <c r="AA63" s="101">
        <f>Loader!D62</f>
        <v>10</v>
      </c>
      <c r="AB63" s="101">
        <f>Loader!D64</f>
        <v>60</v>
      </c>
      <c r="AC63" s="101">
        <f>Loader!D66</f>
        <v>396.5</v>
      </c>
      <c r="AD63" s="101">
        <f>Loader!D68</f>
        <v>523.5</v>
      </c>
      <c r="AE63" s="101">
        <v>0</v>
      </c>
      <c r="AF63" s="101">
        <f>Loader!D72</f>
        <v>479.5</v>
      </c>
      <c r="AG63" s="101">
        <f>Loader!D74</f>
        <v>422.7</v>
      </c>
      <c r="AH63" s="101">
        <f>Loader!D76</f>
        <v>0</v>
      </c>
      <c r="AI63" s="102">
        <f>Loader!D78</f>
        <v>0</v>
      </c>
      <c r="AJ63" s="102">
        <f>Loader!D80</f>
        <v>0</v>
      </c>
      <c r="AK63" s="102">
        <f>Loader!D82</f>
        <v>0</v>
      </c>
      <c r="AL63" s="102">
        <f>Loader!D84</f>
        <v>0</v>
      </c>
      <c r="AM63" s="111">
        <f t="shared" si="31"/>
        <v>6157.45</v>
      </c>
      <c r="AN63" s="392">
        <v>1</v>
      </c>
      <c r="AO63" s="392"/>
      <c r="AP63" s="128">
        <f t="shared" si="30"/>
        <v>6157.45</v>
      </c>
      <c r="AQ63" s="128">
        <v>0</v>
      </c>
      <c r="AR63" s="177">
        <f t="shared" si="32"/>
        <v>6157.45</v>
      </c>
    </row>
    <row r="64" spans="1:45" ht="21.95" customHeight="1" x14ac:dyDescent="0.2">
      <c r="A64" s="218">
        <v>67087</v>
      </c>
      <c r="B64" s="113" t="s">
        <v>123</v>
      </c>
      <c r="C64" s="112" t="s">
        <v>50</v>
      </c>
      <c r="D64" s="101">
        <f>Loader!D7</f>
        <v>311.5</v>
      </c>
      <c r="E64" s="101">
        <f>Loader!D9</f>
        <v>516</v>
      </c>
      <c r="F64" s="101">
        <f>Loader!D11</f>
        <v>167.25</v>
      </c>
      <c r="G64" s="101">
        <f>Loader!D13</f>
        <v>361.25</v>
      </c>
      <c r="H64" s="101">
        <f>Loader!D15</f>
        <v>413.75</v>
      </c>
      <c r="I64" s="101">
        <f>Loader!D17</f>
        <v>422.5</v>
      </c>
      <c r="J64" s="101">
        <f>Loader!D19</f>
        <v>241</v>
      </c>
      <c r="K64" s="101">
        <v>0</v>
      </c>
      <c r="L64" s="101">
        <f>Loader!D23</f>
        <v>609</v>
      </c>
      <c r="M64" s="101">
        <f>Loader!D25</f>
        <v>217</v>
      </c>
      <c r="N64" s="101">
        <f>Loader!D27</f>
        <v>354.75</v>
      </c>
      <c r="O64" s="101">
        <f>Loader!D29</f>
        <v>505.5</v>
      </c>
      <c r="P64" s="101">
        <f>Loader!D31</f>
        <v>369.75</v>
      </c>
      <c r="Q64" s="213">
        <f>Loader!D33</f>
        <v>284</v>
      </c>
      <c r="R64" s="213">
        <f>Loader!D35</f>
        <v>322</v>
      </c>
      <c r="S64" s="101">
        <f>Loader!D37</f>
        <v>318.25</v>
      </c>
      <c r="T64" s="101">
        <f>Loader!D39</f>
        <v>251</v>
      </c>
      <c r="U64" s="101">
        <f>Loader!D50</f>
        <v>0</v>
      </c>
      <c r="V64" s="101">
        <f>Loader!D52</f>
        <v>0</v>
      </c>
      <c r="W64" s="101">
        <f>Loader!D54</f>
        <v>0</v>
      </c>
      <c r="X64" s="101">
        <f>Loader!D56</f>
        <v>0</v>
      </c>
      <c r="Y64" s="101">
        <f>Loader!D58</f>
        <v>0</v>
      </c>
      <c r="Z64" s="101">
        <f>Loader!D60</f>
        <v>0</v>
      </c>
      <c r="AA64" s="101">
        <f>Loader!D62</f>
        <v>10</v>
      </c>
      <c r="AB64" s="101">
        <f>Loader!D64</f>
        <v>60</v>
      </c>
      <c r="AC64" s="101">
        <f>Loader!D66</f>
        <v>396.5</v>
      </c>
      <c r="AD64" s="213">
        <f>Loader!D68</f>
        <v>523.5</v>
      </c>
      <c r="AE64" s="101">
        <f>Loader!D70</f>
        <v>272.25</v>
      </c>
      <c r="AF64" s="101">
        <f>Loader!D72</f>
        <v>479.5</v>
      </c>
      <c r="AG64" s="101">
        <f>Loader!D74</f>
        <v>422.7</v>
      </c>
      <c r="AH64" s="101">
        <f>Loader!D76</f>
        <v>0</v>
      </c>
      <c r="AI64" s="102">
        <f>Loader!D78</f>
        <v>0</v>
      </c>
      <c r="AJ64" s="102">
        <f>Loader!D80</f>
        <v>0</v>
      </c>
      <c r="AK64" s="102">
        <f>Loader!D82</f>
        <v>0</v>
      </c>
      <c r="AL64" s="102">
        <f>Loader!D84</f>
        <v>0</v>
      </c>
      <c r="AM64" s="111">
        <f t="shared" si="31"/>
        <v>7828.95</v>
      </c>
      <c r="AN64" s="392">
        <v>1</v>
      </c>
      <c r="AO64" s="392"/>
      <c r="AP64" s="128">
        <f t="shared" si="30"/>
        <v>7828.95</v>
      </c>
      <c r="AQ64" s="128">
        <v>0</v>
      </c>
      <c r="AR64" s="177">
        <f t="shared" ref="AR64:AR65" si="33">AP64+AQ64</f>
        <v>7828.95</v>
      </c>
    </row>
    <row r="65" spans="1:44" ht="21.95" customHeight="1" x14ac:dyDescent="0.2">
      <c r="A65" s="218">
        <v>66097</v>
      </c>
      <c r="B65" s="113" t="s">
        <v>118</v>
      </c>
      <c r="C65" s="112" t="s">
        <v>50</v>
      </c>
      <c r="D65" s="101">
        <f>Loader!D7</f>
        <v>311.5</v>
      </c>
      <c r="E65" s="101">
        <f>Loader!D9</f>
        <v>516</v>
      </c>
      <c r="F65" s="101">
        <f>Loader!D11</f>
        <v>167.25</v>
      </c>
      <c r="G65" s="101">
        <f>Loader!D13</f>
        <v>361.25</v>
      </c>
      <c r="H65" s="101">
        <f>Loader!D15</f>
        <v>413.75</v>
      </c>
      <c r="I65" s="101">
        <f>Loader!D17</f>
        <v>422.5</v>
      </c>
      <c r="J65" s="101">
        <v>0</v>
      </c>
      <c r="K65" s="101">
        <v>0</v>
      </c>
      <c r="L65" s="213">
        <f>Loader!D23</f>
        <v>609</v>
      </c>
      <c r="M65" s="101">
        <f>Loader!D25</f>
        <v>217</v>
      </c>
      <c r="N65" s="101">
        <f>Loader!D27</f>
        <v>354.75</v>
      </c>
      <c r="O65" s="101">
        <f>Loader!D29</f>
        <v>505.5</v>
      </c>
      <c r="P65" s="213">
        <f>Loader!D31</f>
        <v>369.75</v>
      </c>
      <c r="Q65" s="101">
        <f>Loader!D33</f>
        <v>284</v>
      </c>
      <c r="R65" s="101">
        <f>Loader!D35</f>
        <v>322</v>
      </c>
      <c r="S65" s="101">
        <f>Loader!D37</f>
        <v>318.25</v>
      </c>
      <c r="T65" s="101">
        <f>Loader!D39</f>
        <v>251</v>
      </c>
      <c r="U65" s="101">
        <f>Loader!D50</f>
        <v>0</v>
      </c>
      <c r="V65" s="101">
        <f>Loader!D52</f>
        <v>0</v>
      </c>
      <c r="W65" s="101">
        <f>Loader!D54</f>
        <v>0</v>
      </c>
      <c r="X65" s="101">
        <f>Loader!D56</f>
        <v>0</v>
      </c>
      <c r="Y65" s="101">
        <f>Loader!D58</f>
        <v>0</v>
      </c>
      <c r="Z65" s="101">
        <f>Loader!D60</f>
        <v>0</v>
      </c>
      <c r="AA65" s="101">
        <f>Loader!D62</f>
        <v>10</v>
      </c>
      <c r="AB65" s="101">
        <f>Loader!D64</f>
        <v>60</v>
      </c>
      <c r="AC65" s="101">
        <f>Loader!D66</f>
        <v>396.5</v>
      </c>
      <c r="AD65" s="101">
        <f>Loader!D68</f>
        <v>523.5</v>
      </c>
      <c r="AE65" s="101">
        <f>Loader!D70</f>
        <v>272.25</v>
      </c>
      <c r="AF65" s="101">
        <f>Loader!D72</f>
        <v>479.5</v>
      </c>
      <c r="AG65" s="213">
        <f>Loader!D74</f>
        <v>422.7</v>
      </c>
      <c r="AH65" s="101">
        <f>Loader!D76</f>
        <v>0</v>
      </c>
      <c r="AI65" s="102">
        <f>Loader!D78</f>
        <v>0</v>
      </c>
      <c r="AJ65" s="102">
        <f>Loader!D80</f>
        <v>0</v>
      </c>
      <c r="AK65" s="102">
        <f>Loader!D82</f>
        <v>0</v>
      </c>
      <c r="AL65" s="102">
        <f>Loader!D84</f>
        <v>0</v>
      </c>
      <c r="AM65" s="111">
        <f t="shared" si="31"/>
        <v>7587.95</v>
      </c>
      <c r="AN65" s="392">
        <v>1</v>
      </c>
      <c r="AO65" s="392"/>
      <c r="AP65" s="128">
        <f t="shared" si="30"/>
        <v>7587.95</v>
      </c>
      <c r="AQ65" s="128">
        <v>0</v>
      </c>
      <c r="AR65" s="177">
        <f t="shared" si="33"/>
        <v>7587.95</v>
      </c>
    </row>
    <row r="66" spans="1:44" ht="21.95" customHeight="1" x14ac:dyDescent="0.2">
      <c r="A66" s="218">
        <v>66102</v>
      </c>
      <c r="B66" s="113" t="s">
        <v>119</v>
      </c>
      <c r="C66" s="112" t="s">
        <v>120</v>
      </c>
      <c r="D66" s="101">
        <f>Loader!D7</f>
        <v>311.5</v>
      </c>
      <c r="E66" s="101">
        <f>Loader!D9</f>
        <v>516</v>
      </c>
      <c r="F66" s="101">
        <f>Loader!D11</f>
        <v>167.25</v>
      </c>
      <c r="G66" s="101">
        <f>Loader!D13</f>
        <v>361.25</v>
      </c>
      <c r="H66" s="101">
        <f>Loader!D15</f>
        <v>413.75</v>
      </c>
      <c r="I66" s="101">
        <f>Loader!D17</f>
        <v>422.5</v>
      </c>
      <c r="J66" s="101">
        <f>Loader!D19</f>
        <v>241</v>
      </c>
      <c r="K66" s="101">
        <v>0</v>
      </c>
      <c r="L66" s="101">
        <f>Loader!D23</f>
        <v>609</v>
      </c>
      <c r="M66" s="101">
        <f>Loader!D25</f>
        <v>217</v>
      </c>
      <c r="N66" s="101">
        <f>Loader!D27</f>
        <v>354.75</v>
      </c>
      <c r="O66" s="101">
        <f>Loader!D29</f>
        <v>505.5</v>
      </c>
      <c r="P66" s="101">
        <f>Loader!D31</f>
        <v>369.75</v>
      </c>
      <c r="Q66" s="101">
        <f>Loader!D33</f>
        <v>284</v>
      </c>
      <c r="R66" s="101">
        <f>Loader!D35</f>
        <v>322</v>
      </c>
      <c r="S66" s="101">
        <f>Loader!D37</f>
        <v>318.25</v>
      </c>
      <c r="T66" s="101">
        <f>Loader!D39</f>
        <v>251</v>
      </c>
      <c r="U66" s="213">
        <f>Loader!D50</f>
        <v>0</v>
      </c>
      <c r="V66" s="213">
        <f>Loader!D52</f>
        <v>0</v>
      </c>
      <c r="W66" s="213">
        <f>Loader!D54</f>
        <v>0</v>
      </c>
      <c r="X66" s="213">
        <f>Loader!D56</f>
        <v>0</v>
      </c>
      <c r="Y66" s="101">
        <f>Loader!D58</f>
        <v>0</v>
      </c>
      <c r="Z66" s="101">
        <f>Loader!D60</f>
        <v>0</v>
      </c>
      <c r="AA66" s="101">
        <f>Loader!D62</f>
        <v>10</v>
      </c>
      <c r="AB66" s="101">
        <f>Loader!D64</f>
        <v>60</v>
      </c>
      <c r="AC66" s="213">
        <f>Loader!D66</f>
        <v>396.5</v>
      </c>
      <c r="AD66" s="213">
        <f>Loader!D68</f>
        <v>523.5</v>
      </c>
      <c r="AE66" s="213">
        <f>Loader!D70</f>
        <v>272.25</v>
      </c>
      <c r="AF66" s="101">
        <f>Loader!D72</f>
        <v>479.5</v>
      </c>
      <c r="AG66" s="101">
        <f>Loader!D74</f>
        <v>422.7</v>
      </c>
      <c r="AH66" s="101">
        <f>Loader!D76</f>
        <v>0</v>
      </c>
      <c r="AI66" s="102">
        <f>Loader!D78</f>
        <v>0</v>
      </c>
      <c r="AJ66" s="102">
        <f>Loader!D80</f>
        <v>0</v>
      </c>
      <c r="AK66" s="102">
        <f>Loader!D82</f>
        <v>0</v>
      </c>
      <c r="AL66" s="102">
        <f>Loader!D84</f>
        <v>0</v>
      </c>
      <c r="AM66" s="111">
        <f t="shared" si="31"/>
        <v>7828.95</v>
      </c>
      <c r="AN66" s="392">
        <v>1</v>
      </c>
      <c r="AO66" s="392"/>
      <c r="AP66" s="128">
        <f t="shared" si="30"/>
        <v>7828.95</v>
      </c>
      <c r="AQ66" s="128">
        <v>0</v>
      </c>
      <c r="AR66" s="177">
        <f t="shared" si="32"/>
        <v>7828.95</v>
      </c>
    </row>
    <row r="67" spans="1:44" ht="21.95" customHeight="1" thickBot="1" x14ac:dyDescent="0.25">
      <c r="A67" s="223">
        <v>64020</v>
      </c>
      <c r="B67" s="60" t="s">
        <v>89</v>
      </c>
      <c r="C67" s="96" t="s">
        <v>90</v>
      </c>
      <c r="D67" s="103">
        <f>Loader!D7</f>
        <v>311.5</v>
      </c>
      <c r="E67" s="103">
        <f>Loader!D9</f>
        <v>516</v>
      </c>
      <c r="F67" s="103">
        <f>Loader!D11</f>
        <v>167.25</v>
      </c>
      <c r="G67" s="103">
        <f>Loader!D13</f>
        <v>361.25</v>
      </c>
      <c r="H67" s="103">
        <f>Loader!D15</f>
        <v>413.75</v>
      </c>
      <c r="I67" s="103">
        <v>0</v>
      </c>
      <c r="J67" s="103">
        <f>Loader!D19</f>
        <v>241</v>
      </c>
      <c r="K67" s="103">
        <v>0</v>
      </c>
      <c r="L67" s="103">
        <f>Loader!D23</f>
        <v>609</v>
      </c>
      <c r="M67" s="103">
        <f>Loader!D25</f>
        <v>217</v>
      </c>
      <c r="N67" s="214">
        <f>Loader!D27</f>
        <v>354.75</v>
      </c>
      <c r="O67" s="103">
        <f>Loader!D29</f>
        <v>505.5</v>
      </c>
      <c r="P67" s="103">
        <f>Loader!D31</f>
        <v>369.75</v>
      </c>
      <c r="Q67" s="103">
        <v>0</v>
      </c>
      <c r="R67" s="103">
        <f>Loader!D35</f>
        <v>322</v>
      </c>
      <c r="S67" s="103">
        <f>Loader!D37</f>
        <v>318.25</v>
      </c>
      <c r="T67" s="103">
        <f>Loader!D39</f>
        <v>251</v>
      </c>
      <c r="U67" s="103">
        <f>Loader!D50</f>
        <v>0</v>
      </c>
      <c r="V67" s="103">
        <f>Loader!D52</f>
        <v>0</v>
      </c>
      <c r="W67" s="103">
        <f>Loader!D54</f>
        <v>0</v>
      </c>
      <c r="X67" s="103">
        <f>Loader!D56</f>
        <v>0</v>
      </c>
      <c r="Y67" s="103">
        <f>Loader!D58</f>
        <v>0</v>
      </c>
      <c r="Z67" s="103">
        <f>Loader!D60</f>
        <v>0</v>
      </c>
      <c r="AA67" s="103">
        <f>Loader!D62</f>
        <v>10</v>
      </c>
      <c r="AB67" s="214">
        <f>Loader!D64</f>
        <v>60</v>
      </c>
      <c r="AC67" s="103">
        <f>Loader!D66</f>
        <v>396.5</v>
      </c>
      <c r="AD67" s="103">
        <f>Loader!D68</f>
        <v>523.5</v>
      </c>
      <c r="AE67" s="103">
        <f>Loader!D70</f>
        <v>272.25</v>
      </c>
      <c r="AF67" s="214">
        <f>Loader!D72</f>
        <v>479.5</v>
      </c>
      <c r="AG67" s="103">
        <f>Loader!D74</f>
        <v>422.7</v>
      </c>
      <c r="AH67" s="103">
        <f>Loader!D76</f>
        <v>0</v>
      </c>
      <c r="AI67" s="102">
        <f>Loader!D78</f>
        <v>0</v>
      </c>
      <c r="AJ67" s="102">
        <f>Loader!D80</f>
        <v>0</v>
      </c>
      <c r="AK67" s="102">
        <f>Loader!D82</f>
        <v>0</v>
      </c>
      <c r="AL67" s="102">
        <f>Loader!D84</f>
        <v>0</v>
      </c>
      <c r="AM67" s="71">
        <f t="shared" ref="AM67" si="34">SUM(D67:AL67)</f>
        <v>7122.45</v>
      </c>
      <c r="AN67" s="393">
        <v>1</v>
      </c>
      <c r="AO67" s="393"/>
      <c r="AP67" s="129">
        <f t="shared" si="30"/>
        <v>7122.45</v>
      </c>
      <c r="AQ67" s="129">
        <v>0</v>
      </c>
      <c r="AR67" s="177">
        <f t="shared" si="32"/>
        <v>7122.45</v>
      </c>
    </row>
    <row r="68" spans="1:44" ht="24" customHeight="1" thickBot="1" x14ac:dyDescent="0.25">
      <c r="A68" s="385" t="s">
        <v>10</v>
      </c>
      <c r="B68" s="386"/>
      <c r="C68" s="386"/>
      <c r="D68" s="386"/>
      <c r="E68" s="386"/>
      <c r="F68" s="386"/>
      <c r="G68" s="386"/>
      <c r="H68" s="386"/>
      <c r="I68" s="386"/>
      <c r="J68" s="386"/>
      <c r="K68" s="386"/>
      <c r="L68" s="386"/>
      <c r="M68" s="386"/>
      <c r="N68" s="386"/>
      <c r="O68" s="386"/>
      <c r="P68" s="386"/>
      <c r="Q68" s="386"/>
      <c r="R68" s="386"/>
      <c r="S68" s="386"/>
      <c r="T68" s="386"/>
      <c r="U68" s="386"/>
      <c r="V68" s="386"/>
      <c r="W68" s="386"/>
      <c r="X68" s="386"/>
      <c r="Y68" s="386"/>
      <c r="Z68" s="386"/>
      <c r="AA68" s="386"/>
      <c r="AB68" s="386"/>
      <c r="AC68" s="386"/>
      <c r="AD68" s="386"/>
      <c r="AE68" s="386"/>
      <c r="AF68" s="386"/>
      <c r="AG68" s="386"/>
      <c r="AH68" s="386"/>
      <c r="AI68" s="386"/>
      <c r="AJ68" s="386"/>
      <c r="AK68" s="386"/>
      <c r="AL68" s="386"/>
      <c r="AM68" s="386"/>
      <c r="AN68" s="386"/>
      <c r="AO68" s="387"/>
      <c r="AP68" s="206">
        <f>SUM(AP59:AP67)</f>
        <v>65938.049999999988</v>
      </c>
      <c r="AQ68" s="207">
        <f>SUM(AQ59:AQ67)</f>
        <v>0</v>
      </c>
      <c r="AR68" s="208">
        <f>SUM(AR59:AR67)</f>
        <v>65938.049999999988</v>
      </c>
    </row>
    <row r="69" spans="1:44" ht="21.75" customHeight="1" thickTop="1" x14ac:dyDescent="0.2">
      <c r="A69" s="466" t="s">
        <v>101</v>
      </c>
      <c r="B69" s="467"/>
      <c r="C69" s="467"/>
      <c r="D69" s="467"/>
      <c r="E69" s="467"/>
      <c r="F69" s="467"/>
      <c r="G69" s="467"/>
      <c r="H69" s="467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67"/>
      <c r="X69" s="467"/>
      <c r="Y69" s="467"/>
      <c r="Z69" s="467"/>
      <c r="AA69" s="467"/>
      <c r="AB69" s="467"/>
      <c r="AC69" s="467"/>
      <c r="AD69" s="467"/>
      <c r="AE69" s="467"/>
      <c r="AF69" s="467"/>
      <c r="AG69" s="467"/>
      <c r="AH69" s="467"/>
      <c r="AI69" s="467"/>
      <c r="AJ69" s="467"/>
      <c r="AK69" s="467"/>
      <c r="AL69" s="468"/>
      <c r="AM69" s="140" t="s">
        <v>45</v>
      </c>
      <c r="AN69" s="434" t="s">
        <v>108</v>
      </c>
      <c r="AO69" s="435"/>
      <c r="AP69" s="141" t="s">
        <v>10</v>
      </c>
      <c r="AQ69" s="141" t="s">
        <v>110</v>
      </c>
      <c r="AR69" s="142" t="s">
        <v>48</v>
      </c>
    </row>
    <row r="70" spans="1:44" ht="21.75" customHeight="1" x14ac:dyDescent="0.2">
      <c r="A70" s="381">
        <v>64003</v>
      </c>
      <c r="B70" s="383" t="s">
        <v>103</v>
      </c>
      <c r="C70" s="222" t="s">
        <v>130</v>
      </c>
      <c r="D70" s="102">
        <f>'เซลล์ (งานเครดิต)'!$G$14</f>
        <v>105.5</v>
      </c>
      <c r="E70" s="102">
        <f>'เซลล์ (งานเครดิต)'!$G$24</f>
        <v>227.5</v>
      </c>
      <c r="F70" s="102">
        <f>'เซลล์ (งานเครดิต)'!$G$32</f>
        <v>9.5</v>
      </c>
      <c r="G70" s="102">
        <f>'เซลล์ (งานเครดิต)'!$G$40</f>
        <v>226.5</v>
      </c>
      <c r="H70" s="102">
        <f>'เซลล์ (งานเครดิต)'!$G$57</f>
        <v>40.5</v>
      </c>
      <c r="I70" s="102">
        <f>'เซลล์ (งานเครดิต)'!$G$66</f>
        <v>44.5</v>
      </c>
      <c r="J70" s="102">
        <f>'เซลล์ (งานเครดิต)'!$G$76</f>
        <v>158.5</v>
      </c>
      <c r="K70" s="102">
        <f>'เซลล์ (งานเครดิต)'!$G$85</f>
        <v>41</v>
      </c>
      <c r="L70" s="102">
        <f>'เซลล์ (งานเครดิต)'!$G$102</f>
        <v>24</v>
      </c>
      <c r="M70" s="102">
        <f>'เซลล์ (งานเครดิต)'!$G$110</f>
        <v>74.5</v>
      </c>
      <c r="N70" s="102">
        <f>'เซลล์ (งานเครดิต)'!$G$118</f>
        <v>54</v>
      </c>
      <c r="O70" s="102">
        <f>'เซลล์ (งานเครดิต)'!$G$126</f>
        <v>252</v>
      </c>
      <c r="P70" s="102">
        <f>'เซลล์ (งานเครดิต)'!$G$144</f>
        <v>161</v>
      </c>
      <c r="Q70" s="102">
        <f>'เซลล์ (งานเครดิต)'!$G$152</f>
        <v>95</v>
      </c>
      <c r="R70" s="102">
        <f>'เซลล์ (งานเครดิต)'!$G$160</f>
        <v>28</v>
      </c>
      <c r="S70" s="102">
        <f>'เซลล์ (งานเครดิต)'!$G$170</f>
        <v>196</v>
      </c>
      <c r="T70" s="102">
        <f>'เซลล์ (งานเครดิต)'!$G$187</f>
        <v>0</v>
      </c>
      <c r="U70" s="102">
        <f>'เซลล์ (งานเครดิต)'!$G$195</f>
        <v>0</v>
      </c>
      <c r="V70" s="102">
        <f>'เซลล์ (งานเครดิต)'!$G$203</f>
        <v>0</v>
      </c>
      <c r="W70" s="102">
        <f>'เซลล์ (งานเครดิต)'!$G$211</f>
        <v>0</v>
      </c>
      <c r="X70" s="102">
        <f>'เซลล์ (งานเครดิต)'!$G$228</f>
        <v>0</v>
      </c>
      <c r="Y70" s="102">
        <f>'เซลล์ (งานเครดิต)'!$G$241</f>
        <v>0</v>
      </c>
      <c r="Z70" s="102">
        <f>'เซลล์ (งานเครดิต)'!$G$249</f>
        <v>0</v>
      </c>
      <c r="AA70" s="102">
        <f>'เซลล์ (งานเครดิต)'!$G$257</f>
        <v>4</v>
      </c>
      <c r="AB70" s="102">
        <f>'เซลล์ (งานเครดิต)'!G278</f>
        <v>0</v>
      </c>
      <c r="AC70" s="102">
        <f>'เซลล์ (งานเครดิต)'!$G$287</f>
        <v>188.5</v>
      </c>
      <c r="AD70" s="102">
        <f>'เซลล์ (งานเครดิต)'!$G$296</f>
        <v>0</v>
      </c>
      <c r="AE70" s="102">
        <f>'เซลล์ (งานเครดิต)'!$G$304</f>
        <v>65</v>
      </c>
      <c r="AF70" s="102">
        <f>'เซลล์ (งานเครดิต)'!$G$322</f>
        <v>281</v>
      </c>
      <c r="AG70" s="102">
        <f>'เซลล์ (งานเครดิต)'!$G$332</f>
        <v>45.5</v>
      </c>
      <c r="AH70" s="102">
        <f>'เซลล์ (งานเครดิต)'!$G$340</f>
        <v>0</v>
      </c>
      <c r="AI70" s="102">
        <f>'เซลล์ (งานเครดิต)'!G348</f>
        <v>0</v>
      </c>
      <c r="AJ70" s="102">
        <f>'เซลล์ (งานเครดิต)'!G356</f>
        <v>0</v>
      </c>
      <c r="AK70" s="102">
        <f>'เซลล์ (งานเครดิต)'!G364</f>
        <v>0</v>
      </c>
      <c r="AL70" s="102">
        <f>'เซลล์ (งานเครดิต)'!G372</f>
        <v>0</v>
      </c>
      <c r="AM70" s="70">
        <f>SUM(D70:AL70)</f>
        <v>2322</v>
      </c>
      <c r="AN70" s="388">
        <v>5</v>
      </c>
      <c r="AO70" s="389"/>
      <c r="AP70" s="178">
        <f>AM70*AN70</f>
        <v>11610</v>
      </c>
      <c r="AQ70" s="131">
        <v>0</v>
      </c>
      <c r="AR70" s="426">
        <f>AP70+AP71</f>
        <v>24033.25</v>
      </c>
    </row>
    <row r="71" spans="1:44" ht="21.75" customHeight="1" thickBot="1" x14ac:dyDescent="0.25">
      <c r="A71" s="382"/>
      <c r="B71" s="384"/>
      <c r="C71" s="223" t="s">
        <v>131</v>
      </c>
      <c r="D71" s="102">
        <f>'เซลล์ (งานเงินสด)'!$G$16</f>
        <v>17.5</v>
      </c>
      <c r="E71" s="103">
        <f>'เซลล์ (งานเงินสด)'!$G$25</f>
        <v>31</v>
      </c>
      <c r="F71" s="103">
        <f>'เซลล์ (งานเงินสด)'!$G$36</f>
        <v>127</v>
      </c>
      <c r="G71" s="103">
        <f>'เซลล์ (งานเงินสด)'!$G$45</f>
        <v>115.5</v>
      </c>
      <c r="H71" s="103">
        <f>'เซลล์ (งานเงินสด)'!$G$62</f>
        <v>80.5</v>
      </c>
      <c r="I71" s="103">
        <f>'เซลล์ (งานเงินสด)'!$G$71</f>
        <v>117</v>
      </c>
      <c r="J71" s="103">
        <f>'เซลล์ (งานเงินสด)'!$G$79</f>
        <v>28</v>
      </c>
      <c r="K71" s="103">
        <f>'เซลล์ (งานเงินสด)'!$G$88</f>
        <v>109.25</v>
      </c>
      <c r="L71" s="103">
        <f>'เซลล์ (งานเงินสด)'!$G$105</f>
        <v>134</v>
      </c>
      <c r="M71" s="103">
        <f>'เซลล์ (งานเงินสด)'!$G$116</f>
        <v>88.5</v>
      </c>
      <c r="N71" s="103">
        <f>'เซลล์ (งานเงินสด)'!$G$126</f>
        <v>72.75</v>
      </c>
      <c r="O71" s="103">
        <f>'เซลล์ (งานเงินสด)'!$G$137</f>
        <v>6</v>
      </c>
      <c r="P71" s="103">
        <f>'เซลล์ (งานเงินสด)'!$G$155</f>
        <v>131.5</v>
      </c>
      <c r="Q71" s="103">
        <f>'เซลล์ (งานเงินสด)'!$G$165</f>
        <v>69</v>
      </c>
      <c r="R71" s="103">
        <f>'เซลล์ (งานเงินสด)'!$G$174</f>
        <v>219</v>
      </c>
      <c r="S71" s="103">
        <f>'เซลล์ (งานเงินสด)'!$G$188</f>
        <v>62.5</v>
      </c>
      <c r="T71" s="103">
        <f>'เซลล์ (งานเงินสด)'!$G$205</f>
        <v>117</v>
      </c>
      <c r="U71" s="103">
        <f>'เซลล์ (งานเงินสด)'!$G$213</f>
        <v>0</v>
      </c>
      <c r="V71" s="103">
        <f>'เซลล์ (งานเงินสด)'!$G$223</f>
        <v>0</v>
      </c>
      <c r="W71" s="103">
        <f>'เซลล์ (งานเงินสด)'!$G$232</f>
        <v>0</v>
      </c>
      <c r="X71" s="103">
        <f>'เซลล์ (งานเงินสด)'!$G$249</f>
        <v>0</v>
      </c>
      <c r="Y71" s="103">
        <f>'เซลล์ (งานเงินสด)'!$G$262</f>
        <v>0</v>
      </c>
      <c r="Z71" s="103">
        <f>'เซลล์ (งานเงินสด)'!$G$273</f>
        <v>0</v>
      </c>
      <c r="AA71" s="103">
        <f>'เซลล์ (งานเงินสด)'!$G$286</f>
        <v>0</v>
      </c>
      <c r="AB71" s="103">
        <f>'เซลล์ (งานเงินสด)'!G309</f>
        <v>0</v>
      </c>
      <c r="AC71" s="103">
        <f>'เซลล์ (งานเงินสด)'!$G$318</f>
        <v>52</v>
      </c>
      <c r="AD71" s="103">
        <f>'เซลล์ (งานเงินสด)'!$G$327</f>
        <v>109</v>
      </c>
      <c r="AE71" s="103">
        <f>'เซลล์ (งานเงินสด)'!$G$338</f>
        <v>31.25</v>
      </c>
      <c r="AF71" s="103">
        <f>'เซลล์ (งานเงินสด)'!$G$358</f>
        <v>30.5</v>
      </c>
      <c r="AG71" s="103">
        <f>'เซลล์ (งานเงินสด)'!$G$366</f>
        <v>26</v>
      </c>
      <c r="AH71" s="103">
        <f>'เซลล์ (งานเงินสด)'!G374</f>
        <v>0</v>
      </c>
      <c r="AI71" s="103">
        <f>'เซลล์ (งานเงินสด)'!G382</f>
        <v>0</v>
      </c>
      <c r="AJ71" s="103">
        <f>'เซลล์ (งานเงินสด)'!G390</f>
        <v>0</v>
      </c>
      <c r="AK71" s="103">
        <f>'เซลล์ (งานเงินสด)'!G402</f>
        <v>0</v>
      </c>
      <c r="AL71" s="103">
        <f>'เซลล์ (งานเงินสด)'!G410</f>
        <v>0</v>
      </c>
      <c r="AM71" s="71">
        <f>SUM(D71:AL71)</f>
        <v>1774.75</v>
      </c>
      <c r="AN71" s="390">
        <v>7</v>
      </c>
      <c r="AO71" s="391"/>
      <c r="AP71" s="179">
        <f>AM71*AN71</f>
        <v>12423.25</v>
      </c>
      <c r="AQ71" s="129">
        <v>0</v>
      </c>
      <c r="AR71" s="427"/>
    </row>
    <row r="72" spans="1:44" ht="30.75" customHeight="1" thickBot="1" x14ac:dyDescent="0.25">
      <c r="A72" s="379" t="s">
        <v>109</v>
      </c>
      <c r="B72" s="380"/>
      <c r="C72" s="380"/>
      <c r="D72" s="380"/>
      <c r="E72" s="380"/>
      <c r="F72" s="380"/>
      <c r="G72" s="380"/>
      <c r="H72" s="380"/>
      <c r="I72" s="380"/>
      <c r="J72" s="380"/>
      <c r="K72" s="380"/>
      <c r="L72" s="380"/>
      <c r="M72" s="380"/>
      <c r="N72" s="380"/>
      <c r="O72" s="380"/>
      <c r="P72" s="380"/>
      <c r="Q72" s="380"/>
      <c r="R72" s="380"/>
      <c r="S72" s="380"/>
      <c r="T72" s="380"/>
      <c r="U72" s="380"/>
      <c r="V72" s="380"/>
      <c r="W72" s="380"/>
      <c r="X72" s="380"/>
      <c r="Y72" s="380"/>
      <c r="Z72" s="380"/>
      <c r="AA72" s="380"/>
      <c r="AB72" s="380"/>
      <c r="AC72" s="380"/>
      <c r="AD72" s="380"/>
      <c r="AE72" s="380"/>
      <c r="AF72" s="380"/>
      <c r="AG72" s="380"/>
      <c r="AH72" s="380"/>
      <c r="AI72" s="380"/>
      <c r="AJ72" s="380"/>
      <c r="AK72" s="380"/>
      <c r="AL72" s="380"/>
      <c r="AM72" s="380"/>
      <c r="AN72" s="380"/>
      <c r="AO72" s="380"/>
      <c r="AP72" s="423">
        <f>AR39+AR55+AR57+AR48+AR68+AR70</f>
        <v>258182.19999999998</v>
      </c>
      <c r="AQ72" s="424"/>
      <c r="AR72" s="425"/>
    </row>
    <row r="73" spans="1:44" s="125" customFormat="1" ht="24.95" customHeight="1" x14ac:dyDescent="0.4">
      <c r="C73" s="124"/>
      <c r="D73" s="460"/>
      <c r="E73" s="460"/>
      <c r="F73" s="464"/>
      <c r="G73" s="464"/>
      <c r="H73" s="464"/>
      <c r="I73" s="464"/>
      <c r="J73" s="464"/>
      <c r="K73" s="464"/>
      <c r="O73" s="460"/>
      <c r="P73" s="460"/>
      <c r="Q73" s="464"/>
      <c r="R73" s="464"/>
      <c r="S73" s="464"/>
      <c r="T73" s="464"/>
      <c r="U73" s="464"/>
      <c r="V73" s="464"/>
      <c r="Z73" s="460"/>
      <c r="AA73" s="460"/>
      <c r="AB73" s="464"/>
      <c r="AC73" s="464"/>
      <c r="AD73" s="464"/>
      <c r="AE73" s="464"/>
      <c r="AF73" s="464"/>
      <c r="AG73" s="464"/>
      <c r="AR73" s="31"/>
    </row>
    <row r="74" spans="1:44" s="125" customFormat="1" ht="24.95" customHeight="1" x14ac:dyDescent="0.4">
      <c r="C74" s="124"/>
      <c r="F74" s="465"/>
      <c r="G74" s="465"/>
      <c r="H74" s="465"/>
      <c r="I74" s="465"/>
      <c r="J74" s="465"/>
      <c r="K74" s="465"/>
      <c r="Q74" s="465"/>
      <c r="R74" s="465"/>
      <c r="S74" s="465"/>
      <c r="T74" s="465"/>
      <c r="U74" s="465"/>
      <c r="V74" s="465"/>
      <c r="AB74" s="465"/>
      <c r="AC74" s="465"/>
      <c r="AD74" s="465"/>
      <c r="AE74" s="465"/>
      <c r="AF74" s="465"/>
      <c r="AG74" s="465"/>
      <c r="AM74" s="114"/>
      <c r="AR74" s="115"/>
    </row>
    <row r="75" spans="1:44" s="78" customFormat="1" ht="24.95" customHeight="1" x14ac:dyDescent="0.45">
      <c r="B75" s="78" t="s">
        <v>54</v>
      </c>
      <c r="C75" s="126"/>
      <c r="D75" s="422"/>
      <c r="E75" s="422"/>
      <c r="F75" s="459"/>
      <c r="G75" s="459"/>
      <c r="H75" s="459"/>
      <c r="I75" s="459"/>
      <c r="J75" s="459"/>
      <c r="K75" s="459"/>
      <c r="N75" s="123"/>
      <c r="O75" s="123"/>
      <c r="P75" s="123"/>
      <c r="Q75" s="123" t="s">
        <v>94</v>
      </c>
      <c r="R75" s="123"/>
      <c r="S75" s="123" t="s">
        <v>55</v>
      </c>
      <c r="T75" s="123"/>
      <c r="U75" s="123"/>
      <c r="V75" s="123"/>
      <c r="Z75" s="422"/>
      <c r="AA75" s="422"/>
      <c r="AB75" s="123"/>
      <c r="AC75" s="123"/>
      <c r="AD75" s="123"/>
      <c r="AE75" s="123"/>
      <c r="AF75" s="123"/>
      <c r="AG75" s="123"/>
      <c r="AM75" s="126" t="s">
        <v>24</v>
      </c>
      <c r="AN75" s="123" t="s">
        <v>25</v>
      </c>
      <c r="AO75" s="123"/>
      <c r="AP75" s="123"/>
      <c r="AQ75" s="123"/>
      <c r="AR75" s="19"/>
    </row>
    <row r="76" spans="1:44" s="78" customFormat="1" ht="24.95" customHeight="1" x14ac:dyDescent="0.45">
      <c r="B76" s="78" t="s">
        <v>122</v>
      </c>
      <c r="C76" s="126"/>
      <c r="F76" s="123"/>
      <c r="G76" s="123"/>
      <c r="H76" s="123"/>
      <c r="I76" s="123"/>
      <c r="J76" s="123"/>
      <c r="K76" s="123"/>
      <c r="M76" s="123"/>
      <c r="N76" s="123"/>
      <c r="O76" s="123"/>
      <c r="P76" s="123"/>
      <c r="Q76" s="123"/>
      <c r="R76" s="123"/>
      <c r="S76" s="123" t="s">
        <v>56</v>
      </c>
      <c r="T76" s="123"/>
      <c r="U76" s="123"/>
      <c r="V76" s="123"/>
      <c r="AB76" s="123"/>
      <c r="AC76" s="123"/>
      <c r="AD76" s="123"/>
      <c r="AE76" s="123"/>
      <c r="AF76" s="123"/>
      <c r="AG76" s="123"/>
      <c r="AH76" s="123"/>
      <c r="AI76" s="123"/>
      <c r="AJ76" s="123"/>
      <c r="AK76" s="123"/>
      <c r="AL76" s="123"/>
      <c r="AM76" s="123"/>
      <c r="AN76" s="123" t="s">
        <v>91</v>
      </c>
      <c r="AO76" s="123"/>
      <c r="AP76" s="123"/>
      <c r="AQ76" s="123"/>
      <c r="AR76" s="79"/>
    </row>
    <row r="77" spans="1:44" s="119" customFormat="1" ht="24.95" customHeight="1" x14ac:dyDescent="0.2">
      <c r="B77" s="119" t="s">
        <v>57</v>
      </c>
      <c r="C77" s="80"/>
      <c r="F77" s="420"/>
      <c r="G77" s="420"/>
      <c r="H77" s="420"/>
      <c r="I77" s="420"/>
      <c r="J77" s="420"/>
      <c r="K77" s="420"/>
      <c r="P77" s="81"/>
      <c r="Q77" s="81"/>
      <c r="R77" s="81"/>
      <c r="S77" s="421" t="s">
        <v>92</v>
      </c>
      <c r="T77" s="421"/>
      <c r="U77" s="421"/>
      <c r="V77" s="421"/>
      <c r="W77" s="421"/>
      <c r="AB77" s="81"/>
      <c r="AC77" s="81"/>
      <c r="AD77" s="81"/>
      <c r="AE77" s="81"/>
      <c r="AF77" s="81"/>
      <c r="AG77" s="81"/>
      <c r="AM77" s="119" t="s">
        <v>58</v>
      </c>
      <c r="AN77" s="421" t="s">
        <v>93</v>
      </c>
      <c r="AO77" s="421"/>
      <c r="AR77" s="19"/>
    </row>
    <row r="78" spans="1:44" ht="20.100000000000001" customHeight="1" x14ac:dyDescent="0.2">
      <c r="AR78" s="1"/>
    </row>
    <row r="79" spans="1:44" ht="20.100000000000001" customHeight="1" x14ac:dyDescent="0.2">
      <c r="E79" s="82"/>
    </row>
    <row r="80" spans="1:44" ht="7.5" customHeight="1" x14ac:dyDescent="0.2">
      <c r="F80" s="82"/>
    </row>
    <row r="81" spans="2:6" ht="20.100000000000001" customHeight="1" x14ac:dyDescent="0.2">
      <c r="E81" s="82"/>
    </row>
    <row r="82" spans="2:6" ht="7.5" customHeight="1" x14ac:dyDescent="0.2">
      <c r="F82" s="82"/>
    </row>
    <row r="83" spans="2:6" ht="20.100000000000001" customHeight="1" x14ac:dyDescent="0.2">
      <c r="B83" s="109"/>
      <c r="C83" s="105"/>
      <c r="E83" s="82"/>
    </row>
    <row r="84" spans="2:6" ht="20.100000000000001" customHeight="1" x14ac:dyDescent="0.2">
      <c r="B84" s="109"/>
      <c r="C84" s="107"/>
    </row>
    <row r="85" spans="2:6" ht="20.100000000000001" customHeight="1" x14ac:dyDescent="0.2">
      <c r="B85" s="109"/>
      <c r="C85" s="108"/>
    </row>
    <row r="86" spans="2:6" ht="20.100000000000001" customHeight="1" x14ac:dyDescent="0.2">
      <c r="B86" s="1"/>
    </row>
    <row r="87" spans="2:6" ht="20.100000000000001" customHeight="1" x14ac:dyDescent="0.2">
      <c r="B87" s="1"/>
    </row>
  </sheetData>
  <mergeCells count="126">
    <mergeCell ref="AP31:AP32"/>
    <mergeCell ref="AQ31:AQ32"/>
    <mergeCell ref="AP46:AP47"/>
    <mergeCell ref="AQ46:AQ47"/>
    <mergeCell ref="AP40:AP41"/>
    <mergeCell ref="AQ40:AQ41"/>
    <mergeCell ref="AR31:AR32"/>
    <mergeCell ref="AP33:AP34"/>
    <mergeCell ref="AQ33:AQ34"/>
    <mergeCell ref="AR33:AR34"/>
    <mergeCell ref="AP35:AP36"/>
    <mergeCell ref="AQ35:AQ36"/>
    <mergeCell ref="AR35:AR36"/>
    <mergeCell ref="AR44:AR45"/>
    <mergeCell ref="AR40:AR41"/>
    <mergeCell ref="D75:E75"/>
    <mergeCell ref="A4:A6"/>
    <mergeCell ref="B4:B6"/>
    <mergeCell ref="F75:K75"/>
    <mergeCell ref="Z73:AA73"/>
    <mergeCell ref="D73:E73"/>
    <mergeCell ref="A39:AM39"/>
    <mergeCell ref="A37:A38"/>
    <mergeCell ref="AB73:AG73"/>
    <mergeCell ref="AB74:AG74"/>
    <mergeCell ref="Q73:V73"/>
    <mergeCell ref="Q74:V74"/>
    <mergeCell ref="F74:K74"/>
    <mergeCell ref="O73:P73"/>
    <mergeCell ref="F73:K73"/>
    <mergeCell ref="A69:AL69"/>
    <mergeCell ref="A40:AL41"/>
    <mergeCell ref="AM40:AM41"/>
    <mergeCell ref="AQ19:AQ20"/>
    <mergeCell ref="A1:AR1"/>
    <mergeCell ref="A2:AR2"/>
    <mergeCell ref="AN66:AO66"/>
    <mergeCell ref="AN49:AO49"/>
    <mergeCell ref="AN50:AO50"/>
    <mergeCell ref="AR17:AR18"/>
    <mergeCell ref="B37:B38"/>
    <mergeCell ref="AR19:AR20"/>
    <mergeCell ref="AQ13:AQ14"/>
    <mergeCell ref="AR11:AR12"/>
    <mergeCell ref="AP15:AP16"/>
    <mergeCell ref="AN4:AN5"/>
    <mergeCell ref="AO4:AO5"/>
    <mergeCell ref="AM4:AM6"/>
    <mergeCell ref="C4:C6"/>
    <mergeCell ref="D4:AL4"/>
    <mergeCell ref="AQ4:AQ6"/>
    <mergeCell ref="AQ15:AQ16"/>
    <mergeCell ref="AQ17:AQ18"/>
    <mergeCell ref="AP17:AP18"/>
    <mergeCell ref="AP19:AP20"/>
    <mergeCell ref="AP21:AP22"/>
    <mergeCell ref="AQ21:AQ22"/>
    <mergeCell ref="AQ23:AQ24"/>
    <mergeCell ref="AQ7:AQ8"/>
    <mergeCell ref="AQ9:AQ10"/>
    <mergeCell ref="AQ11:AQ12"/>
    <mergeCell ref="D5:AL5"/>
    <mergeCell ref="AP4:AP6"/>
    <mergeCell ref="AP7:AP8"/>
    <mergeCell ref="F77:K77"/>
    <mergeCell ref="AN77:AO77"/>
    <mergeCell ref="S77:W77"/>
    <mergeCell ref="AN61:AO61"/>
    <mergeCell ref="Z75:AA75"/>
    <mergeCell ref="AP72:AR72"/>
    <mergeCell ref="AR70:AR71"/>
    <mergeCell ref="AR29:AR30"/>
    <mergeCell ref="AN57:AO57"/>
    <mergeCell ref="AN56:AO56"/>
    <mergeCell ref="AN58:AO58"/>
    <mergeCell ref="AN69:AO69"/>
    <mergeCell ref="AP42:AP43"/>
    <mergeCell ref="AQ42:AQ43"/>
    <mergeCell ref="AR42:AR43"/>
    <mergeCell ref="AP44:AP45"/>
    <mergeCell ref="AQ44:AQ45"/>
    <mergeCell ref="AR4:AR6"/>
    <mergeCell ref="AR7:AR8"/>
    <mergeCell ref="AR9:AR10"/>
    <mergeCell ref="AR13:AR14"/>
    <mergeCell ref="AR15:AR16"/>
    <mergeCell ref="AR21:AR22"/>
    <mergeCell ref="AN59:AO59"/>
    <mergeCell ref="AN60:AO60"/>
    <mergeCell ref="AR23:AR24"/>
    <mergeCell ref="AR25:AR26"/>
    <mergeCell ref="AP9:AP10"/>
    <mergeCell ref="AP11:AP12"/>
    <mergeCell ref="AP13:AP14"/>
    <mergeCell ref="AP23:AP24"/>
    <mergeCell ref="AP25:AP26"/>
    <mergeCell ref="AP37:AP38"/>
    <mergeCell ref="AR37:AR38"/>
    <mergeCell ref="AQ25:AQ26"/>
    <mergeCell ref="AQ37:AQ38"/>
    <mergeCell ref="AP27:AP28"/>
    <mergeCell ref="AQ27:AQ28"/>
    <mergeCell ref="AR27:AR28"/>
    <mergeCell ref="AP29:AP30"/>
    <mergeCell ref="AQ29:AQ30"/>
    <mergeCell ref="AN54:AO54"/>
    <mergeCell ref="A55:AO55"/>
    <mergeCell ref="AR46:AR47"/>
    <mergeCell ref="A72:AO72"/>
    <mergeCell ref="A70:A71"/>
    <mergeCell ref="B70:B71"/>
    <mergeCell ref="A68:AO68"/>
    <mergeCell ref="AN70:AO70"/>
    <mergeCell ref="AN71:AO71"/>
    <mergeCell ref="AN64:AO64"/>
    <mergeCell ref="AN65:AO65"/>
    <mergeCell ref="AN67:AO67"/>
    <mergeCell ref="AN63:AO63"/>
    <mergeCell ref="AN62:AO62"/>
    <mergeCell ref="A56:AL56"/>
    <mergeCell ref="A58:AL58"/>
    <mergeCell ref="A48:AM48"/>
    <mergeCell ref="A49:AL49"/>
    <mergeCell ref="AN52:AO52"/>
    <mergeCell ref="AN53:AO53"/>
    <mergeCell ref="AN51:AO51"/>
  </mergeCells>
  <phoneticPr fontId="1" type="noConversion"/>
  <printOptions horizontalCentered="1"/>
  <pageMargins left="0.19685039370078741" right="0.19685039370078741" top="0.19685039370078741" bottom="0.19685039370078741" header="0.19685039370078741" footer="0.19685039370078741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24</vt:i4>
      </vt:variant>
    </vt:vector>
  </HeadingPairs>
  <TitlesOfParts>
    <vt:vector size="24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รถโม่เสริม</vt:lpstr>
      <vt:lpstr>Loader</vt:lpstr>
      <vt:lpstr>รถน้ำ</vt:lpstr>
      <vt:lpstr>เทรลเลอร์1</vt:lpstr>
      <vt:lpstr>เทรลเลอร์2</vt:lpstr>
      <vt:lpstr>เทรลเลอร์3</vt:lpstr>
      <vt:lpstr>เซลล์ (งานเครดิต)</vt:lpstr>
      <vt:lpstr>เซลล์ (งานเงินสด)</vt:lpstr>
      <vt:lpstr>สรุปค่าเที่ยวค่าคิว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Sukanya Saengngoen</cp:lastModifiedBy>
  <cp:lastPrinted>2025-07-23T08:55:47Z</cp:lastPrinted>
  <dcterms:created xsi:type="dcterms:W3CDTF">2019-09-13T03:38:21Z</dcterms:created>
  <dcterms:modified xsi:type="dcterms:W3CDTF">2026-04-25T09:03:50Z</dcterms:modified>
</cp:coreProperties>
</file>